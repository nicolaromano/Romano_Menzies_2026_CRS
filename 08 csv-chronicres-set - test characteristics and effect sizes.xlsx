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FST" sheetId="1" state="visible" r:id="rId3"/>
    <sheet name="SPT" sheetId="2" state="visible" r:id="rId4"/>
    <sheet name="EPM" sheetId="3" state="visible" r:id="rId5"/>
    <sheet name="OFT" sheetId="4" state="visible" r:id="rId6"/>
    <sheet name="sandpit" sheetId="5" state="visible" r:id="rId7"/>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Nicola Romanò</author>
  </authors>
  <commentList>
    <comment ref="M32" authorId="0">
      <text>
        <r>
          <rPr>
            <sz val="10"/>
            <rFont val="Arial"/>
            <family val="2"/>
          </rPr>
          <t xml:space="preserve">Original 13-15
</t>
        </r>
      </text>
    </comment>
  </commentList>
</comments>
</file>

<file path=xl/comments4.xml><?xml version="1.0" encoding="utf-8"?>
<comments xmlns="http://schemas.openxmlformats.org/spreadsheetml/2006/main" xmlns:xdr="http://schemas.openxmlformats.org/drawingml/2006/spreadsheetDrawing">
  <authors>
    <author>Nicola Romanò</author>
  </authors>
  <commentList>
    <comment ref="M25" authorId="0">
      <text>
        <r>
          <rPr>
            <sz val="10"/>
            <rFont val="Arial"/>
            <family val="2"/>
          </rPr>
          <t xml:space="preserve">Original 13-15</t>
        </r>
      </text>
    </comment>
  </commentList>
</comments>
</file>

<file path=xl/sharedStrings.xml><?xml version="1.0" encoding="utf-8"?>
<sst xmlns="http://schemas.openxmlformats.org/spreadsheetml/2006/main" count="1928" uniqueCount="493">
  <si>
    <t xml:space="preserve">CONTROL (time spent immobile (sec))</t>
  </si>
  <si>
    <t xml:space="preserve">TEST (time spent immobile (sec))</t>
  </si>
  <si>
    <t xml:space="preserve">PMID</t>
  </si>
  <si>
    <t xml:space="preserve">Title</t>
  </si>
  <si>
    <t xml:space="preserve">Authors</t>
  </si>
  <si>
    <t xml:space="preserve">Journal/Book</t>
  </si>
  <si>
    <t xml:space="preserve">Publication Year</t>
  </si>
  <si>
    <t xml:space="preserve">DOI</t>
  </si>
  <si>
    <t xml:space="preserve">FST</t>
  </si>
  <si>
    <t xml:space="preserve">strain</t>
  </si>
  <si>
    <t xml:space="preserve">sex</t>
  </si>
  <si>
    <t xml:space="preserve">initial age (weeks)</t>
  </si>
  <si>
    <t xml:space="preserve">min/session </t>
  </si>
  <si>
    <t xml:space="preserve">sessions/day </t>
  </si>
  <si>
    <t xml:space="preserve">total number of days</t>
  </si>
  <si>
    <t xml:space="preserve">total number of min</t>
  </si>
  <si>
    <t xml:space="preserve">Notes</t>
  </si>
  <si>
    <t xml:space="preserve">FST total time (min)</t>
  </si>
  <si>
    <t xml:space="preserve">FST time for recording immobility (last x min)</t>
  </si>
  <si>
    <t xml:space="preserve">Fig used</t>
  </si>
  <si>
    <t xml:space="preserve">control mean</t>
  </si>
  <si>
    <t xml:space="preserve">control sem</t>
  </si>
  <si>
    <t xml:space="preserve">n</t>
  </si>
  <si>
    <t xml:space="preserve">n used</t>
  </si>
  <si>
    <t xml:space="preserve">back-calculated SD</t>
  </si>
  <si>
    <t xml:space="preserve">test mean</t>
  </si>
  <si>
    <t xml:space="preserve">test sem</t>
  </si>
  <si>
    <t xml:space="preserve">SD</t>
  </si>
  <si>
    <t xml:space="preserve"> test mean</t>
  </si>
  <si>
    <t xml:space="preserve">Effect size d</t>
  </si>
  <si>
    <t xml:space="preserve">Yeast Extract Peptides Alleviate Depression in Chronic Restraint Stress Rats by Alleviating Hippocampal Neuronal Apoptosis and Dysbiosis of the Gut Microbiota</t>
  </si>
  <si>
    <t xml:space="preserve">Zou Z, Xiao N, Chen Z, Lin X, Li Y, Li P, Cheng Q, Du B.</t>
  </si>
  <si>
    <t xml:space="preserve">Mol Nutr Food Res</t>
  </si>
  <si>
    <t xml:space="preserve">10.1002/mnfr.202300467</t>
  </si>
  <si>
    <t xml:space="preserve">M</t>
  </si>
  <si>
    <t xml:space="preserve">Data from after first 4 weeks of CRS. Not clear in Fig that data is from FST: "E) after 8 weeks of CRS + 4 weeks of AP, immobility time of rats in SPT"</t>
  </si>
  <si>
    <t xml:space="preserve">Neuropathological implication of high blood bilirubin in patients and model rats with depression</t>
  </si>
  <si>
    <t xml:space="preserve">Gao Y, Ling Y, Li J, Xu Y, Ge J, Xia Q.</t>
  </si>
  <si>
    <t xml:space="preserve">Brain Res Bull</t>
  </si>
  <si>
    <t xml:space="preserve">10.1016/j.brainresbull.2024.111028</t>
  </si>
  <si>
    <t xml:space="preserve">3G</t>
  </si>
  <si>
    <t xml:space="preserve">10</t>
  </si>
  <si>
    <t xml:space="preserve">1.79</t>
  </si>
  <si>
    <t xml:space="preserve">Microbiome Metabolomic Analysis of the Anxiolytic Effect of Baihe Dihuang Decoction in a Rat Model of Chronic Restraint Stress</t>
  </si>
  <si>
    <t xml:space="preserve">Tang L, Liu J, Yang H, Zhao HQ, Hu C, Ma SJ, Qing YH, Yang L, Zhou RR, Zhang SH.</t>
  </si>
  <si>
    <t xml:space="preserve">Drug Des Devel Ther</t>
  </si>
  <si>
    <t xml:space="preserve">10.2147/DDDT.S458983</t>
  </si>
  <si>
    <t xml:space="preserve">1H</t>
  </si>
  <si>
    <t xml:space="preserve">SD given</t>
  </si>
  <si>
    <t xml:space="preserve">6</t>
  </si>
  <si>
    <t xml:space="preserve">"wrong" direction</t>
  </si>
  <si>
    <t xml:space="preserve">Neuroprotective Role of Selenium Nanoparticles Against Behavioral, Neurobiochemical and Histological Alterations in Rats Subjected to Chronic Restraint Stress</t>
  </si>
  <si>
    <t xml:space="preserve">Elfakharany SA, Eskaros SS, Azhary NME, Abdelmonsif DA, Zeitoun TM, Ammar GAG, Hatem YA.</t>
  </si>
  <si>
    <t xml:space="preserve">Mol Neurobiol</t>
  </si>
  <si>
    <t xml:space="preserve">10.1007/s12035-024-04196-3</t>
  </si>
  <si>
    <t xml:space="preserve">Wistar</t>
  </si>
  <si>
    <t xml:space="preserve">8-10</t>
  </si>
  <si>
    <t xml:space="preserve">median (intra-quartile range) given</t>
  </si>
  <si>
    <t xml:space="preserve">5G</t>
  </si>
  <si>
    <t xml:space="preserve">(S)-Ketamine but Not (R)-Ketamine Shows Acute Effects on Depression-Like Behavior and Sleep-Wake Architecture in Rats</t>
  </si>
  <si>
    <t xml:space="preserve">Koncz S, Papp N, Pothorszki D, Bagdy G.</t>
  </si>
  <si>
    <t xml:space="preserve">Int J Neuropsychopharmacol</t>
  </si>
  <si>
    <t xml:space="preserve">10.1093/ijnp/pyad050</t>
  </si>
  <si>
    <t xml:space="preserve">Method taken from cited article</t>
  </si>
  <si>
    <t xml:space="preserve">9</t>
  </si>
  <si>
    <t xml:space="preserve">1.35</t>
  </si>
  <si>
    <t xml:space="preserve">Targeting the Endoplasmic Reticulum Stress-Linked PERK/GRP78/CHOP Pathway with Magnesium Sulfate Attenuates Chronic-Restraint-Stress-Induced Depression-like Neuropathology in Rats</t>
  </si>
  <si>
    <t xml:space="preserve">Arab HH, Khames A, Alsufyani SE, El-Sheikh AAK, Gad AM.</t>
  </si>
  <si>
    <t xml:space="preserve">Pharmaceuticals (Basel)</t>
  </si>
  <si>
    <t xml:space="preserve">10.3390/ph16020300</t>
  </si>
  <si>
    <t xml:space="preserve">Error bars not specified as SD or SEM</t>
  </si>
  <si>
    <t xml:space="preserve">2B</t>
  </si>
  <si>
    <t xml:space="preserve">Functional magnetic resonance imaging study on anxiety and depression disorders induced by chronic restraint stress in rats</t>
  </si>
  <si>
    <t xml:space="preserve">Li Z, Ma Y, Dong B, Hu B, He H, Jia J, Xiong M, Xu T, Xu B, Xi W.</t>
  </si>
  <si>
    <t xml:space="preserve">Behav Brain Res</t>
  </si>
  <si>
    <t xml:space="preserve">10.1016/j.bbr.2023.114496</t>
  </si>
  <si>
    <t xml:space="preserve">7-8</t>
  </si>
  <si>
    <t xml:space="preserve">Data shown as violin plot</t>
  </si>
  <si>
    <t xml:space="preserve">1E</t>
  </si>
  <si>
    <t xml:space="preserve">Tryptophan-kynurenine metabolic characterization in the gut and brain of depressive-like rats induced by chronic restraint stress</t>
  </si>
  <si>
    <t xml:space="preserve">Li CC, Ye F, Xu CX, Jiang N, Chang Q, Liu XM, Pan RL.</t>
  </si>
  <si>
    <t xml:space="preserve">J Affect Disord</t>
  </si>
  <si>
    <t xml:space="preserve">10.1016/j.jad.2023.02.008</t>
  </si>
  <si>
    <t xml:space="preserve">not given</t>
  </si>
  <si>
    <t xml:space="preserve">2.09</t>
  </si>
  <si>
    <t xml:space="preserve">Silent information regulator 1 mediates H 2 S-inhibited chronic restraint stress-induced depressive-like behaviors by regulating hippocampal autophagy</t>
  </si>
  <si>
    <t xml:space="preserve">Du L, Chen L, Luo B, Chen YJ, Zhang P, Tang YY, Jiang JM, Zou W.</t>
  </si>
  <si>
    <t xml:space="preserve">Neuroreport</t>
  </si>
  <si>
    <t xml:space="preserve">10.1097/WNR.0000000000001870</t>
  </si>
  <si>
    <t xml:space="preserve">5-6</t>
  </si>
  <si>
    <t xml:space="preserve">6-10</t>
  </si>
  <si>
    <t xml:space="preserve">1.08</t>
  </si>
  <si>
    <t xml:space="preserve">A repeated measures cognitive affective bias test in rats: comparison with forced swim test</t>
  </si>
  <si>
    <t xml:space="preserve">Aliphon B, Dai T, Moretti J, Penrose-Menz M, Mulders WHAM, Blache D, Rodger J.</t>
  </si>
  <si>
    <t xml:space="preserve">Psychopharmacology (Berl)</t>
  </si>
  <si>
    <t xml:space="preserve">10.1007/s00213-022-06281-8</t>
  </si>
  <si>
    <t xml:space="preserve">8</t>
  </si>
  <si>
    <t xml:space="preserve">Suppl Fig 2</t>
  </si>
  <si>
    <t xml:space="preserve">"No significant changes were found for time spent passive, swimming, total active behaviour, or latency to immobility (F &lt; 2.57, p &gt; 0.103)"</t>
  </si>
  <si>
    <t xml:space="preserve">F</t>
  </si>
  <si>
    <t xml:space="preserve">Melatonin attenuates chronic stress-induced hippocampal inflammatory response and apoptosis by inhibiting ADAM17/TNF-α axis</t>
  </si>
  <si>
    <t xml:space="preserve">Zhang H, Wei M, Sun N, Wang H, Fan H.</t>
  </si>
  <si>
    <t xml:space="preserve">Food Chem Toxicol</t>
  </si>
  <si>
    <t xml:space="preserve">10.1016/j.fct.2022.113441</t>
  </si>
  <si>
    <t xml:space="preserve">Method taken from cited article. Data expressed as % </t>
  </si>
  <si>
    <t xml:space="preserve">1G</t>
  </si>
  <si>
    <t xml:space="preserve">12</t>
  </si>
  <si>
    <t xml:space="preserve">6.1</t>
  </si>
  <si>
    <t xml:space="preserve">CRS induces depression-like behavior after MCAO in rats possibly by activating p38 MAPK</t>
  </si>
  <si>
    <t xml:space="preserve">Zhi L, Zhang F, Liu H, Jiang X, Zhang Y, Yang Q, Zhang X, Liu M, Zhang Z, Song J.</t>
  </si>
  <si>
    <t xml:space="preserve">10.1016/j.bbr.2022.114104</t>
  </si>
  <si>
    <t xml:space="preserve">2D</t>
  </si>
  <si>
    <t xml:space="preserve">Xiaoyaosan Ameliorates Chronic Restraint Stress-Induced Depression-Like Phenotype by Suppressing A2AR Signaling in the Rat Striatum</t>
  </si>
  <si>
    <t xml:space="preserve">Zhu X, Ma Q, Yang F, Li X, Liu Y, Chen J, Li L, Chen M, Zou X, Yan L, Chen J.</t>
  </si>
  <si>
    <t xml:space="preserve">Front Pharmacol</t>
  </si>
  <si>
    <t xml:space="preserve">10.3389/fphar.2022.897436</t>
  </si>
  <si>
    <t xml:space="preserve">1.94</t>
  </si>
  <si>
    <t xml:space="preserve">Kamikihito rescued depressive-like behaviors and hippocampus neurogenesis in chronic restraint stress rats</t>
  </si>
  <si>
    <t xml:space="preserve">Adachi N, Sakhri FZ, Ikemoto H, Ohashi Y, Kato M, Inoue T, Hisamitsu T, Sunagawa M.</t>
  </si>
  <si>
    <t xml:space="preserve">J Tradit Complement Med</t>
  </si>
  <si>
    <t xml:space="preserve">10.1016/j.jtcme.2021.08.001</t>
  </si>
  <si>
    <t xml:space="preserve">5B</t>
  </si>
  <si>
    <t xml:space="preserve">5</t>
  </si>
  <si>
    <t xml:space="preserve">3.99</t>
  </si>
  <si>
    <t xml:space="preserve">Ginsenoside Rg1 Reduced Microglial Activation and Mitochondrial Dysfunction to Alleviate Depression-Like Behaviour Via the GAS5/EZH2/SOCS3/NRF2 Axis</t>
  </si>
  <si>
    <t xml:space="preserve">Li J, Gao W, Zhao Z, Li Y, Yang L, Wei W, Ren F, Li Y, Yu Y, Duan W, Li J, Dai B, Guo R.</t>
  </si>
  <si>
    <t xml:space="preserve">10.1007/s12035-022-02740-7</t>
  </si>
  <si>
    <t xml:space="preserve">1D</t>
  </si>
  <si>
    <t xml:space="preserve"> ≥ 5</t>
  </si>
  <si>
    <t xml:space="preserve">3.97</t>
  </si>
  <si>
    <t xml:space="preserve">NLRP3-mediated Neuroinflammation Exacerbates Incisional Hyperalgesia and Prolongs Recovery After Surgery in Chronic Stressed Rats</t>
  </si>
  <si>
    <t xml:space="preserve">Meng Y, Zhuang L, Xue Q, Zhang J, Yu B.</t>
  </si>
  <si>
    <t xml:space="preserve">Pain Physician</t>
  </si>
  <si>
    <t xml:space="preserve">https://www.painphysicianjournal.com/current/pdf?article=NzM1Mw%3D%3D&amp;journal=139</t>
  </si>
  <si>
    <t xml:space="preserve">2C</t>
  </si>
  <si>
    <t xml:space="preserve">0.97</t>
  </si>
  <si>
    <t xml:space="preserve">Therapeutic Potential of Curcumin in Reversing the Depression and Associated Pseudodementia via Modulating Stress Hormone, Hippocampal Neurotransmitters, and BDNF Levels in Rats</t>
  </si>
  <si>
    <t xml:space="preserve">Afzal A, Batool Z, Sadir S, Liaquat L, Shahzad S, Tabassum S, Ahmad S, Kamil N, Perveen T, Haider S.</t>
  </si>
  <si>
    <t xml:space="preserve">Neurochem Res</t>
  </si>
  <si>
    <t xml:space="preserve">10.1007/s11064-021-03430-x</t>
  </si>
  <si>
    <t xml:space="preserve">FST design unclear: "Rats were allowed to swim for 5 min followed by a pre-test of 2 min. Immobility time was observed during testing duration of the experiment."</t>
  </si>
  <si>
    <t xml:space="preserve"> </t>
  </si>
  <si>
    <t xml:space="preserve">2A</t>
  </si>
  <si>
    <t xml:space="preserve">Spilanthes acmella Murr. ameliorates chronic stress through improving mitochondrial function in chronic restraint stress rats</t>
  </si>
  <si>
    <t xml:space="preserve">Suwanjang W, Ruankham W, Chetsawang B, Mukda S, Ngampramuan S, Srisung S, Prachayasittikul V, Prachayasittikul S.</t>
  </si>
  <si>
    <t xml:space="preserve">Neurochem Int</t>
  </si>
  <si>
    <t xml:space="preserve">10.1016/j.neuint.2021.105083</t>
  </si>
  <si>
    <t xml:space="preserve">2.75</t>
  </si>
  <si>
    <t xml:space="preserve">Chronic restraint stress induced changes in colonic homeostasis-related indexes and tryptophan-kynurenine metabolism in rats</t>
  </si>
  <si>
    <t xml:space="preserve">Li CC, Gan L, Tan Y, Yan MZ, Liu XM, Chang Q, Pan RL.</t>
  </si>
  <si>
    <t xml:space="preserve">J Proteomics</t>
  </si>
  <si>
    <t xml:space="preserve">10.1016/j.jprot.2021.104190</t>
  </si>
  <si>
    <t xml:space="preserve">1B</t>
  </si>
  <si>
    <t xml:space="preserve">7.1</t>
  </si>
  <si>
    <t xml:space="preserve">Xiaoyaosan Exerts Therapeutic Effects on the Colon of Chronic Restraint Stress Model Rats via the Regulation of Immunoinflammatory Activation Induced by the TLR4/NLRP3 Inflammasome Signaling Pathway</t>
  </si>
  <si>
    <t xml:space="preserve">Zhu HZ, Liang YD, Hao WZ, Ma QY, Li XJ, Li YM, Chen JX.</t>
  </si>
  <si>
    <t xml:space="preserve">Evid Based Complement Alternat Med</t>
  </si>
  <si>
    <t xml:space="preserve">10.1155/2021/6673538</t>
  </si>
  <si>
    <t xml:space="preserve">3B</t>
  </si>
  <si>
    <t xml:space="preserve">Ca(v)1.2 Activity and Downstream Signaling Pathways in the Hippocampus of An Animal Model of Depression</t>
  </si>
  <si>
    <t xml:space="preserve">Moreno C, Hermosilla T, Hardy P, Aballai V, Rojas P, Varela D.</t>
  </si>
  <si>
    <t xml:space="preserve">Cells</t>
  </si>
  <si>
    <t xml:space="preserve">10.3390/cells9122609</t>
  </si>
  <si>
    <t xml:space="preserve">FST data expressed as "moving time". </t>
  </si>
  <si>
    <t xml:space="preserve">Whole body vibration training improves depression-like behaviors in a rat chronic restraint stress model</t>
  </si>
  <si>
    <t xml:space="preserve">Peng G, Yang L, Wu CY, Zhang LL, Wu CY, Li F, Shi HW, Hou J, Zhang LM, Ma X, Xiong J, Pan H, Zhang GQ.</t>
  </si>
  <si>
    <t xml:space="preserve">10.1016/j.neuint.2020.104926</t>
  </si>
  <si>
    <t xml:space="preserve">Unequal n numbers</t>
  </si>
  <si>
    <t xml:space="preserve">Brain-Derived Neurotrophic Factor Precursor in the Hippocampus Regulates Both Depressive and Anxiety-Like Behaviors in Rats</t>
  </si>
  <si>
    <t xml:space="preserve">Zhong F, Liu L, Wei JL, Hu ZL, Li L, Wang S, Xu JM, Zhou XF, Li CQ, Yang ZY, Dai RP.</t>
  </si>
  <si>
    <t xml:space="preserve">Front Psychiatry</t>
  </si>
  <si>
    <t xml:space="preserve">10.3389/fpsyt.2018.00776</t>
  </si>
  <si>
    <t xml:space="preserve">Hippocampal activation of 5-HT(1B) receptors and BDNF production by vagus nerve stimulation in rats under chronic restraint stress</t>
  </si>
  <si>
    <t xml:space="preserve">Shin HC, Jo BG, Lee CY, Lee KW, Namgung U.</t>
  </si>
  <si>
    <t xml:space="preserve">Eur J Neurosci</t>
  </si>
  <si>
    <t xml:space="preserve">10.1111/ejn.14368</t>
  </si>
  <si>
    <t xml:space="preserve">4A</t>
  </si>
  <si>
    <t xml:space="preserve">Electroconvulsive treatment prevents chronic restraint stress-induced atrophy of the hippocampal formation-A stereological study</t>
  </si>
  <si>
    <t xml:space="preserve">Alemu JL, Elberling F, Azam B, Pakkenberg B, Olesen MV.</t>
  </si>
  <si>
    <t xml:space="preserve">Brain Behav</t>
  </si>
  <si>
    <t xml:space="preserve">10.1002/brb3.1195</t>
  </si>
  <si>
    <t xml:space="preserve">Behavioral effects of toll-like receptor-4 antagonist 'eritoran' in an experimental model of depression: role of prefrontal and hippocampal neurogenesis and γ-aminobutyric acid/glutamate balance</t>
  </si>
  <si>
    <t xml:space="preserve">Aboul-Fotouh S, Habib M, Asaad T, Kassim SK, Ghanem MH.</t>
  </si>
  <si>
    <t xml:space="preserve">Behav Pharmacol</t>
  </si>
  <si>
    <t xml:space="preserve">10.1097/FBP.0000000000000390</t>
  </si>
  <si>
    <t xml:space="preserve">3A</t>
  </si>
  <si>
    <t xml:space="preserve">Metformin potentiates cognitive and antidepressant effects of fluoxetine in rats exposed to chronic restraint stress and high fat diet: potential involvement of hippocampal c-Jun repression</t>
  </si>
  <si>
    <t xml:space="preserve">Khedr SA, Elmelgy AA, El-Kharashi OA, Abd-Alkhalek HA, Louka ML, Sallam HA, Aboul-Fotouh S.</t>
  </si>
  <si>
    <t xml:space="preserve">Naunyn Schmiedebergs Arch Pharmacol</t>
  </si>
  <si>
    <t xml:space="preserve">10.1007/s00210-018-1466-8</t>
  </si>
  <si>
    <t xml:space="preserve">Table 1</t>
  </si>
  <si>
    <t xml:space="preserve">10-12</t>
  </si>
  <si>
    <t xml:space="preserve">Hippocampal metabolic differences implicate distinctions between physical and psychological stress in four rat models of depression</t>
  </si>
  <si>
    <t xml:space="preserve">Liu L, Zhou X, Zhang Y, Pu J, Yang L, Yuan S, Zhao L, Zhou C, Zhang H, Xie P.</t>
  </si>
  <si>
    <t xml:space="preserve">Transl Psychiatry</t>
  </si>
  <si>
    <t xml:space="preserve">10.1038/s41398-017-0018-1</t>
  </si>
  <si>
    <t xml:space="preserve">2I</t>
  </si>
  <si>
    <t xml:space="preserve">Changes of the brain activities after chronic restraint stress in rats: A study based on (18)F-FDG PET</t>
  </si>
  <si>
    <t xml:space="preserve">Wei K, Bao W, Zhao Z, Zhou W, Liu J, Wei Y, Li M, Wu X, Liu B, Du Y, Gong W, Dong J.</t>
  </si>
  <si>
    <t xml:space="preserve">Neurosci Lett</t>
  </si>
  <si>
    <t xml:space="preserve">10.1016/j.neulet.2017.11.047</t>
  </si>
  <si>
    <t xml:space="preserve">Anti-oxidative effects of safranal on immobilization-induced oxidative damage in rat brain</t>
  </si>
  <si>
    <t xml:space="preserve">Samarghandian S, Samini F, Azimi-Nezhad M, Farkhondeh T.</t>
  </si>
  <si>
    <t xml:space="preserve">10.1016/j.neulet.2017.08.065</t>
  </si>
  <si>
    <t xml:space="preserve">Insights into the potential antidepressant mechanisms of cilostazol in chronically restraint rats: impact on the Nrf2 pathway</t>
  </si>
  <si>
    <t xml:space="preserve">Abuelezz SA, Hendawy N.</t>
  </si>
  <si>
    <t xml:space="preserve">10.1097/FBP.0000000000000335</t>
  </si>
  <si>
    <t xml:space="preserve">4C</t>
  </si>
  <si>
    <t xml:space="preserve">Down-regulation of cholinergic signaling in the habenula induces anhedonia-like behavior</t>
  </si>
  <si>
    <t xml:space="preserve">Han S, Yang SH, Kim JY, Mo S, Yang E, Song KM, Ham BJ, Mechawar N, Turecki G, Lee HW, Kim H.</t>
  </si>
  <si>
    <t xml:space="preserve">Sci Rep</t>
  </si>
  <si>
    <t xml:space="preserve">10.1038/s41598-017-01088-6</t>
  </si>
  <si>
    <t xml:space="preserve">text</t>
  </si>
  <si>
    <t xml:space="preserve">Anxiolytic effects of muscarinic acetylcholine receptors agonist oxotremorine in chronically stressed rats and related changes in BDNF and FGF2 levels in the hippocampus and prefrontal cortex</t>
  </si>
  <si>
    <t xml:space="preserve">Di Liberto V, Frinchi M, Verdi V, Vitale A, Plescia F, Cannizzaro C, Massenti MF, Belluardo N, Mudò G.</t>
  </si>
  <si>
    <t xml:space="preserve">10.1007/s00213-016-4498-0</t>
  </si>
  <si>
    <t xml:space="preserve">16</t>
  </si>
  <si>
    <t xml:space="preserve">The ROCK Inhibitor Fasudil Prevents Chronic Restraint Stress-Induced Depressive-Like Behaviors and Dendritic Spine Loss in Rat Hippocampus</t>
  </si>
  <si>
    <t xml:space="preserve">García-Rojo G, Fresno C, Vilches N, Díaz-Véliz G, Mora S, Aguayo F, Pacheco A, Parra-Fiedler N, Parra CS, Rojas PS, Tejos M, Aliaga E, Fiedler JL.</t>
  </si>
  <si>
    <t xml:space="preserve">10.1093/ijnp/pyw108</t>
  </si>
  <si>
    <t xml:space="preserve">Potential involvement of JNK1 repression in the hepatic effect of sitagliptin and metformin in rats subjected to high fat diet and chronic mild distress</t>
  </si>
  <si>
    <t xml:space="preserve">Magdy YM, El-Kharashi OA, Nabih ES, Shaker SM, Abd-Elaziz LF, Aboul-Fotouh S.</t>
  </si>
  <si>
    <t xml:space="preserve">Biomed Pharmacother</t>
  </si>
  <si>
    <t xml:space="preserve">10.1016/j.biopha.2016.10.098</t>
  </si>
  <si>
    <t xml:space="preserve">Resveratrol reverses chronic restraint stress-induced depression-like behaviour: Involvement of BDNF level, ERK phosphorylation and expression of Bcl-2 and Bax in rats</t>
  </si>
  <si>
    <t xml:space="preserve">Wang X, Xie Y, Zhang T, Bo S, Bai X, Liu H, Li T, Liu S, Zhou Y, Cong X, Wang Z, Liu D.</t>
  </si>
  <si>
    <t xml:space="preserve">10.1016/j.brainresbull.2016.06.014</t>
  </si>
  <si>
    <t xml:space="preserve">Behavioral effects and CRF expression in brain structures of high- and low-anxiety rats after chronic restraint stress</t>
  </si>
  <si>
    <t xml:space="preserve">Wisłowska-Stanek A, Lehner M, Skórzewska A, Krząścik P, Płaźnik A.</t>
  </si>
  <si>
    <t xml:space="preserve">10.1016/j.bbr.2016.05.001</t>
  </si>
  <si>
    <t xml:space="preserve">Data from 'high anxiety' rats</t>
  </si>
  <si>
    <t xml:space="preserve">Nature and nurture: environmental influences on a genetic rat model of depression</t>
  </si>
  <si>
    <t xml:space="preserve">Mehta-Raghavan NS, Wert SL, Morley C, Graf EN, Redei EE.</t>
  </si>
  <si>
    <t xml:space="preserve">10.1038/tp.2016.28</t>
  </si>
  <si>
    <t xml:space="preserve">Wistar Kyoto More Immobile </t>
  </si>
  <si>
    <t xml:space="preserve">"adult"</t>
  </si>
  <si>
    <t xml:space="preserve">Data expressed as number of 5-sec bins</t>
  </si>
  <si>
    <t xml:space="preserve">1A</t>
  </si>
  <si>
    <t xml:space="preserve">Wistar Kyoto Less Immobile </t>
  </si>
  <si>
    <t xml:space="preserve">The identification of metabolic disturbances in the prefrontal cortex of the chronic restraint stress rat model of depression</t>
  </si>
  <si>
    <t xml:space="preserve">Liu L, Zhou X, Zhang Y, Liu Y, Yang L, Pu J, Zhu D, Zhou C, Xie P.</t>
  </si>
  <si>
    <t xml:space="preserve">10.1016/j.bbr.2016.03.005</t>
  </si>
  <si>
    <t xml:space="preserve">Chronic Stress Decreases Cerebrovascular Responses During Rat Hindlimb Electrical Stimulation</t>
  </si>
  <si>
    <t xml:space="preserve">Lee S, Kang BM, Shin MK, Min J, Heo C, Lee Y, Baeg E, Suh M.</t>
  </si>
  <si>
    <t xml:space="preserve">Front Neurosci</t>
  </si>
  <si>
    <t xml:space="preserve">10.3389/fnins.2015.00462</t>
  </si>
  <si>
    <t xml:space="preserve">Data expressed as 'mean behavioural count'</t>
  </si>
  <si>
    <t xml:space="preserve">Behavioural and biochemical changes in maternally separated Sprague-Dawley rats exposed to restraint stress</t>
  </si>
  <si>
    <t xml:space="preserve">van Zyl PJ, Dimatelis JJ, Russell VA.</t>
  </si>
  <si>
    <t xml:space="preserve">Metab Brain Dis</t>
  </si>
  <si>
    <t xml:space="preserve">10.1007/s11011-015-9757-y</t>
  </si>
  <si>
    <t xml:space="preserve">Subjected to maternal separation</t>
  </si>
  <si>
    <t xml:space="preserve">Association of N-cadherin levels and downstream effectors of Rho GTPases with dendritic spine loss induced by chronic stress in rat hippocampal neurons</t>
  </si>
  <si>
    <t xml:space="preserve">Castañeda P, Muñoz M, García-Rojo G, Ulloa JL, Bravo JA, Márquez R, García-Pérez MA, Arancibia D, Araneda K, Rojas PS, Mondaca-Ruff D, Díaz-Véliz G, Mora S, Aliaga E, Fiedler JL.</t>
  </si>
  <si>
    <t xml:space="preserve">J Neurosci Res</t>
  </si>
  <si>
    <t xml:space="preserve">10.1002/jnr.23602</t>
  </si>
  <si>
    <t xml:space="preserve">3C</t>
  </si>
  <si>
    <t xml:space="preserve">The effects of antidepressants "fluoxetine and imipramine" on vascular abnormalities and Toll like receptor-4 expression in diabetic and non-diabetic rats exposed to chronic stress</t>
  </si>
  <si>
    <t xml:space="preserve">Habib M, Shaker S, El-Gayar N, Aboul-Fotouh S.</t>
  </si>
  <si>
    <t xml:space="preserve">PLoS One</t>
  </si>
  <si>
    <t xml:space="preserve">10.1371/journal.pone.0120559</t>
  </si>
  <si>
    <t xml:space="preserve">9-14</t>
  </si>
  <si>
    <t xml:space="preserve">Insulin-like growth factor 2 mitigates depressive behavior in a rat model of chronic stress</t>
  </si>
  <si>
    <t xml:space="preserve">Luo YW, Xu Y, Cao WY, Zhong XL, Duan J, Wang XQ, Hu ZL, Li F, Zhang JY, Zhou M, Dai RP, Li CQ.</t>
  </si>
  <si>
    <t xml:space="preserve">Neuropharmacology</t>
  </si>
  <si>
    <t xml:space="preserve">10.1016/j.neuropharm.2014.10.011</t>
  </si>
  <si>
    <t xml:space="preserve">1C</t>
  </si>
  <si>
    <t xml:space="preserve">7</t>
  </si>
  <si>
    <t xml:space="preserve">Behavioral effects of nicotinic antagonist mecamylamine in a rat model of depression: prefrontal cortex level of BDNF protein and monoaminergic neurotransmitters</t>
  </si>
  <si>
    <t xml:space="preserve">Aboul-Fotouh S.</t>
  </si>
  <si>
    <t xml:space="preserve">10.1007/s00213-014-3745-5</t>
  </si>
  <si>
    <t xml:space="preserve">Electroconvulsive stimulation, but not chronic restraint stress, causes structural alterations in adult rat hippocampus--a stereological study</t>
  </si>
  <si>
    <t xml:space="preserve">Olesen MV, Wörtwein G, Pakkenberg B.</t>
  </si>
  <si>
    <t xml:space="preserve">Hippocampus</t>
  </si>
  <si>
    <t xml:space="preserve">10.1002/hipo.22351</t>
  </si>
  <si>
    <t xml:space="preserve">Data expressed as 'diference between % immobility between test and pre-test"</t>
  </si>
  <si>
    <t xml:space="preserve">CONTROL (% preference for sucrose)</t>
  </si>
  <si>
    <t xml:space="preserve">TEST (% preference for sucrose)</t>
  </si>
  <si>
    <t xml:space="preserve">SPT</t>
  </si>
  <si>
    <t xml:space="preserve">Test duration (h)</t>
  </si>
  <si>
    <t xml:space="preserve">% sucrose solution (w/v)</t>
  </si>
  <si>
    <t xml:space="preserve">Duration of prior water deprivation (h)</t>
  </si>
  <si>
    <t xml:space="preserve">Duration of prior food deprivation (h)</t>
  </si>
  <si>
    <t xml:space="preserve">control sem </t>
  </si>
  <si>
    <t xml:space="preserve">test sem </t>
  </si>
  <si>
    <t xml:space="preserve">Data from after 4 weeks of CRS</t>
  </si>
  <si>
    <t xml:space="preserve">Data from after 8 weeks of CRS</t>
  </si>
  <si>
    <t xml:space="preserve">A Comparison Study of Chaihu Shugan San and Fluoxetine on Antidepression and Regulating Blood Rheology Effects with Chronic Restrained Stress Rats</t>
  </si>
  <si>
    <t xml:space="preserve">Qian M, Peng R, Yue C, Yang Z, Zhu H, Liu B, Xie M.</t>
  </si>
  <si>
    <t xml:space="preserve">10.1155/2020/6426383</t>
  </si>
  <si>
    <t xml:space="preserve">Sucrose preference "corrected for body weight"</t>
  </si>
  <si>
    <t xml:space="preserve">1% saccharin</t>
  </si>
  <si>
    <t xml:space="preserve">3H</t>
  </si>
  <si>
    <t xml:space="preserve">Used saccharin, not sucrose</t>
  </si>
  <si>
    <t xml:space="preserve">Exploring pathogenesis and biomarkers through establishment of a rat model of male infertility with liver depression and kidney deficiency</t>
  </si>
  <si>
    <t xml:space="preserve">Shen Y, Fan J, Liu S, Tao L, Yang Q, Shen X.</t>
  </si>
  <si>
    <t xml:space="preserve">10.1371/journal.pone.0303189</t>
  </si>
  <si>
    <t xml:space="preserve">Limited SPT data provided</t>
  </si>
  <si>
    <t xml:space="preserve">5H</t>
  </si>
  <si>
    <t xml:space="preserve">Shenyu ningshen tablet reduced neuronal damage in the hippocampus of chronic restraint stress model rat by inhibiting A1-reactive astrocytes</t>
  </si>
  <si>
    <t xml:space="preserve">Wang Y, Li S, Chen M, Zeng M, Zhou L, Yao R, Pang B, Xu Y, Cao S, Guo S, Cui X.</t>
  </si>
  <si>
    <t xml:space="preserve">Heliyon</t>
  </si>
  <si>
    <t xml:space="preserve">10.1016/j.heliyon.2024.e28916</t>
  </si>
  <si>
    <t xml:space="preserve">Acupuncture Ameliorates Depression-Like Behaviors Through Modulating the Neuroinflammation Mediated by TLR4 Signaling Pathway in Rats Exposed to Chronic Restraint Stress</t>
  </si>
  <si>
    <t xml:space="preserve">Jiang H, Long X, Wang Y, Zhang X, Chen L, Yang X, Zhao B, Zhang Y, Chai Y, Bao T.</t>
  </si>
  <si>
    <t xml:space="preserve">10.1007/s12035-023-03737-6</t>
  </si>
  <si>
    <t xml:space="preserve">SPT method used was from three cited papers</t>
  </si>
  <si>
    <t xml:space="preserve">Chronic restraint stress alters rat behavior depending on sex and duration of stress</t>
  </si>
  <si>
    <t xml:space="preserve">Pansarim V, Leite-Panissi CRA, Schmidt A.</t>
  </si>
  <si>
    <t xml:space="preserve">Behav Processes</t>
  </si>
  <si>
    <t xml:space="preserve">10.1016/j.beproc.2023.104856</t>
  </si>
  <si>
    <t xml:space="preserve">"There was no effect of the interaction between intervention, sex and test day on the preference for sucrose solution for the 11-day intervention groups. However, a moderate main effect of test day was observed for the 22-day intervention groups (with a preference for the sucrose solution of these animals being higher on day 22 than on day 0 of testing . Likewise, there was a moderate effect of the test day for the 11-day intervention groups, with a greater preference on day 11 in relation to test day 0."</t>
  </si>
  <si>
    <t xml:space="preserve">1C1&amp;2</t>
  </si>
  <si>
    <t xml:space="preserve">KXS Balances the Tryptophan Metabolism in Mild to Moderate Depressed Patients and Chronic Restraint Stress Induced Depressive Rats</t>
  </si>
  <si>
    <t xml:space="preserve">Wang Y, Li X, Jing R, Yang W, Wang Y, Wang C, Yao L, Cui X, Hu Y.</t>
  </si>
  <si>
    <t xml:space="preserve">Neuropsychiatr Dis Treat</t>
  </si>
  <si>
    <t xml:space="preserve">10.2147/NDT.S377982</t>
  </si>
  <si>
    <t xml:space="preserve">SPT pre-screen done</t>
  </si>
  <si>
    <t xml:space="preserve">1F</t>
  </si>
  <si>
    <t xml:space="preserve">SPT method used was from two cited papers</t>
  </si>
  <si>
    <t xml:space="preserve">6-16</t>
  </si>
  <si>
    <t xml:space="preserve">Ketamine induces rapid antidepressant effects via the autophagy-NLRP3 inflammasome pathway</t>
  </si>
  <si>
    <t xml:space="preserve">Lyu D, Wang F, Zhang M, Yang W, Huang H, Huang Q, Wu C, Qian N, Wang M, Zhang H, Zheng S, Chen J, Fu Y, Zhang C, Li Z, Hong W.</t>
  </si>
  <si>
    <t xml:space="preserve">10.1007/s00213-022-06201-w</t>
  </si>
  <si>
    <t xml:space="preserve">Wistar-Kyoto</t>
  </si>
  <si>
    <t xml:space="preserve">S1</t>
  </si>
  <si>
    <t xml:space="preserve">8-12</t>
  </si>
  <si>
    <t xml:space="preserve">Study of Antidepressant-Like Effects of Albiflorin and Paeoniflorin Through Metabolomics From the Perspective of Cancer-Related Depression</t>
  </si>
  <si>
    <t xml:space="preserve">Zhao D, Zhang J, Zhu Y, He C, Fei W, Yue N, Wang C, Wang L.</t>
  </si>
  <si>
    <t xml:space="preserve">Front Neurol</t>
  </si>
  <si>
    <t xml:space="preserve">10.3389/fneur.2022.828612</t>
  </si>
  <si>
    <t xml:space="preserve">Comparative analysis of gut microbiota and fecal metabolome features among multiple depressive animal models</t>
  </si>
  <si>
    <t xml:space="preserve">Liu X, Li X, Teng T, Jiang Y, Xiang Y, Fan L, Yu Y, Zhou X, Xie P.</t>
  </si>
  <si>
    <t xml:space="preserve">10.1016/j.jad.2022.06.088</t>
  </si>
  <si>
    <t xml:space="preserve">A rat study model of depression-driven chronic prostatitis by modulating the PI3K/Akt/mTOR network</t>
  </si>
  <si>
    <t xml:space="preserve">Feng JL, Hou D, Zhao C, Bao BH, Huang SY, Deng S, Meng FC, Zhao Q, Wang B, Li HS, Wang JS.</t>
  </si>
  <si>
    <t xml:space="preserve">Andrologia</t>
  </si>
  <si>
    <t xml:space="preserve">10.1111/and.14488</t>
  </si>
  <si>
    <t xml:space="preserve">NA</t>
  </si>
  <si>
    <t xml:space="preserve">Similar data, from same lab</t>
  </si>
  <si>
    <t xml:space="preserve">Mechanistic analysis of erectile dysfunction in a depression rat model</t>
  </si>
  <si>
    <t xml:space="preserve">Hong ZM, Chen ZL, Feng JL, Wang SJ, Qiu JF, Zeng YL, Wang Q, Wang JS.</t>
  </si>
  <si>
    <t xml:space="preserve">J Int Med Res</t>
  </si>
  <si>
    <t xml:space="preserve">10.1177/03000605221100334</t>
  </si>
  <si>
    <t xml:space="preserve">5A</t>
  </si>
  <si>
    <t xml:space="preserve">Chronic restraint stress produces sex-specific behavioral and molecular outcomes in the dorsal and ventral rat hippocampus</t>
  </si>
  <si>
    <t xml:space="preserve">Olave FA, Aguayo FI, Román-Albasini L, Corrales WA, Silva JP, González PI, Lagos S, García MA, Alarcón-Mardones M, Rojas PS, Xu X, Cidlowski JA, Aliaga E, Fiedler J.</t>
  </si>
  <si>
    <t xml:space="preserve">Neurobiol Stress</t>
  </si>
  <si>
    <t xml:space="preserve">10.1016/j.ynstr.2022.100440</t>
  </si>
  <si>
    <t xml:space="preserve">Reported water consumption in the SPT</t>
  </si>
  <si>
    <t xml:space="preserve">Effects of Achillea tenuifolia Lam. hydro-alcoholic extract on anxiety-like behavior and reproductive parameters in rat model of chronic restraint stress</t>
  </si>
  <si>
    <t xml:space="preserve">Bagheri Y, Fathi E, Maghoul A, Moshtagh S, Mokhtari K, Abdollahpour A, Montazersaheb S, Bagheri A.</t>
  </si>
  <si>
    <t xml:space="preserve">Hum Exp Toxicol</t>
  </si>
  <si>
    <t xml:space="preserve">10.1177/09603271211026723</t>
  </si>
  <si>
    <t xml:space="preserve">1A1/2</t>
  </si>
  <si>
    <t xml:space="preserve">Group size based on assumption 16 rats were divided equally between groups</t>
  </si>
  <si>
    <t xml:space="preserve">3A/B</t>
  </si>
  <si>
    <t xml:space="preserve">"n&gt;9"</t>
  </si>
  <si>
    <t xml:space="preserve">3A-b</t>
  </si>
  <si>
    <t xml:space="preserve">Molecular-level effects of acupuncture on depression: a genome-wide transcriptome analysis of pituitary gland in rats exposed to chronic restraint stress</t>
  </si>
  <si>
    <t xml:space="preserve">Wang Y, Jiang H, Li J, Yang X, Zhao B, Yu Q, Liang X, Bao T, Meng H.</t>
  </si>
  <si>
    <t xml:space="preserve">J Tradit Chin Med</t>
  </si>
  <si>
    <t xml:space="preserve">https://www.sciencedirect.com/science/article/pii/S0254627217301553?via%3Dihub</t>
  </si>
  <si>
    <t xml:space="preserve">Data presented as sucrose consumption (g), not as sucrose prefernce</t>
  </si>
  <si>
    <t xml:space="preserve">2G</t>
  </si>
  <si>
    <t xml:space="preserve">CRS method taken from cited article</t>
  </si>
  <si>
    <t xml:space="preserve">text &amp; S1e</t>
  </si>
  <si>
    <t xml:space="preserve">Effect of traditional Chinese medicine formula Sinisan on chronic restraint stress-induced nonalcoholic fatty liver disease: a rat study</t>
  </si>
  <si>
    <t xml:space="preserve">Cheng F, Ma C, Wang X, Zhai C, Wang G, Xu X, Mu J, Li C, Wang Z, Zhang X, Yue W, Du X, Lian Y, Zhu W, Yin X, Wei Z, Song W, Wang Q.</t>
  </si>
  <si>
    <t xml:space="preserve">BMC Complement Altern Med</t>
  </si>
  <si>
    <t xml:space="preserve">10.1186/s12906-017-1707-2</t>
  </si>
  <si>
    <t xml:space="preserve">CONTROL (time spent in open arms (sec or %))</t>
  </si>
  <si>
    <t xml:space="preserve">TEST (time spent in open arms (sec or %))</t>
  </si>
  <si>
    <t xml:space="preserve">EPM</t>
  </si>
  <si>
    <t xml:space="preserve">EPM total time (min)</t>
  </si>
  <si>
    <t xml:space="preserve">Glucocorticoid alleviates hypothalamic nerve injury via remodeling HPA axis homeostasis in stressed rats</t>
  </si>
  <si>
    <t xml:space="preserve">Yi S, Zhao B, Wei L, Yao Z, Yang B.</t>
  </si>
  <si>
    <t xml:space="preserve">10.1016/j.bbr.2024.115223</t>
  </si>
  <si>
    <t xml:space="preserve">Effects of chronic stress on rat heart function following regional ischemia: a sex-dependent investigation</t>
  </si>
  <si>
    <t xml:space="preserve">Cairns M, Odendaal C, O'Brien C, Marais E, Oestlund I, Storbeck KH, Sishi B, Joseph D, Smith C, Essop MF.</t>
  </si>
  <si>
    <t xml:space="preserve">Am J Physiol Heart Circ Physiol</t>
  </si>
  <si>
    <t xml:space="preserve">10.1152/ajpheart.00424.2024</t>
  </si>
  <si>
    <t xml:space="preserve">5D</t>
  </si>
  <si>
    <t xml:space="preserve">Median given</t>
  </si>
  <si>
    <t xml:space="preserve">Mean and SD calculated from individual data points in figure</t>
  </si>
  <si>
    <t xml:space="preserve">Tarooneh extract relieves anxiety-like behaviors and cognitive deficits by inhibiting synaptic loss in the hippocampus and frontal cortex in rats subjected to chronic restraint stress</t>
  </si>
  <si>
    <t xml:space="preserve">Hadipour M, Refahi S, Jangravi Z, Meftahi GH.</t>
  </si>
  <si>
    <t xml:space="preserve">3 Biotech</t>
  </si>
  <si>
    <t xml:space="preserve">10.1007/s13205-023-03577-0</t>
  </si>
  <si>
    <t xml:space="preserve">Table 2</t>
  </si>
  <si>
    <t xml:space="preserve">1I</t>
  </si>
  <si>
    <t xml:space="preserve">Supp Fig 2 </t>
  </si>
  <si>
    <t xml:space="preserve">Differential effects of chronic stress on anxiety-like behavior and contextual fear conditioning in the TgF344-AD rat model of Alzheimer's disease</t>
  </si>
  <si>
    <t xml:space="preserve">Pentkowski NS, Bouquin SJ, Maestas-Olguin CR, Villasenor ZM, Clark BJ.</t>
  </si>
  <si>
    <t xml:space="preserve">10.1016/j.bbr.2021.113661</t>
  </si>
  <si>
    <t xml:space="preserve">TgF344-AD (wild type)</t>
  </si>
  <si>
    <t xml:space="preserve">Jie-Yu-He-Huan Capsule Ameliorates Anxiety-Like Behaviours in Rats Exposed to Chronic Restraint Stress via the cAMP/PKA/CREB/BDNF Signalling Pathway</t>
  </si>
  <si>
    <t xml:space="preserve">Geng X, Wu H, Li Z, Li C, Chen D, Zong J, Liu Z, Wei S, Peng W.</t>
  </si>
  <si>
    <t xml:space="preserve">Oxid Med Cell Longev</t>
  </si>
  <si>
    <t xml:space="preserve">10.1155/2021/1703981</t>
  </si>
  <si>
    <t xml:space="preserve">6-8</t>
  </si>
  <si>
    <t xml:space="preserve">Tetramethylpyrazine Alleviates Behavioral and Psychological Symptoms of Dementia Through Facilitating Hippocampal Synaptic Plasticity in Rats With Chronic Cerebral Hypoperfusion</t>
  </si>
  <si>
    <t xml:space="preserve">Tan Z, Qiu J, Zhang Y, Yang Q, Yin X, Li J, Liu G, Li H, Yang G.</t>
  </si>
  <si>
    <t xml:space="preserve">10.3389/fnins.2021.646537</t>
  </si>
  <si>
    <t xml:space="preserve">No appropriate control</t>
  </si>
  <si>
    <t xml:space="preserve">3Dc </t>
  </si>
  <si>
    <t xml:space="preserve">An optimized spectrophotometric assay reveals increased activity of enzymes involved in 2-arachidonoyl glycerol turnover in the cerebral cortex of a rat model of Alzheimer's disease</t>
  </si>
  <si>
    <t xml:space="preserve">Rodrigues MS, Ferreira C, Dias C, Pliássova A, Souza L, Ledo A, Laranjinha J, Cunha RA, Köfalvi A.</t>
  </si>
  <si>
    <t xml:space="preserve">10.1111/ejn.14944</t>
  </si>
  <si>
    <t xml:space="preserve">Wistar Han</t>
  </si>
  <si>
    <t xml:space="preserve">Text</t>
  </si>
  <si>
    <t xml:space="preserve">Strain Differences in Responsiveness to Repeated Restraint Stress Affect Remote Contextual Fear Memory and Blood Transcriptomics</t>
  </si>
  <si>
    <t xml:space="preserve">Jung SH, Meckes JK, Schipma MJ, Lim PH, Jenz ST, Przybyl K, Wert SL, Kim S, Luo W, Gacek SA, Jankord R, Hatcher-Solis C, Redei EE.</t>
  </si>
  <si>
    <t xml:space="preserve">Neuroscience</t>
  </si>
  <si>
    <t xml:space="preserve">10.1016/j.neuroscience.2020.07.052</t>
  </si>
  <si>
    <t xml:space="preserve">Time in open arms not reported</t>
  </si>
  <si>
    <t xml:space="preserve">F334</t>
  </si>
  <si>
    <t xml:space="preserve">9-10</t>
  </si>
  <si>
    <t xml:space="preserve">Effect of Restraint Stress on Plasma PTH Concentration and Its Molecular Targets Expressions in Wistar Rats</t>
  </si>
  <si>
    <t xml:space="preserve">Terzioglu-Usak S, Elibol B, Dalli T, Guler C, Aysan E.</t>
  </si>
  <si>
    <t xml:space="preserve">Int J Endocrinol Metab</t>
  </si>
  <si>
    <t xml:space="preserve">10.5812/ijem.66979</t>
  </si>
  <si>
    <t xml:space="preserve">Hippocampal orexin receptor blocking prevented the stress induced social learning and memory deficits</t>
  </si>
  <si>
    <t xml:space="preserve">Bahramzadeh Zoeram S, Elahdadi Salmani M, Lashkarbolouki T, Goudarzi I.</t>
  </si>
  <si>
    <t xml:space="preserve">Neurobiol Learn Mem</t>
  </si>
  <si>
    <t xml:space="preserve">10.1016/j.nlm.2018.11.009</t>
  </si>
  <si>
    <t xml:space="preserve">12-13</t>
  </si>
  <si>
    <t xml:space="preserve">11-12</t>
  </si>
  <si>
    <t xml:space="preserve">2N</t>
  </si>
  <si>
    <t xml:space="preserve">RU486 Reverses Emotional Disorders by Influencing Astrocytes and Endoplasmic Reticulum Stress in Chronic Restraint Stress Challenged Rats</t>
  </si>
  <si>
    <t xml:space="preserve">Dong L, Wang S, Li Y, Zhao Z, Shen Y, Liu L, Xu G, Ma C, Li S, Zhang X, Cong B.</t>
  </si>
  <si>
    <t xml:space="preserve">Cell Physiol Biochem</t>
  </si>
  <si>
    <t xml:space="preserve">10.1159/000478764</t>
  </si>
  <si>
    <t xml:space="preserve">4D</t>
  </si>
  <si>
    <t xml:space="preserve">Supp Fig 3</t>
  </si>
  <si>
    <t xml:space="preserve">CONTROL (time spent in centre (sec or %))</t>
  </si>
  <si>
    <t xml:space="preserve">TEST (time spent in centre (sec or %))</t>
  </si>
  <si>
    <t xml:space="preserve">OFT</t>
  </si>
  <si>
    <t xml:space="preserve">OFT total time (min)</t>
  </si>
  <si>
    <t xml:space="preserve">Time spent in centre not reported</t>
  </si>
  <si>
    <t xml:space="preserve">Multiple SPTs and OFTs done</t>
  </si>
  <si>
    <t xml:space="preserve">Date palm spathe extract reverses chronic stress-induced changes in dendritic arborization in the amygdala and impairment of hippocampal long-term potentiation</t>
  </si>
  <si>
    <t xml:space="preserve">Hadipour M, Meftahi GH, Jahromi GP.</t>
  </si>
  <si>
    <t xml:space="preserve">Synapse</t>
  </si>
  <si>
    <t xml:space="preserve">10.1002/syn.22278</t>
  </si>
  <si>
    <t xml:space="preserve">Data extracted from violon plot</t>
  </si>
  <si>
    <t xml:space="preserve">OFT method used was from a cited paper. Time spent in centre not reported</t>
  </si>
  <si>
    <t xml:space="preserve">Co-exposure of chronic stress and alumina nanoparticles aggravates hippocampal microglia pyroptosis by activating cathepsin B/NLRP3 signaling pathway</t>
  </si>
  <si>
    <t xml:space="preserve">Zhang H, Wang J, Ruan C, Gao Z, Zhu Q, Li S.</t>
  </si>
  <si>
    <t xml:space="preserve">J Hazard Mater</t>
  </si>
  <si>
    <t xml:space="preserve">10.1016/j.jhazmat.2022.129093</t>
  </si>
  <si>
    <t xml:space="preserve">4B</t>
  </si>
  <si>
    <t xml:space="preserve">2F</t>
  </si>
  <si>
    <t xml:space="preserve">Protective effect of ginsenoside Rb1 against chronic restraint stress (CRS)-induced memory impairments in rats</t>
  </si>
  <si>
    <t xml:space="preserve">Jiang N, Wang K, Zhang Y, Huang H, Lv JW, Wang Q, Wang HX, Xia TJ, Liu XM.</t>
  </si>
  <si>
    <t xml:space="preserve">10.1016/j.bbr.2021.113146</t>
  </si>
  <si>
    <t xml:space="preserve">Free Wanderer Powder regulates AMPA receptor homeostasis in chronic restraint stress-induced rat model of depression with liver-depression and spleen-deficiency syndrome</t>
  </si>
  <si>
    <t xml:space="preserve">Xi S, Yue G, Liu Y, Wang Y, Qiu Y, Li Z, Ma P, Liu T, Jiang Y, Liang Y, Liu Q, Shi J, Chen J, Yue L.</t>
  </si>
  <si>
    <t xml:space="preserve">Aging (Albany NY)</t>
  </si>
  <si>
    <t xml:space="preserve">10.18632/aging.103912</t>
  </si>
  <si>
    <t xml:space="preserve">The involvement of Notch1 signaling pathway in mid-aged female rats under chronic restraint stress</t>
  </si>
  <si>
    <t xml:space="preserve">Shen J, Lin L, Liao L, Liang W, Yang X, Lin K, Ke L, Zhang L, Kang J, Ding S, Li C, Zheng Z.</t>
  </si>
  <si>
    <t xml:space="preserve">10.1016/j.neulet.2020.135313</t>
  </si>
  <si>
    <t xml:space="preserve">Multi-omics analysis of pathological changes in the amygdala of rats subjected to chronic restraint stress</t>
  </si>
  <si>
    <t xml:space="preserve">Li Z, Gao C, Peng J, Liu M, Cong B.</t>
  </si>
  <si>
    <t xml:space="preserve">10.1016/j.bbr.2020.112735</t>
  </si>
  <si>
    <t xml:space="preserve">Changes in gonadal function at different stages of chronic restraint stress-induced depression animals</t>
  </si>
  <si>
    <t xml:space="preserve">Liu B, Zhao L, Yue C, Qian M, Xie M.</t>
  </si>
  <si>
    <t xml:space="preserve">Physiol Behav</t>
  </si>
  <si>
    <t xml:space="preserve">10.1016/j.physbeh.2019.112656</t>
  </si>
  <si>
    <t xml:space="preserve">Time spent in centre mentioned in methods but not reported</t>
  </si>
  <si>
    <t xml:space="preserve">Data given as "median/interquartile range"</t>
  </si>
  <si>
    <t xml:space="preserve">Proteomic Analysis of Liver Proteins in a Rat Model of Chronic Restraint Stress-Induced Depression</t>
  </si>
  <si>
    <t xml:space="preserve">Li C, Guo Z, Zhao R, Sun W, Xie M.</t>
  </si>
  <si>
    <t xml:space="preserve">Biomed Res Int</t>
  </si>
  <si>
    <t xml:space="preserve">10.1155/2017/7508316</t>
  </si>
  <si>
    <t xml:space="preserve">2E</t>
  </si>
  <si>
    <t xml:space="preserve">Age-related effects of chronic restraint stress on ethanol drinking, ethanol-induced sedation, and on basal and stress-induced anxiety response</t>
  </si>
  <si>
    <t xml:space="preserve">Fernández MS, Fabio MC, Miranda-Morales RS, Virgolini MB, De Giovanni LN, Hansen C, Wille-Bille A, Nizhnikov ME, Spear LP, Pautassi RM.</t>
  </si>
  <si>
    <t xml:space="preserve">Alcohol</t>
  </si>
  <si>
    <t xml:space="preserve">10.1016/j.alcohol.2015.11.009</t>
  </si>
  <si>
    <t xml:space="preserve">7 (at testing)</t>
  </si>
  <si>
    <t xml:space="preserve">11 (at testing)</t>
  </si>
  <si>
    <t xml:space="preserve">Electroacupuncture pretreatment exhibits anti-depressive effects by regulating hippocampal proteomics in rats with chronic restraint stress</t>
  </si>
  <si>
    <t xml:space="preserve">Guo Z, Tu Y, Guo TW, Wu YC, Yang XQ, Sun L, Yang XJ, Zhang WY, Wang Y, Zhang XH.</t>
  </si>
  <si>
    <t xml:space="preserve">Neural Regen Res</t>
  </si>
  <si>
    <t xml:space="preserve">10.4103/1673-5374.162764</t>
  </si>
  <si>
    <t xml:space="preserve">Involvement of trigeminal astrocyte activation in masseter hyperalgesia under stress</t>
  </si>
  <si>
    <t xml:space="preserve">Zhao YJ, Liu Y, Li Q, Zhao YH, Wang J, Zhang M, Chen YJ.</t>
  </si>
  <si>
    <t xml:space="preserve">10.1016/j.physbeh.2015.02.005</t>
  </si>
  <si>
    <t xml:space="preserve">restraint (min)</t>
  </si>
  <si>
    <t xml:space="preserve">restraint (h)</t>
  </si>
  <si>
    <t xml:space="preserve">ES</t>
  </si>
</sst>
</file>

<file path=xl/styles.xml><?xml version="1.0" encoding="utf-8"?>
<styleSheet xmlns="http://schemas.openxmlformats.org/spreadsheetml/2006/main">
  <numFmts count="4">
    <numFmt numFmtId="164" formatCode="General"/>
    <numFmt numFmtId="165" formatCode="@"/>
    <numFmt numFmtId="166" formatCode="0.0"/>
    <numFmt numFmtId="167" formatCode="0.00"/>
  </numFmts>
  <fonts count="8">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sz val="12"/>
      <color rgb="FF222222"/>
      <name val="Aptos Narrow"/>
      <family val="2"/>
      <charset val="1"/>
    </font>
    <font>
      <sz val="11"/>
      <name val="Aptos Narrow"/>
      <family val="2"/>
      <charset val="1"/>
    </font>
    <font>
      <sz val="10"/>
      <name val="Arial"/>
      <family val="2"/>
    </font>
  </fonts>
  <fills count="10">
    <fill>
      <patternFill patternType="none"/>
    </fill>
    <fill>
      <patternFill patternType="gray125"/>
    </fill>
    <fill>
      <patternFill patternType="solid">
        <fgColor theme="9" tint="0.7999"/>
        <bgColor rgb="FFE8E8E8"/>
      </patternFill>
    </fill>
    <fill>
      <patternFill patternType="solid">
        <fgColor theme="9" tint="0.3999"/>
        <bgColor rgb="FFC0C0C0"/>
      </patternFill>
    </fill>
    <fill>
      <patternFill patternType="solid">
        <fgColor theme="2"/>
        <bgColor rgb="FFDCEAF7"/>
      </patternFill>
    </fill>
    <fill>
      <patternFill patternType="solid">
        <fgColor theme="8" tint="0.7999"/>
        <bgColor rgb="FFFBE3D6"/>
      </patternFill>
    </fill>
    <fill>
      <patternFill patternType="solid">
        <fgColor theme="3" tint="0.8999"/>
        <bgColor rgb="FFE8E8E8"/>
      </patternFill>
    </fill>
    <fill>
      <patternFill patternType="solid">
        <fgColor rgb="FFFFFF00"/>
        <bgColor rgb="FFFFFF00"/>
      </patternFill>
    </fill>
    <fill>
      <patternFill patternType="solid">
        <fgColor theme="5" tint="0.7999"/>
        <bgColor rgb="FFE8E8E8"/>
      </patternFill>
    </fill>
    <fill>
      <patternFill patternType="solid">
        <fgColor rgb="FFFFC000"/>
        <bgColor rgb="FFFF99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top" textRotation="0" wrapText="false" indent="0" shrinkToFit="false"/>
      <protection locked="true" hidden="false"/>
    </xf>
    <xf numFmtId="165" fontId="0" fillId="0" borderId="0" xfId="0" applyFont="false" applyBorder="false" applyAlignment="true" applyProtection="true">
      <alignment horizontal="center" vertical="top"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2" borderId="0" xfId="0" applyFont="true" applyBorder="false" applyAlignment="true" applyProtection="true">
      <alignment horizontal="center" vertical="top" textRotation="0" wrapText="false" indent="0" shrinkToFit="false"/>
      <protection locked="true" hidden="false"/>
    </xf>
    <xf numFmtId="164" fontId="0" fillId="2" borderId="0" xfId="0" applyFont="false" applyBorder="false" applyAlignment="true" applyProtection="true">
      <alignment horizontal="center" vertical="top" textRotation="0" wrapText="false" indent="0" shrinkToFit="false"/>
      <protection locked="true" hidden="false"/>
    </xf>
    <xf numFmtId="165" fontId="0" fillId="2" borderId="0" xfId="0" applyFont="false" applyBorder="false" applyAlignment="true" applyProtection="true">
      <alignment horizontal="center" vertical="top" textRotation="0" wrapText="false" indent="0" shrinkToFit="false"/>
      <protection locked="true" hidden="false"/>
    </xf>
    <xf numFmtId="164" fontId="4" fillId="3" borderId="0" xfId="0" applyFont="true" applyBorder="false" applyAlignment="true" applyProtection="true">
      <alignment horizontal="center" vertical="top" textRotation="0" wrapText="false" indent="0" shrinkToFit="false"/>
      <protection locked="true" hidden="false"/>
    </xf>
    <xf numFmtId="164" fontId="0" fillId="3" borderId="0" xfId="0" applyFont="false" applyBorder="false" applyAlignment="true" applyProtection="true">
      <alignment horizontal="center" vertical="top" textRotation="0" wrapText="false" indent="0" shrinkToFit="false"/>
      <protection locked="true" hidden="false"/>
    </xf>
    <xf numFmtId="165" fontId="0" fillId="3" borderId="0" xfId="0" applyFont="false" applyBorder="false" applyAlignment="true" applyProtection="true">
      <alignment horizontal="center" vertical="top" textRotation="0" wrapText="false" indent="0" shrinkToFit="false"/>
      <protection locked="true" hidden="false"/>
    </xf>
    <xf numFmtId="165"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top" textRotation="0" wrapText="false" indent="0" shrinkToFit="false"/>
      <protection locked="true" hidden="false"/>
    </xf>
    <xf numFmtId="166" fontId="4" fillId="2" borderId="0" xfId="0" applyFont="true" applyBorder="false" applyAlignment="true" applyProtection="true">
      <alignment horizontal="center" vertical="top" textRotation="0" wrapText="false" indent="0" shrinkToFit="false"/>
      <protection locked="true" hidden="false"/>
    </xf>
    <xf numFmtId="165" fontId="4" fillId="2" borderId="0" xfId="0" applyFont="true" applyBorder="false" applyAlignment="true" applyProtection="true">
      <alignment horizontal="center" vertical="top" textRotation="0" wrapText="false" indent="0" shrinkToFit="false"/>
      <protection locked="true" hidden="false"/>
    </xf>
    <xf numFmtId="166" fontId="4" fillId="3" borderId="0" xfId="0" applyFont="true" applyBorder="false" applyAlignment="true" applyProtection="true">
      <alignment horizontal="center" vertical="top" textRotation="0" wrapText="false" indent="0" shrinkToFit="false"/>
      <protection locked="true" hidden="false"/>
    </xf>
    <xf numFmtId="165" fontId="4" fillId="3" borderId="0" xfId="0" applyFont="true" applyBorder="false" applyAlignment="true" applyProtection="true">
      <alignment horizontal="center" vertical="top" textRotation="0" wrapText="false" indent="0" shrinkToFit="false"/>
      <protection locked="true" hidden="false"/>
    </xf>
    <xf numFmtId="164" fontId="0" fillId="4" borderId="0" xfId="0" applyFont="false" applyBorder="false" applyAlignment="true" applyProtection="true">
      <alignment horizontal="center" vertical="bottom" textRotation="0" wrapText="false" indent="0" shrinkToFit="false"/>
      <protection locked="true" hidden="false"/>
    </xf>
    <xf numFmtId="165" fontId="0" fillId="4" borderId="0" xfId="0" applyFont="false" applyBorder="false" applyAlignment="true" applyProtection="true">
      <alignment horizontal="center" vertical="bottom" textRotation="0" wrapText="false" indent="0" shrinkToFit="false"/>
      <protection locked="true" hidden="false"/>
    </xf>
    <xf numFmtId="167" fontId="0" fillId="0" borderId="0" xfId="0" applyFont="false" applyBorder="false" applyAlignment="true" applyProtection="true">
      <alignment horizontal="center" vertical="top" textRotation="0" wrapText="false" indent="0" shrinkToFit="false"/>
      <protection locked="true" hidden="false"/>
    </xf>
    <xf numFmtId="166" fontId="0" fillId="0" borderId="0" xfId="0" applyFont="false" applyBorder="false" applyAlignment="true" applyProtection="true">
      <alignment horizontal="center" vertical="top" textRotation="0" wrapText="false" indent="0" shrinkToFit="false"/>
      <protection locked="true" hidden="false"/>
    </xf>
    <xf numFmtId="165" fontId="0" fillId="5"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0" xfId="0" applyFont="true" applyBorder="fals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center" vertical="top" textRotation="0" wrapText="false" indent="0" shrinkToFit="false"/>
      <protection locked="true" hidden="false"/>
    </xf>
    <xf numFmtId="164" fontId="0" fillId="7" borderId="0" xfId="0" applyFont="false" applyBorder="false" applyAlignment="true" applyProtection="true">
      <alignment horizontal="center"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true" hidden="false"/>
    </xf>
    <xf numFmtId="164" fontId="0" fillId="8"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right" vertical="top" textRotation="0" wrapText="false" indent="0" shrinkToFit="false"/>
      <protection locked="true" hidden="false"/>
    </xf>
    <xf numFmtId="165" fontId="0" fillId="0" borderId="0" xfId="0" applyFont="false" applyBorder="false" applyAlignment="true" applyProtection="true">
      <alignment horizontal="right" vertical="top"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4" fillId="2" borderId="0" xfId="0" applyFont="true" applyBorder="false" applyAlignment="true" applyProtection="true">
      <alignment horizontal="left" vertical="top" textRotation="0" wrapText="false" indent="0" shrinkToFit="false"/>
      <protection locked="true" hidden="false"/>
    </xf>
    <xf numFmtId="164" fontId="0" fillId="2" borderId="0" xfId="0" applyFont="false" applyBorder="false" applyAlignment="true" applyProtection="true">
      <alignment horizontal="left" vertical="top" textRotation="0" wrapText="false" indent="0" shrinkToFit="false"/>
      <protection locked="true" hidden="false"/>
    </xf>
    <xf numFmtId="165" fontId="0" fillId="2" borderId="0" xfId="0" applyFont="false" applyBorder="false" applyAlignment="true" applyProtection="true">
      <alignment horizontal="right" vertical="top" textRotation="0" wrapText="false" indent="0" shrinkToFit="false"/>
      <protection locked="true" hidden="false"/>
    </xf>
    <xf numFmtId="164" fontId="4" fillId="3" borderId="0" xfId="0" applyFont="true" applyBorder="false" applyAlignment="true" applyProtection="true">
      <alignment horizontal="left" vertical="top" textRotation="0" wrapText="false" indent="0" shrinkToFit="false"/>
      <protection locked="true" hidden="false"/>
    </xf>
    <xf numFmtId="164" fontId="0" fillId="3" borderId="0" xfId="0" applyFont="false" applyBorder="false" applyAlignment="true" applyProtection="true">
      <alignment horizontal="left" vertical="top" textRotation="0" wrapText="false" indent="0" shrinkToFit="false"/>
      <protection locked="true" hidden="false"/>
    </xf>
    <xf numFmtId="165" fontId="0" fillId="3" borderId="0" xfId="0" applyFont="false" applyBorder="false" applyAlignment="true" applyProtection="true">
      <alignment horizontal="right" vertical="top" textRotation="0" wrapText="false" indent="0" shrinkToFit="false"/>
      <protection locked="true" hidden="false"/>
    </xf>
    <xf numFmtId="165" fontId="4" fillId="0"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6" fontId="4" fillId="2" borderId="0" xfId="0" applyFont="true" applyBorder="false" applyAlignment="true" applyProtection="true">
      <alignment horizontal="right" vertical="top" textRotation="0" wrapText="false" indent="0" shrinkToFit="false"/>
      <protection locked="true" hidden="false"/>
    </xf>
    <xf numFmtId="164" fontId="4" fillId="2" borderId="0" xfId="0" applyFont="true" applyBorder="false" applyAlignment="true" applyProtection="true">
      <alignment horizontal="right" vertical="top" textRotation="0" wrapText="false" indent="0" shrinkToFit="false"/>
      <protection locked="true" hidden="false"/>
    </xf>
    <xf numFmtId="165" fontId="4" fillId="2" borderId="0" xfId="0" applyFont="true" applyBorder="false" applyAlignment="true" applyProtection="true">
      <alignment horizontal="right" vertical="top" textRotation="0" wrapText="false" indent="0" shrinkToFit="false"/>
      <protection locked="true" hidden="false"/>
    </xf>
    <xf numFmtId="166" fontId="4" fillId="3" borderId="0" xfId="0" applyFont="true" applyBorder="false" applyAlignment="true" applyProtection="true">
      <alignment horizontal="right" vertical="top" textRotation="0" wrapText="false" indent="0" shrinkToFit="false"/>
      <protection locked="true" hidden="false"/>
    </xf>
    <xf numFmtId="164" fontId="4" fillId="3" borderId="0" xfId="0" applyFont="true" applyBorder="false" applyAlignment="true" applyProtection="true">
      <alignment horizontal="right" vertical="top" textRotation="0" wrapText="false" indent="0" shrinkToFit="false"/>
      <protection locked="true" hidden="false"/>
    </xf>
    <xf numFmtId="165" fontId="4" fillId="3" borderId="0" xfId="0" applyFont="true" applyBorder="false" applyAlignment="true" applyProtection="true">
      <alignment horizontal="right" vertical="top" textRotation="0" wrapText="false" indent="0" shrinkToFit="false"/>
      <protection locked="true" hidden="false"/>
    </xf>
    <xf numFmtId="164" fontId="4" fillId="0" borderId="0" xfId="0" applyFont="true" applyBorder="false" applyAlignment="true" applyProtection="true">
      <alignment horizontal="right" vertical="top"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right" vertical="top"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left" vertical="bottom" textRotation="0" wrapText="false" indent="0" shrinkToFit="false"/>
      <protection locked="true" hidden="false"/>
    </xf>
    <xf numFmtId="166" fontId="0" fillId="4" borderId="0" xfId="0" applyFont="fals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right" vertical="bottom" textRotation="0" wrapText="false" indent="0" shrinkToFit="false"/>
      <protection locked="true" hidden="false"/>
    </xf>
    <xf numFmtId="165" fontId="0" fillId="5"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true" applyAlignment="true" applyProtection="true">
      <alignment horizontal="left" vertical="top" textRotation="0" wrapText="true" indent="0" shrinkToFit="false"/>
      <protection locked="true" hidden="false"/>
    </xf>
    <xf numFmtId="164" fontId="0" fillId="5" borderId="0" xfId="0" applyFont="true" applyBorder="true" applyAlignment="true" applyProtection="true">
      <alignment horizontal="left" vertical="center"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left" vertical="top" textRotation="0" wrapText="false" indent="0" shrinkToFit="false"/>
      <protection locked="true" hidden="false"/>
    </xf>
    <xf numFmtId="166" fontId="4" fillId="0" borderId="0" xfId="0" applyFont="true" applyBorder="false" applyAlignment="true" applyProtection="true">
      <alignment horizontal="right"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6" borderId="0" xfId="0" applyFont="true" applyBorder="false" applyAlignment="true" applyProtection="true">
      <alignment horizontal="right" vertical="bottom" textRotation="0" wrapText="false" indent="0" shrinkToFit="false"/>
      <protection locked="true" hidden="false"/>
    </xf>
    <xf numFmtId="167" fontId="0" fillId="0" borderId="0" xfId="0" applyFont="fals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8E8E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3D6"/>
      <rgbColor rgb="FFDCEAF7"/>
      <rgbColor rgb="FF660066"/>
      <rgbColor rgb="FFFF8080"/>
      <rgbColor rgb="FF0066CC"/>
      <rgbColor rgb="FFF2CFEE"/>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FCC99"/>
      <rgbColor rgb="FF3366FF"/>
      <rgbColor rgb="FF33CCCC"/>
      <rgbColor rgb="FF8ED973"/>
      <rgbColor rgb="FFFFC0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827" ySplit="0" topLeftCell="I1" activePane="topRight" state="split"/>
      <selection pane="topLeft" activeCell="A1" activeCellId="0" sqref="A1"/>
      <selection pane="topRight" activeCell="N12" activeCellId="0" sqref="N12"/>
    </sheetView>
  </sheetViews>
  <sheetFormatPr defaultColWidth="27.3359375" defaultRowHeight="15" zeroHeight="false" outlineLevelRow="0" outlineLevelCol="0"/>
  <cols>
    <col collapsed="false" customWidth="false" hidden="false" outlineLevel="0" max="9" min="1" style="1" width="27.33"/>
    <col collapsed="false" customWidth="false" hidden="false" outlineLevel="0" max="10" min="10" style="2" width="27.33"/>
    <col collapsed="false" customWidth="false" hidden="false" outlineLevel="0" max="18" min="11" style="1" width="27.33"/>
    <col collapsed="false" customWidth="false" hidden="false" outlineLevel="0" max="20" min="19" style="3" width="27.33"/>
    <col collapsed="false" customWidth="false" hidden="false" outlineLevel="0" max="22" min="21" style="4" width="27.33"/>
    <col collapsed="false" customWidth="false" hidden="false" outlineLevel="0" max="26" min="23" style="3" width="27.33"/>
    <col collapsed="false" customWidth="false" hidden="false" outlineLevel="0" max="28" min="27" style="4" width="27.33"/>
    <col collapsed="false" customWidth="false" hidden="false" outlineLevel="0" max="29" min="29" style="3" width="27.33"/>
    <col collapsed="false" customWidth="false" hidden="false" outlineLevel="0" max="30" min="30" style="1" width="27.33"/>
    <col collapsed="false" customWidth="false" hidden="false" outlineLevel="0" max="34" min="31" style="3" width="27.33"/>
    <col collapsed="false" customWidth="false" hidden="false" outlineLevel="0" max="16384" min="35" style="1" width="27.33"/>
  </cols>
  <sheetData>
    <row r="1" s="5" customFormat="true" ht="15" hidden="false" customHeight="false" outlineLevel="0" collapsed="false">
      <c r="R1" s="3"/>
      <c r="S1" s="6" t="s">
        <v>0</v>
      </c>
      <c r="T1" s="7"/>
      <c r="U1" s="8"/>
      <c r="V1" s="8"/>
      <c r="W1" s="7"/>
      <c r="X1" s="3"/>
      <c r="Y1" s="9" t="s">
        <v>1</v>
      </c>
      <c r="Z1" s="10"/>
      <c r="AA1" s="11"/>
      <c r="AB1" s="11"/>
      <c r="AC1" s="10"/>
      <c r="AD1" s="3"/>
      <c r="AE1" s="3"/>
      <c r="AF1" s="3"/>
      <c r="AG1" s="3"/>
      <c r="AH1" s="3"/>
      <c r="AI1" s="3"/>
      <c r="AJ1" s="3"/>
    </row>
    <row r="2" s="5" customFormat="true" ht="15" hidden="false" customHeight="false" outlineLevel="0" collapsed="false">
      <c r="A2" s="5" t="s">
        <v>2</v>
      </c>
      <c r="B2" s="5" t="s">
        <v>3</v>
      </c>
      <c r="C2" s="5" t="s">
        <v>4</v>
      </c>
      <c r="D2" s="5" t="s">
        <v>5</v>
      </c>
      <c r="E2" s="5" t="s">
        <v>6</v>
      </c>
      <c r="F2" s="5" t="s">
        <v>7</v>
      </c>
      <c r="G2" s="5" t="s">
        <v>8</v>
      </c>
      <c r="H2" s="5" t="s">
        <v>9</v>
      </c>
      <c r="I2" s="5" t="s">
        <v>10</v>
      </c>
      <c r="J2" s="12" t="s">
        <v>11</v>
      </c>
      <c r="K2" s="5" t="s">
        <v>12</v>
      </c>
      <c r="L2" s="5" t="s">
        <v>13</v>
      </c>
      <c r="M2" s="5" t="s">
        <v>14</v>
      </c>
      <c r="N2" s="5" t="s">
        <v>15</v>
      </c>
      <c r="O2" s="5" t="s">
        <v>16</v>
      </c>
      <c r="P2" s="5" t="s">
        <v>17</v>
      </c>
      <c r="Q2" s="5" t="s">
        <v>18</v>
      </c>
      <c r="R2" s="13" t="s">
        <v>19</v>
      </c>
      <c r="S2" s="14" t="s">
        <v>20</v>
      </c>
      <c r="T2" s="6" t="s">
        <v>21</v>
      </c>
      <c r="U2" s="15" t="s">
        <v>22</v>
      </c>
      <c r="V2" s="15" t="s">
        <v>23</v>
      </c>
      <c r="W2" s="6" t="s">
        <v>24</v>
      </c>
      <c r="X2" s="3"/>
      <c r="Y2" s="16" t="s">
        <v>25</v>
      </c>
      <c r="Z2" s="9" t="s">
        <v>26</v>
      </c>
      <c r="AA2" s="17" t="s">
        <v>22</v>
      </c>
      <c r="AB2" s="17" t="s">
        <v>23</v>
      </c>
      <c r="AC2" s="9" t="s">
        <v>24</v>
      </c>
      <c r="AD2" s="1"/>
      <c r="AE2" s="13" t="s">
        <v>20</v>
      </c>
      <c r="AF2" s="13" t="s">
        <v>27</v>
      </c>
      <c r="AG2" s="13" t="s">
        <v>28</v>
      </c>
      <c r="AH2" s="13" t="s">
        <v>27</v>
      </c>
      <c r="AI2" s="13" t="s">
        <v>29</v>
      </c>
    </row>
    <row r="3" customFormat="false" ht="15" hidden="false" customHeight="false" outlineLevel="0" collapsed="false">
      <c r="A3" s="1" t="n">
        <v>39432823</v>
      </c>
      <c r="B3" s="1" t="s">
        <v>30</v>
      </c>
      <c r="C3" s="1" t="s">
        <v>31</v>
      </c>
      <c r="D3" s="1" t="s">
        <v>32</v>
      </c>
      <c r="E3" s="1" t="n">
        <v>2024</v>
      </c>
      <c r="F3" s="1" t="s">
        <v>33</v>
      </c>
      <c r="G3" s="1" t="n">
        <v>1</v>
      </c>
      <c r="H3" s="1" t="s">
        <v>27</v>
      </c>
      <c r="I3" s="1" t="s">
        <v>34</v>
      </c>
      <c r="K3" s="1" t="n">
        <v>480</v>
      </c>
      <c r="L3" s="1" t="n">
        <v>1</v>
      </c>
      <c r="M3" s="1" t="n">
        <v>28</v>
      </c>
      <c r="N3" s="1" t="n">
        <f aca="false">M3*K3</f>
        <v>13440</v>
      </c>
      <c r="O3" s="1" t="s">
        <v>35</v>
      </c>
      <c r="P3" s="1" t="n">
        <v>6</v>
      </c>
      <c r="Q3" s="1" t="n">
        <v>4</v>
      </c>
      <c r="R3" s="1" t="n">
        <v>1</v>
      </c>
      <c r="S3" s="18"/>
      <c r="T3" s="18"/>
      <c r="U3" s="19"/>
      <c r="V3" s="19"/>
      <c r="W3" s="18"/>
      <c r="X3" s="1"/>
      <c r="Y3" s="18"/>
      <c r="Z3" s="18"/>
      <c r="AA3" s="19"/>
      <c r="AB3" s="19"/>
      <c r="AC3" s="18"/>
      <c r="AE3" s="18"/>
      <c r="AF3" s="18"/>
      <c r="AG3" s="18"/>
      <c r="AH3" s="18"/>
      <c r="AI3" s="18"/>
    </row>
    <row r="4" customFormat="false" ht="15" hidden="false" customHeight="false" outlineLevel="0" collapsed="false">
      <c r="A4" s="1" t="n">
        <v>38992775</v>
      </c>
      <c r="B4" s="1" t="s">
        <v>36</v>
      </c>
      <c r="C4" s="1" t="s">
        <v>37</v>
      </c>
      <c r="D4" s="1" t="s">
        <v>38</v>
      </c>
      <c r="E4" s="1" t="n">
        <v>2024</v>
      </c>
      <c r="F4" s="1" t="s">
        <v>39</v>
      </c>
      <c r="G4" s="1" t="n">
        <v>1</v>
      </c>
      <c r="H4" s="1" t="s">
        <v>27</v>
      </c>
      <c r="I4" s="1" t="s">
        <v>34</v>
      </c>
      <c r="J4" s="2" t="n">
        <v>4</v>
      </c>
      <c r="K4" s="1" t="n">
        <v>120</v>
      </c>
      <c r="L4" s="1" t="n">
        <v>1</v>
      </c>
      <c r="M4" s="1" t="n">
        <v>14</v>
      </c>
      <c r="N4" s="1" t="n">
        <f aca="false">M4*K4</f>
        <v>1680</v>
      </c>
      <c r="P4" s="1" t="n">
        <v>5</v>
      </c>
      <c r="Q4" s="1" t="n">
        <v>5</v>
      </c>
      <c r="R4" s="4" t="s">
        <v>40</v>
      </c>
      <c r="S4" s="20" t="n">
        <v>21</v>
      </c>
      <c r="T4" s="20" t="n">
        <v>13</v>
      </c>
      <c r="U4" s="4" t="s">
        <v>41</v>
      </c>
      <c r="V4" s="4" t="s">
        <v>41</v>
      </c>
      <c r="W4" s="21" t="n">
        <f aca="false">T4*(SQRT(V4))</f>
        <v>41.1096095821889</v>
      </c>
      <c r="Y4" s="20" t="n">
        <v>84</v>
      </c>
      <c r="Z4" s="20" t="n">
        <v>9</v>
      </c>
      <c r="AA4" s="4" t="s">
        <v>41</v>
      </c>
      <c r="AB4" s="4" t="s">
        <v>41</v>
      </c>
      <c r="AC4" s="21" t="n">
        <f aca="false">Z4*(SQRT(AB4))</f>
        <v>28.4604989415154</v>
      </c>
      <c r="AE4" s="1" t="n">
        <v>21</v>
      </c>
      <c r="AF4" s="1" t="n">
        <v>41.1096095821889</v>
      </c>
      <c r="AG4" s="1" t="n">
        <v>84</v>
      </c>
      <c r="AH4" s="1" t="n">
        <v>28.4604989415154</v>
      </c>
      <c r="AI4" s="3" t="s">
        <v>42</v>
      </c>
    </row>
    <row r="5" customFormat="false" ht="15" hidden="false" customHeight="false" outlineLevel="0" collapsed="false">
      <c r="A5" s="1" t="n">
        <v>38882046</v>
      </c>
      <c r="B5" s="1" t="s">
        <v>43</v>
      </c>
      <c r="C5" s="1" t="s">
        <v>44</v>
      </c>
      <c r="D5" s="1" t="s">
        <v>45</v>
      </c>
      <c r="E5" s="1" t="n">
        <v>2024</v>
      </c>
      <c r="F5" s="1" t="s">
        <v>46</v>
      </c>
      <c r="G5" s="1" t="n">
        <v>1</v>
      </c>
      <c r="H5" s="1" t="s">
        <v>27</v>
      </c>
      <c r="I5" s="1" t="s">
        <v>34</v>
      </c>
      <c r="K5" s="1" t="n">
        <v>180</v>
      </c>
      <c r="L5" s="1" t="n">
        <v>1</v>
      </c>
      <c r="M5" s="1" t="n">
        <v>28</v>
      </c>
      <c r="N5" s="1" t="n">
        <f aca="false">M5*K5</f>
        <v>5040</v>
      </c>
      <c r="P5" s="1" t="n">
        <v>5</v>
      </c>
      <c r="Q5" s="1" t="n">
        <v>4</v>
      </c>
      <c r="R5" s="4" t="s">
        <v>47</v>
      </c>
      <c r="S5" s="20" t="n">
        <v>24</v>
      </c>
      <c r="T5" s="20" t="s">
        <v>48</v>
      </c>
      <c r="U5" s="4" t="s">
        <v>49</v>
      </c>
      <c r="W5" s="21" t="n">
        <v>2.6</v>
      </c>
      <c r="Y5" s="20" t="n">
        <v>22</v>
      </c>
      <c r="Z5" s="20" t="s">
        <v>48</v>
      </c>
      <c r="AA5" s="4" t="s">
        <v>49</v>
      </c>
      <c r="AC5" s="21" t="n">
        <v>6</v>
      </c>
      <c r="AE5" s="3" t="n">
        <v>24</v>
      </c>
      <c r="AF5" s="3" t="n">
        <v>2.6</v>
      </c>
      <c r="AG5" s="3" t="n">
        <v>22</v>
      </c>
      <c r="AH5" s="3" t="n">
        <v>6</v>
      </c>
      <c r="AI5" s="3" t="n">
        <v>-0.42</v>
      </c>
      <c r="AJ5" s="22" t="s">
        <v>50</v>
      </c>
    </row>
    <row r="6" customFormat="false" ht="15" hidden="false" customHeight="false" outlineLevel="0" collapsed="false">
      <c r="A6" s="1" t="n">
        <v>38703343</v>
      </c>
      <c r="B6" s="1" t="s">
        <v>51</v>
      </c>
      <c r="C6" s="1" t="s">
        <v>52</v>
      </c>
      <c r="D6" s="1" t="s">
        <v>53</v>
      </c>
      <c r="E6" s="1" t="n">
        <v>2024</v>
      </c>
      <c r="F6" s="1" t="s">
        <v>54</v>
      </c>
      <c r="G6" s="1" t="n">
        <v>1</v>
      </c>
      <c r="H6" s="1" t="s">
        <v>55</v>
      </c>
      <c r="I6" s="1" t="s">
        <v>34</v>
      </c>
      <c r="J6" s="2" t="s">
        <v>56</v>
      </c>
      <c r="K6" s="1" t="n">
        <v>360</v>
      </c>
      <c r="L6" s="1" t="n">
        <v>1</v>
      </c>
      <c r="M6" s="1" t="n">
        <v>21</v>
      </c>
      <c r="N6" s="1" t="n">
        <f aca="false">M6*K6</f>
        <v>7560</v>
      </c>
      <c r="O6" s="23" t="s">
        <v>57</v>
      </c>
      <c r="P6" s="1" t="n">
        <v>5</v>
      </c>
      <c r="Q6" s="1" t="n">
        <v>5</v>
      </c>
      <c r="R6" s="1" t="s">
        <v>58</v>
      </c>
      <c r="S6" s="18"/>
      <c r="T6" s="18"/>
      <c r="U6" s="19"/>
      <c r="V6" s="19"/>
      <c r="W6" s="18"/>
      <c r="Y6" s="18"/>
      <c r="Z6" s="18"/>
      <c r="AA6" s="19"/>
      <c r="AB6" s="19"/>
      <c r="AC6" s="18"/>
      <c r="AE6" s="18"/>
      <c r="AF6" s="18"/>
      <c r="AG6" s="18"/>
      <c r="AH6" s="18"/>
      <c r="AI6" s="18"/>
    </row>
    <row r="7" customFormat="false" ht="15" hidden="false" customHeight="false" outlineLevel="0" collapsed="false">
      <c r="A7" s="1" t="n">
        <v>37578355</v>
      </c>
      <c r="B7" s="1" t="s">
        <v>59</v>
      </c>
      <c r="C7" s="1" t="s">
        <v>60</v>
      </c>
      <c r="D7" s="1" t="s">
        <v>61</v>
      </c>
      <c r="E7" s="1" t="n">
        <v>2023</v>
      </c>
      <c r="F7" s="1" t="s">
        <v>62</v>
      </c>
      <c r="G7" s="1" t="n">
        <v>1</v>
      </c>
      <c r="H7" s="1" t="s">
        <v>55</v>
      </c>
      <c r="I7" s="1" t="s">
        <v>34</v>
      </c>
      <c r="J7" s="2" t="n">
        <v>7</v>
      </c>
      <c r="K7" s="1" t="n">
        <v>120</v>
      </c>
      <c r="L7" s="1" t="n">
        <v>1</v>
      </c>
      <c r="M7" s="1" t="n">
        <v>10</v>
      </c>
      <c r="N7" s="1" t="n">
        <f aca="false">M7*K7</f>
        <v>1200</v>
      </c>
      <c r="O7" s="1" t="s">
        <v>63</v>
      </c>
      <c r="P7" s="1" t="n">
        <v>5</v>
      </c>
      <c r="Q7" s="1" t="n">
        <v>5</v>
      </c>
      <c r="R7" s="1" t="n">
        <v>4</v>
      </c>
      <c r="S7" s="3" t="n">
        <v>147</v>
      </c>
      <c r="T7" s="3" t="n">
        <v>29</v>
      </c>
      <c r="U7" s="2" t="s">
        <v>64</v>
      </c>
      <c r="V7" s="2" t="s">
        <v>64</v>
      </c>
      <c r="W7" s="21" t="n">
        <f aca="false">T7*(SQRT(V7))</f>
        <v>87</v>
      </c>
      <c r="Y7" s="3" t="n">
        <v>234</v>
      </c>
      <c r="Z7" s="3" t="n">
        <v>9</v>
      </c>
      <c r="AA7" s="2" t="s">
        <v>64</v>
      </c>
      <c r="AB7" s="2" t="s">
        <v>64</v>
      </c>
      <c r="AC7" s="21" t="n">
        <f aca="false">Z7*(SQRT(AB7))</f>
        <v>27</v>
      </c>
      <c r="AE7" s="3" t="n">
        <v>147</v>
      </c>
      <c r="AF7" s="3" t="n">
        <v>87</v>
      </c>
      <c r="AG7" s="3" t="n">
        <v>234</v>
      </c>
      <c r="AH7" s="3" t="n">
        <v>27</v>
      </c>
      <c r="AI7" s="24" t="s">
        <v>65</v>
      </c>
    </row>
    <row r="8" customFormat="false" ht="15" hidden="false" customHeight="false" outlineLevel="0" collapsed="false">
      <c r="A8" s="1" t="n">
        <v>37259443</v>
      </c>
      <c r="B8" s="1" t="s">
        <v>66</v>
      </c>
      <c r="C8" s="1" t="s">
        <v>67</v>
      </c>
      <c r="D8" s="1" t="s">
        <v>68</v>
      </c>
      <c r="E8" s="1" t="n">
        <v>2023</v>
      </c>
      <c r="F8" s="1" t="s">
        <v>69</v>
      </c>
      <c r="G8" s="1" t="n">
        <v>1</v>
      </c>
      <c r="H8" s="1" t="s">
        <v>55</v>
      </c>
      <c r="I8" s="1" t="s">
        <v>34</v>
      </c>
      <c r="K8" s="1" t="n">
        <v>360</v>
      </c>
      <c r="L8" s="1" t="n">
        <v>1</v>
      </c>
      <c r="M8" s="1" t="n">
        <v>21</v>
      </c>
      <c r="N8" s="1" t="n">
        <f aca="false">M8*K8</f>
        <v>7560</v>
      </c>
      <c r="O8" s="1" t="s">
        <v>70</v>
      </c>
      <c r="P8" s="1" t="n">
        <v>5</v>
      </c>
      <c r="Q8" s="1" t="n">
        <v>5</v>
      </c>
      <c r="R8" s="1" t="s">
        <v>71</v>
      </c>
      <c r="S8" s="18"/>
      <c r="T8" s="18"/>
      <c r="U8" s="19"/>
      <c r="V8" s="19"/>
      <c r="W8" s="18"/>
      <c r="Y8" s="18"/>
      <c r="Z8" s="18"/>
      <c r="AA8" s="19"/>
      <c r="AB8" s="19"/>
      <c r="AC8" s="18"/>
      <c r="AE8" s="18"/>
      <c r="AF8" s="18"/>
      <c r="AG8" s="18"/>
      <c r="AH8" s="18"/>
      <c r="AI8" s="18"/>
    </row>
    <row r="9" customFormat="false" ht="15" hidden="false" customHeight="false" outlineLevel="0" collapsed="false">
      <c r="A9" s="1" t="n">
        <v>37201894</v>
      </c>
      <c r="B9" s="1" t="s">
        <v>72</v>
      </c>
      <c r="C9" s="1" t="s">
        <v>73</v>
      </c>
      <c r="D9" s="1" t="s">
        <v>74</v>
      </c>
      <c r="E9" s="1" t="n">
        <v>2023</v>
      </c>
      <c r="F9" s="1" t="s">
        <v>75</v>
      </c>
      <c r="G9" s="1" t="n">
        <v>1</v>
      </c>
      <c r="H9" s="1" t="s">
        <v>27</v>
      </c>
      <c r="I9" s="1" t="s">
        <v>34</v>
      </c>
      <c r="J9" s="2" t="s">
        <v>76</v>
      </c>
      <c r="K9" s="1" t="n">
        <v>240</v>
      </c>
      <c r="L9" s="1" t="n">
        <v>1</v>
      </c>
      <c r="M9" s="1" t="n">
        <v>35</v>
      </c>
      <c r="N9" s="1" t="n">
        <f aca="false">M9*K9</f>
        <v>8400</v>
      </c>
      <c r="O9" s="1" t="s">
        <v>77</v>
      </c>
      <c r="P9" s="1" t="n">
        <v>5</v>
      </c>
      <c r="Q9" s="1" t="n">
        <v>5</v>
      </c>
      <c r="R9" s="4" t="s">
        <v>78</v>
      </c>
      <c r="S9" s="18"/>
      <c r="T9" s="18"/>
      <c r="U9" s="19"/>
      <c r="V9" s="19"/>
      <c r="W9" s="18"/>
      <c r="Y9" s="18"/>
      <c r="Z9" s="18"/>
      <c r="AA9" s="19"/>
      <c r="AB9" s="19"/>
      <c r="AC9" s="18"/>
      <c r="AE9" s="18"/>
      <c r="AF9" s="18"/>
      <c r="AG9" s="18"/>
      <c r="AH9" s="18"/>
      <c r="AI9" s="18"/>
    </row>
    <row r="10" customFormat="false" ht="15" hidden="false" customHeight="false" outlineLevel="0" collapsed="false">
      <c r="A10" s="1" t="n">
        <v>36746244</v>
      </c>
      <c r="B10" s="1" t="s">
        <v>79</v>
      </c>
      <c r="C10" s="1" t="s">
        <v>80</v>
      </c>
      <c r="D10" s="1" t="s">
        <v>81</v>
      </c>
      <c r="E10" s="1" t="n">
        <v>2023</v>
      </c>
      <c r="F10" s="1" t="s">
        <v>82</v>
      </c>
      <c r="G10" s="1" t="n">
        <v>1</v>
      </c>
      <c r="H10" s="1" t="s">
        <v>27</v>
      </c>
      <c r="I10" s="1" t="s">
        <v>83</v>
      </c>
      <c r="K10" s="1" t="n">
        <v>360</v>
      </c>
      <c r="L10" s="1" t="n">
        <v>1</v>
      </c>
      <c r="M10" s="1" t="n">
        <v>28</v>
      </c>
      <c r="N10" s="1" t="n">
        <f aca="false">M10*K10</f>
        <v>10080</v>
      </c>
      <c r="P10" s="1" t="n">
        <v>15</v>
      </c>
      <c r="Q10" s="1" t="n">
        <v>5</v>
      </c>
      <c r="R10" s="1" t="s">
        <v>78</v>
      </c>
      <c r="S10" s="3" t="n">
        <v>100</v>
      </c>
      <c r="T10" s="3" t="n">
        <v>2</v>
      </c>
      <c r="U10" s="4" t="s">
        <v>41</v>
      </c>
      <c r="V10" s="4" t="s">
        <v>41</v>
      </c>
      <c r="W10" s="21" t="n">
        <f aca="false">T10*(SQRT(V10))</f>
        <v>6.32455532033676</v>
      </c>
      <c r="Y10" s="3" t="n">
        <v>116</v>
      </c>
      <c r="Z10" s="3" t="n">
        <v>3</v>
      </c>
      <c r="AA10" s="4" t="s">
        <v>41</v>
      </c>
      <c r="AB10" s="4" t="s">
        <v>41</v>
      </c>
      <c r="AC10" s="21" t="n">
        <f aca="false">Z10*(SQRT(AB10))</f>
        <v>9.48683298050514</v>
      </c>
      <c r="AE10" s="3" t="n">
        <v>100</v>
      </c>
      <c r="AF10" s="3" t="n">
        <v>6.32455532033676</v>
      </c>
      <c r="AG10" s="3" t="n">
        <v>116</v>
      </c>
      <c r="AH10" s="3" t="n">
        <v>9.48683298050514</v>
      </c>
      <c r="AI10" s="24" t="s">
        <v>84</v>
      </c>
    </row>
    <row r="11" customFormat="false" ht="15" hidden="false" customHeight="false" outlineLevel="0" collapsed="false">
      <c r="A11" s="1" t="n">
        <v>36728843</v>
      </c>
      <c r="B11" s="1" t="s">
        <v>85</v>
      </c>
      <c r="C11" s="1" t="s">
        <v>86</v>
      </c>
      <c r="D11" s="1" t="s">
        <v>87</v>
      </c>
      <c r="E11" s="1" t="n">
        <v>2023</v>
      </c>
      <c r="F11" s="1" t="s">
        <v>88</v>
      </c>
      <c r="G11" s="1" t="n">
        <v>1</v>
      </c>
      <c r="H11" s="1" t="s">
        <v>27</v>
      </c>
      <c r="I11" s="1" t="s">
        <v>34</v>
      </c>
      <c r="J11" s="2" t="s">
        <v>89</v>
      </c>
      <c r="K11" s="1" t="n">
        <v>360</v>
      </c>
      <c r="L11" s="1" t="n">
        <v>1</v>
      </c>
      <c r="M11" s="1" t="n">
        <v>28</v>
      </c>
      <c r="N11" s="1" t="n">
        <f aca="false">M11*K11</f>
        <v>10080</v>
      </c>
      <c r="P11" s="1" t="n">
        <v>5</v>
      </c>
      <c r="Q11" s="1" t="n">
        <v>5</v>
      </c>
      <c r="R11" s="1" t="n">
        <v>4</v>
      </c>
      <c r="S11" s="3" t="n">
        <v>41</v>
      </c>
      <c r="T11" s="3" t="n">
        <v>2</v>
      </c>
      <c r="U11" s="4" t="s">
        <v>90</v>
      </c>
      <c r="V11" s="4" t="s">
        <v>49</v>
      </c>
      <c r="W11" s="21" t="n">
        <f aca="false">T11*(SQRT(V11))</f>
        <v>4.89897948556636</v>
      </c>
      <c r="Y11" s="3" t="n">
        <v>51</v>
      </c>
      <c r="Z11" s="3" t="n">
        <v>5</v>
      </c>
      <c r="AA11" s="4" t="s">
        <v>90</v>
      </c>
      <c r="AB11" s="4" t="s">
        <v>49</v>
      </c>
      <c r="AC11" s="21" t="n">
        <f aca="false">Z11*(SQRT(AB11))</f>
        <v>12.2474487139159</v>
      </c>
      <c r="AE11" s="3" t="n">
        <v>41</v>
      </c>
      <c r="AF11" s="3" t="n">
        <v>4.89897948556636</v>
      </c>
      <c r="AG11" s="3" t="n">
        <v>51</v>
      </c>
      <c r="AH11" s="3" t="n">
        <v>12.2474487139159</v>
      </c>
      <c r="AI11" s="24" t="s">
        <v>91</v>
      </c>
    </row>
    <row r="12" customFormat="false" ht="15" hidden="false" customHeight="false" outlineLevel="0" collapsed="false">
      <c r="A12" s="25" t="n">
        <v>36450831</v>
      </c>
      <c r="B12" s="25" t="s">
        <v>92</v>
      </c>
      <c r="C12" s="25" t="s">
        <v>93</v>
      </c>
      <c r="D12" s="25" t="s">
        <v>94</v>
      </c>
      <c r="E12" s="25" t="n">
        <v>2023</v>
      </c>
      <c r="F12" s="25" t="s">
        <v>95</v>
      </c>
      <c r="G12" s="25" t="n">
        <v>1</v>
      </c>
      <c r="H12" s="1" t="s">
        <v>27</v>
      </c>
      <c r="I12" s="25" t="s">
        <v>34</v>
      </c>
      <c r="J12" s="2" t="s">
        <v>96</v>
      </c>
      <c r="K12" s="1" t="n">
        <v>150</v>
      </c>
      <c r="L12" s="1" t="n">
        <v>1</v>
      </c>
      <c r="M12" s="1" t="n">
        <v>14</v>
      </c>
      <c r="N12" s="1" t="n">
        <f aca="false">M12*K12</f>
        <v>2100</v>
      </c>
      <c r="P12" s="1" t="n">
        <v>6</v>
      </c>
      <c r="Q12" s="1" t="n">
        <v>6</v>
      </c>
      <c r="R12" s="3" t="s">
        <v>97</v>
      </c>
      <c r="S12" s="26" t="s">
        <v>98</v>
      </c>
      <c r="W12" s="21" t="n">
        <f aca="false">T12*(SQRT(V12))</f>
        <v>0</v>
      </c>
      <c r="AC12" s="21" t="n">
        <f aca="false">Z12*(SQRT(AB12))</f>
        <v>0</v>
      </c>
      <c r="AI12" s="27"/>
    </row>
    <row r="13" customFormat="false" ht="15" hidden="false" customHeight="false" outlineLevel="0" collapsed="false">
      <c r="A13" s="25" t="n">
        <v>36450831</v>
      </c>
      <c r="B13" s="25" t="s">
        <v>92</v>
      </c>
      <c r="C13" s="25" t="s">
        <v>93</v>
      </c>
      <c r="D13" s="25" t="s">
        <v>94</v>
      </c>
      <c r="E13" s="25" t="n">
        <v>2023</v>
      </c>
      <c r="F13" s="25" t="s">
        <v>95</v>
      </c>
      <c r="G13" s="25" t="n">
        <v>1</v>
      </c>
      <c r="H13" s="1" t="s">
        <v>27</v>
      </c>
      <c r="I13" s="25" t="s">
        <v>99</v>
      </c>
      <c r="J13" s="2" t="s">
        <v>96</v>
      </c>
      <c r="K13" s="1" t="n">
        <v>150</v>
      </c>
      <c r="L13" s="1" t="n">
        <v>1</v>
      </c>
      <c r="M13" s="1" t="n">
        <v>14</v>
      </c>
      <c r="N13" s="1" t="n">
        <f aca="false">M13*K13</f>
        <v>2100</v>
      </c>
      <c r="P13" s="1" t="n">
        <v>6</v>
      </c>
      <c r="Q13" s="1" t="n">
        <v>6</v>
      </c>
      <c r="R13" s="3" t="s">
        <v>97</v>
      </c>
      <c r="S13" s="26" t="s">
        <v>98</v>
      </c>
      <c r="T13" s="20"/>
      <c r="W13" s="21" t="n">
        <f aca="false">T13*(SQRT(V13))</f>
        <v>0</v>
      </c>
      <c r="Z13" s="20"/>
      <c r="AC13" s="21" t="n">
        <f aca="false">Z13*(SQRT(AB13))</f>
        <v>0</v>
      </c>
      <c r="AI13" s="24"/>
    </row>
    <row r="14" customFormat="false" ht="15" hidden="false" customHeight="false" outlineLevel="0" collapsed="false">
      <c r="A14" s="1" t="n">
        <v>36162616</v>
      </c>
      <c r="B14" s="1" t="s">
        <v>100</v>
      </c>
      <c r="C14" s="1" t="s">
        <v>101</v>
      </c>
      <c r="D14" s="1" t="s">
        <v>102</v>
      </c>
      <c r="E14" s="1" t="n">
        <v>2022</v>
      </c>
      <c r="F14" s="1" t="s">
        <v>103</v>
      </c>
      <c r="G14" s="1" t="n">
        <v>1</v>
      </c>
      <c r="H14" s="1" t="s">
        <v>55</v>
      </c>
      <c r="I14" s="1" t="s">
        <v>34</v>
      </c>
      <c r="K14" s="1" t="n">
        <v>360</v>
      </c>
      <c r="L14" s="1" t="n">
        <v>1</v>
      </c>
      <c r="M14" s="1" t="n">
        <v>21</v>
      </c>
      <c r="N14" s="1" t="n">
        <f aca="false">M14*K14</f>
        <v>7560</v>
      </c>
      <c r="O14" s="1" t="s">
        <v>104</v>
      </c>
      <c r="P14" s="1" t="n">
        <v>20</v>
      </c>
      <c r="Q14" s="1" t="n">
        <v>5</v>
      </c>
      <c r="R14" s="1" t="s">
        <v>105</v>
      </c>
      <c r="S14" s="3" t="n">
        <v>99</v>
      </c>
      <c r="T14" s="20" t="s">
        <v>48</v>
      </c>
      <c r="U14" s="4" t="s">
        <v>106</v>
      </c>
      <c r="W14" s="21" t="n">
        <v>11</v>
      </c>
      <c r="Y14" s="3" t="n">
        <v>229</v>
      </c>
      <c r="Z14" s="20" t="s">
        <v>48</v>
      </c>
      <c r="AA14" s="4" t="s">
        <v>106</v>
      </c>
      <c r="AC14" s="21" t="n">
        <v>28</v>
      </c>
      <c r="AE14" s="3" t="n">
        <v>99</v>
      </c>
      <c r="AF14" s="3" t="n">
        <v>11</v>
      </c>
      <c r="AG14" s="3" t="n">
        <v>229</v>
      </c>
      <c r="AH14" s="3" t="n">
        <v>28</v>
      </c>
      <c r="AI14" s="24" t="s">
        <v>107</v>
      </c>
    </row>
    <row r="15" customFormat="false" ht="15" hidden="false" customHeight="false" outlineLevel="0" collapsed="false">
      <c r="A15" s="1" t="n">
        <v>36100011</v>
      </c>
      <c r="B15" s="1" t="s">
        <v>108</v>
      </c>
      <c r="C15" s="1" t="s">
        <v>109</v>
      </c>
      <c r="D15" s="1" t="s">
        <v>74</v>
      </c>
      <c r="E15" s="1" t="n">
        <v>2023</v>
      </c>
      <c r="F15" s="1" t="s">
        <v>110</v>
      </c>
      <c r="G15" s="1" t="n">
        <v>1</v>
      </c>
      <c r="H15" s="1" t="s">
        <v>27</v>
      </c>
      <c r="I15" s="1" t="s">
        <v>34</v>
      </c>
      <c r="J15" s="2" t="n">
        <v>6</v>
      </c>
      <c r="K15" s="1" t="n">
        <v>360</v>
      </c>
      <c r="L15" s="1" t="n">
        <v>1</v>
      </c>
      <c r="M15" s="1" t="n">
        <v>21</v>
      </c>
      <c r="N15" s="1" t="n">
        <f aca="false">M15*K15</f>
        <v>7560</v>
      </c>
      <c r="P15" s="1" t="n">
        <v>6</v>
      </c>
      <c r="Q15" s="1" t="n">
        <v>6</v>
      </c>
      <c r="R15" s="1" t="s">
        <v>111</v>
      </c>
      <c r="S15" s="3" t="n">
        <v>19</v>
      </c>
      <c r="T15" s="3" t="n">
        <v>5</v>
      </c>
      <c r="U15" s="4" t="s">
        <v>49</v>
      </c>
      <c r="V15" s="4" t="s">
        <v>49</v>
      </c>
      <c r="W15" s="21" t="n">
        <f aca="false">T15*(SQRT(V15))</f>
        <v>12.2474487139159</v>
      </c>
      <c r="Y15" s="3" t="n">
        <v>18</v>
      </c>
      <c r="Z15" s="3" t="n">
        <v>4</v>
      </c>
      <c r="AA15" s="4" t="s">
        <v>49</v>
      </c>
      <c r="AB15" s="4" t="s">
        <v>49</v>
      </c>
      <c r="AC15" s="21" t="n">
        <f aca="false">Z15*(SQRT(AB15))</f>
        <v>9.79795897113271</v>
      </c>
      <c r="AE15" s="3" t="n">
        <v>19</v>
      </c>
      <c r="AF15" s="3" t="n">
        <v>12</v>
      </c>
      <c r="AG15" s="3" t="n">
        <v>18</v>
      </c>
      <c r="AH15" s="3" t="n">
        <v>4</v>
      </c>
      <c r="AI15" s="24" t="n">
        <v>-0.53</v>
      </c>
      <c r="AJ15" s="22" t="s">
        <v>50</v>
      </c>
    </row>
    <row r="16" customFormat="false" ht="15" hidden="false" customHeight="false" outlineLevel="0" collapsed="false">
      <c r="A16" s="1" t="n">
        <v>35814204</v>
      </c>
      <c r="B16" s="1" t="s">
        <v>112</v>
      </c>
      <c r="C16" s="1" t="s">
        <v>113</v>
      </c>
      <c r="D16" s="1" t="s">
        <v>114</v>
      </c>
      <c r="E16" s="1" t="n">
        <v>2022</v>
      </c>
      <c r="F16" s="1" t="s">
        <v>115</v>
      </c>
      <c r="G16" s="1" t="n">
        <v>1</v>
      </c>
      <c r="H16" s="1" t="s">
        <v>27</v>
      </c>
      <c r="I16" s="1" t="s">
        <v>34</v>
      </c>
      <c r="J16" s="2" t="s">
        <v>96</v>
      </c>
      <c r="K16" s="1" t="n">
        <v>180</v>
      </c>
      <c r="L16" s="1" t="n">
        <v>1</v>
      </c>
      <c r="M16" s="1" t="n">
        <v>21</v>
      </c>
      <c r="N16" s="1" t="n">
        <f aca="false">M16*K16</f>
        <v>3780</v>
      </c>
      <c r="P16" s="1" t="n">
        <v>6</v>
      </c>
      <c r="Q16" s="1" t="n">
        <v>6</v>
      </c>
      <c r="R16" s="3" t="s">
        <v>105</v>
      </c>
      <c r="S16" s="3" t="n">
        <v>99</v>
      </c>
      <c r="T16" s="3" t="n">
        <v>9</v>
      </c>
      <c r="U16" s="4" t="s">
        <v>106</v>
      </c>
      <c r="V16" s="4" t="s">
        <v>106</v>
      </c>
      <c r="W16" s="21" t="n">
        <f aca="false">T16*(SQRT(V16))</f>
        <v>31.1769145362398</v>
      </c>
      <c r="Y16" s="3" t="n">
        <v>233</v>
      </c>
      <c r="Z16" s="3" t="n">
        <v>26</v>
      </c>
      <c r="AA16" s="4" t="s">
        <v>106</v>
      </c>
      <c r="AB16" s="4" t="s">
        <v>106</v>
      </c>
      <c r="AC16" s="21" t="n">
        <f aca="false">Z16*(SQRT(AB16))</f>
        <v>90.0666419935816</v>
      </c>
      <c r="AE16" s="3" t="n">
        <v>99</v>
      </c>
      <c r="AF16" s="3" t="n">
        <v>31</v>
      </c>
      <c r="AG16" s="3" t="n">
        <v>233</v>
      </c>
      <c r="AH16" s="3" t="n">
        <v>90</v>
      </c>
      <c r="AI16" s="27" t="s">
        <v>116</v>
      </c>
    </row>
    <row r="17" customFormat="false" ht="15" hidden="false" customHeight="false" outlineLevel="0" collapsed="false">
      <c r="A17" s="1" t="n">
        <v>35528472</v>
      </c>
      <c r="B17" s="1" t="s">
        <v>117</v>
      </c>
      <c r="C17" s="1" t="s">
        <v>118</v>
      </c>
      <c r="D17" s="1" t="s">
        <v>119</v>
      </c>
      <c r="E17" s="1" t="n">
        <v>2021</v>
      </c>
      <c r="F17" s="1" t="s">
        <v>120</v>
      </c>
      <c r="G17" s="1" t="n">
        <v>1</v>
      </c>
      <c r="H17" s="1" t="s">
        <v>55</v>
      </c>
      <c r="I17" s="1" t="s">
        <v>34</v>
      </c>
      <c r="J17" s="2" t="n">
        <v>7</v>
      </c>
      <c r="K17" s="1" t="n">
        <v>360</v>
      </c>
      <c r="L17" s="1" t="n">
        <v>1</v>
      </c>
      <c r="M17" s="1" t="n">
        <v>21</v>
      </c>
      <c r="N17" s="1" t="n">
        <f aca="false">M17*K17</f>
        <v>7560</v>
      </c>
      <c r="P17" s="1" t="n">
        <v>5</v>
      </c>
      <c r="Q17" s="1" t="n">
        <v>5</v>
      </c>
      <c r="R17" s="1" t="s">
        <v>121</v>
      </c>
      <c r="S17" s="3" t="n">
        <v>56</v>
      </c>
      <c r="T17" s="20" t="s">
        <v>48</v>
      </c>
      <c r="U17" s="2" t="s">
        <v>122</v>
      </c>
      <c r="V17" s="2" t="s">
        <v>122</v>
      </c>
      <c r="W17" s="21" t="n">
        <v>29</v>
      </c>
      <c r="Y17" s="3" t="n">
        <v>162</v>
      </c>
      <c r="Z17" s="20" t="s">
        <v>48</v>
      </c>
      <c r="AA17" s="2" t="s">
        <v>122</v>
      </c>
      <c r="AB17" s="2"/>
      <c r="AC17" s="21" t="n">
        <v>25</v>
      </c>
      <c r="AE17" s="3" t="n">
        <v>56</v>
      </c>
      <c r="AF17" s="3" t="n">
        <v>28</v>
      </c>
      <c r="AG17" s="3" t="n">
        <v>162</v>
      </c>
      <c r="AH17" s="3" t="n">
        <v>25</v>
      </c>
      <c r="AI17" s="24" t="s">
        <v>123</v>
      </c>
    </row>
    <row r="18" customFormat="false" ht="15" hidden="false" customHeight="false" outlineLevel="0" collapsed="false">
      <c r="A18" s="1" t="n">
        <v>35230663</v>
      </c>
      <c r="B18" s="1" t="s">
        <v>124</v>
      </c>
      <c r="C18" s="1" t="s">
        <v>125</v>
      </c>
      <c r="D18" s="1" t="s">
        <v>53</v>
      </c>
      <c r="E18" s="1" t="n">
        <v>2022</v>
      </c>
      <c r="F18" s="1" t="s">
        <v>126</v>
      </c>
      <c r="G18" s="1" t="n">
        <v>1</v>
      </c>
      <c r="H18" s="1" t="s">
        <v>27</v>
      </c>
      <c r="I18" s="1" t="s">
        <v>34</v>
      </c>
      <c r="K18" s="1" t="n">
        <v>240</v>
      </c>
      <c r="L18" s="1" t="n">
        <v>1</v>
      </c>
      <c r="M18" s="1" t="n">
        <v>28</v>
      </c>
      <c r="N18" s="1" t="n">
        <f aca="false">M18*K18</f>
        <v>6720</v>
      </c>
      <c r="P18" s="1" t="n">
        <v>5</v>
      </c>
      <c r="Q18" s="1" t="n">
        <v>5</v>
      </c>
      <c r="R18" s="4" t="s">
        <v>127</v>
      </c>
      <c r="S18" s="20" t="n">
        <v>50</v>
      </c>
      <c r="T18" s="20" t="s">
        <v>48</v>
      </c>
      <c r="U18" s="4" t="s">
        <v>128</v>
      </c>
      <c r="V18" s="4" t="s">
        <v>122</v>
      </c>
      <c r="W18" s="21" t="n">
        <v>4</v>
      </c>
      <c r="Y18" s="20" t="n">
        <v>68</v>
      </c>
      <c r="Z18" s="20" t="s">
        <v>48</v>
      </c>
      <c r="AA18" s="4" t="s">
        <v>128</v>
      </c>
      <c r="AB18" s="4" t="s">
        <v>122</v>
      </c>
      <c r="AC18" s="21" t="n">
        <v>5</v>
      </c>
      <c r="AE18" s="3" t="n">
        <v>50</v>
      </c>
      <c r="AF18" s="3" t="n">
        <v>4</v>
      </c>
      <c r="AG18" s="3" t="n">
        <v>68</v>
      </c>
      <c r="AH18" s="3" t="n">
        <v>5</v>
      </c>
      <c r="AI18" s="27" t="s">
        <v>129</v>
      </c>
    </row>
    <row r="19" customFormat="false" ht="15" hidden="false" customHeight="false" outlineLevel="0" collapsed="false">
      <c r="A19" s="1" t="n">
        <v>34704719</v>
      </c>
      <c r="B19" s="1" t="s">
        <v>130</v>
      </c>
      <c r="C19" s="1" t="s">
        <v>131</v>
      </c>
      <c r="D19" s="1" t="s">
        <v>132</v>
      </c>
      <c r="E19" s="1" t="n">
        <v>2021</v>
      </c>
      <c r="F19" s="1" t="s">
        <v>133</v>
      </c>
      <c r="G19" s="1" t="n">
        <v>1</v>
      </c>
      <c r="H19" s="1" t="s">
        <v>27</v>
      </c>
      <c r="I19" s="1" t="s">
        <v>34</v>
      </c>
      <c r="K19" s="1" t="n">
        <v>360</v>
      </c>
      <c r="L19" s="1" t="n">
        <v>1</v>
      </c>
      <c r="M19" s="1" t="n">
        <v>21</v>
      </c>
      <c r="N19" s="1" t="n">
        <f aca="false">M19*K19</f>
        <v>7560</v>
      </c>
      <c r="P19" s="1" t="n">
        <v>6</v>
      </c>
      <c r="Q19" s="1" t="n">
        <v>4</v>
      </c>
      <c r="R19" s="1" t="s">
        <v>134</v>
      </c>
      <c r="S19" s="3" t="n">
        <v>136</v>
      </c>
      <c r="T19" s="20" t="s">
        <v>48</v>
      </c>
      <c r="U19" s="2" t="s">
        <v>41</v>
      </c>
      <c r="V19" s="2"/>
      <c r="W19" s="21" t="n">
        <v>37</v>
      </c>
      <c r="Y19" s="3" t="n">
        <v>166</v>
      </c>
      <c r="Z19" s="20" t="s">
        <v>48</v>
      </c>
      <c r="AA19" s="2" t="s">
        <v>41</v>
      </c>
      <c r="AB19" s="2"/>
      <c r="AC19" s="21" t="n">
        <v>23</v>
      </c>
      <c r="AE19" s="3" t="n">
        <v>136</v>
      </c>
      <c r="AF19" s="3" t="n">
        <v>37</v>
      </c>
      <c r="AG19" s="3" t="n">
        <v>166</v>
      </c>
      <c r="AH19" s="3" t="n">
        <v>23</v>
      </c>
      <c r="AI19" s="24" t="s">
        <v>135</v>
      </c>
    </row>
    <row r="20" customFormat="false" ht="15" hidden="false" customHeight="false" outlineLevel="0" collapsed="false">
      <c r="A20" s="1" t="n">
        <v>34409523</v>
      </c>
      <c r="B20" s="1" t="s">
        <v>136</v>
      </c>
      <c r="C20" s="1" t="s">
        <v>137</v>
      </c>
      <c r="D20" s="1" t="s">
        <v>138</v>
      </c>
      <c r="E20" s="1" t="n">
        <v>2021</v>
      </c>
      <c r="F20" s="1" t="s">
        <v>139</v>
      </c>
      <c r="G20" s="1" t="n">
        <v>1</v>
      </c>
      <c r="H20" s="1" t="s">
        <v>55</v>
      </c>
      <c r="I20" s="1" t="s">
        <v>34</v>
      </c>
      <c r="K20" s="1" t="n">
        <v>240</v>
      </c>
      <c r="L20" s="1" t="n">
        <v>1</v>
      </c>
      <c r="M20" s="1" t="n">
        <v>14</v>
      </c>
      <c r="N20" s="1" t="n">
        <f aca="false">M20*K20</f>
        <v>3360</v>
      </c>
      <c r="O20" s="24" t="s">
        <v>140</v>
      </c>
      <c r="P20" s="18" t="s">
        <v>141</v>
      </c>
      <c r="Q20" s="18"/>
      <c r="R20" s="1" t="s">
        <v>142</v>
      </c>
      <c r="S20" s="3" t="n">
        <v>245</v>
      </c>
      <c r="T20" s="20" t="n">
        <v>8</v>
      </c>
      <c r="U20" s="2" t="s">
        <v>106</v>
      </c>
      <c r="V20" s="2" t="s">
        <v>106</v>
      </c>
      <c r="W20" s="21" t="n">
        <f aca="false">T20*(SQRT(V20))</f>
        <v>27.712812921102</v>
      </c>
      <c r="Y20" s="3" t="n">
        <v>278</v>
      </c>
      <c r="Z20" s="20" t="n">
        <v>6</v>
      </c>
      <c r="AA20" s="2" t="s">
        <v>106</v>
      </c>
      <c r="AB20" s="2" t="s">
        <v>106</v>
      </c>
      <c r="AC20" s="21" t="n">
        <f aca="false">Z20*(SQRT(AB20))</f>
        <v>20.7846096908265</v>
      </c>
      <c r="AE20" s="3" t="n">
        <v>245</v>
      </c>
      <c r="AF20" s="3" t="n">
        <v>28</v>
      </c>
      <c r="AG20" s="3" t="n">
        <v>278</v>
      </c>
      <c r="AH20" s="3" t="n">
        <v>20</v>
      </c>
      <c r="AI20" s="24" t="s">
        <v>65</v>
      </c>
    </row>
    <row r="21" customFormat="false" ht="15" hidden="false" customHeight="false" outlineLevel="0" collapsed="false">
      <c r="A21" s="1" t="n">
        <v>34052298</v>
      </c>
      <c r="B21" s="1" t="s">
        <v>143</v>
      </c>
      <c r="C21" s="1" t="s">
        <v>144</v>
      </c>
      <c r="D21" s="1" t="s">
        <v>145</v>
      </c>
      <c r="E21" s="1" t="n">
        <v>2021</v>
      </c>
      <c r="F21" s="1" t="s">
        <v>146</v>
      </c>
      <c r="G21" s="1" t="n">
        <v>1</v>
      </c>
      <c r="H21" s="1" t="s">
        <v>27</v>
      </c>
      <c r="I21" s="1" t="s">
        <v>34</v>
      </c>
      <c r="K21" s="1" t="n">
        <v>360</v>
      </c>
      <c r="L21" s="1" t="n">
        <v>1</v>
      </c>
      <c r="M21" s="1" t="n">
        <v>21</v>
      </c>
      <c r="N21" s="1" t="n">
        <f aca="false">M21*K21</f>
        <v>7560</v>
      </c>
      <c r="P21" s="1" t="n">
        <v>20</v>
      </c>
      <c r="Q21" s="1" t="n">
        <v>5</v>
      </c>
      <c r="R21" s="1" t="n">
        <v>7</v>
      </c>
      <c r="S21" s="3" t="n">
        <v>43</v>
      </c>
      <c r="T21" s="3" t="n">
        <v>11</v>
      </c>
      <c r="U21" s="4" t="s">
        <v>49</v>
      </c>
      <c r="V21" s="4" t="s">
        <v>49</v>
      </c>
      <c r="W21" s="21" t="n">
        <f aca="false">T21*(SQRT(V21))</f>
        <v>26.944387170615</v>
      </c>
      <c r="Y21" s="3" t="n">
        <v>99</v>
      </c>
      <c r="Z21" s="3" t="n">
        <v>4</v>
      </c>
      <c r="AA21" s="4" t="s">
        <v>49</v>
      </c>
      <c r="AB21" s="4" t="s">
        <v>49</v>
      </c>
      <c r="AC21" s="21" t="n">
        <f aca="false">Z21*(SQRT(AB21))</f>
        <v>9.79795897113271</v>
      </c>
      <c r="AE21" s="3" t="n">
        <v>43</v>
      </c>
      <c r="AF21" s="3" t="n">
        <v>27</v>
      </c>
      <c r="AG21" s="3" t="n">
        <v>99</v>
      </c>
      <c r="AH21" s="3" t="n">
        <v>10</v>
      </c>
      <c r="AI21" s="24" t="s">
        <v>147</v>
      </c>
    </row>
    <row r="22" customFormat="false" ht="15" hidden="false" customHeight="false" outlineLevel="0" collapsed="false">
      <c r="A22" s="1" t="n">
        <v>33766670</v>
      </c>
      <c r="B22" s="1" t="s">
        <v>148</v>
      </c>
      <c r="C22" s="1" t="s">
        <v>149</v>
      </c>
      <c r="D22" s="1" t="s">
        <v>150</v>
      </c>
      <c r="E22" s="1" t="n">
        <v>2021</v>
      </c>
      <c r="F22" s="1" t="s">
        <v>151</v>
      </c>
      <c r="G22" s="1" t="n">
        <v>1</v>
      </c>
      <c r="H22" s="1" t="s">
        <v>55</v>
      </c>
      <c r="I22" s="1" t="s">
        <v>34</v>
      </c>
      <c r="K22" s="1" t="n">
        <v>360</v>
      </c>
      <c r="L22" s="1" t="n">
        <v>1</v>
      </c>
      <c r="M22" s="1" t="n">
        <v>28</v>
      </c>
      <c r="N22" s="1" t="n">
        <f aca="false">M22*K22</f>
        <v>10080</v>
      </c>
      <c r="P22" s="1" t="n">
        <v>5</v>
      </c>
      <c r="Q22" s="1" t="n">
        <v>5</v>
      </c>
      <c r="R22" s="1" t="s">
        <v>152</v>
      </c>
      <c r="S22" s="1" t="n">
        <v>102</v>
      </c>
      <c r="T22" s="1" t="n">
        <v>2.5</v>
      </c>
      <c r="U22" s="4" t="s">
        <v>96</v>
      </c>
      <c r="V22" s="4" t="s">
        <v>96</v>
      </c>
      <c r="W22" s="21" t="n">
        <f aca="false">T22*(SQRT(V22))</f>
        <v>7.07106781186548</v>
      </c>
      <c r="X22" s="1"/>
      <c r="Y22" s="1" t="n">
        <v>114</v>
      </c>
      <c r="Z22" s="1" t="n">
        <v>2.7</v>
      </c>
      <c r="AA22" s="4" t="s">
        <v>96</v>
      </c>
      <c r="AB22" s="4" t="s">
        <v>96</v>
      </c>
      <c r="AC22" s="21" t="n">
        <f aca="false">Z22*(SQRT(AB22))</f>
        <v>7.63675323681471</v>
      </c>
      <c r="AE22" s="3" t="n">
        <v>102</v>
      </c>
      <c r="AF22" s="1" t="s">
        <v>153</v>
      </c>
      <c r="AG22" s="3" t="n">
        <v>114</v>
      </c>
      <c r="AH22" s="3" t="n">
        <v>7.63675323681471</v>
      </c>
      <c r="AI22" s="1" t="n">
        <v>1.59</v>
      </c>
    </row>
    <row r="23" customFormat="false" ht="15" hidden="false" customHeight="false" outlineLevel="0" collapsed="false">
      <c r="A23" s="1" t="n">
        <v>33505499</v>
      </c>
      <c r="B23" s="1" t="s">
        <v>154</v>
      </c>
      <c r="C23" s="1" t="s">
        <v>155</v>
      </c>
      <c r="D23" s="1" t="s">
        <v>156</v>
      </c>
      <c r="E23" s="1" t="n">
        <v>2021</v>
      </c>
      <c r="F23" s="1" t="s">
        <v>157</v>
      </c>
      <c r="G23" s="1" t="n">
        <v>1</v>
      </c>
      <c r="H23" s="1" t="s">
        <v>27</v>
      </c>
      <c r="I23" s="1" t="s">
        <v>34</v>
      </c>
      <c r="K23" s="1" t="n">
        <v>180</v>
      </c>
      <c r="L23" s="1" t="n">
        <v>1</v>
      </c>
      <c r="M23" s="1" t="n">
        <v>21</v>
      </c>
      <c r="N23" s="1" t="n">
        <f aca="false">M23*K23</f>
        <v>3780</v>
      </c>
      <c r="P23" s="1" t="n">
        <v>5</v>
      </c>
      <c r="Q23" s="1" t="n">
        <v>5</v>
      </c>
      <c r="R23" s="1" t="s">
        <v>158</v>
      </c>
      <c r="S23" s="3" t="n">
        <v>106</v>
      </c>
      <c r="T23" s="20" t="s">
        <v>48</v>
      </c>
      <c r="U23" s="4" t="s">
        <v>96</v>
      </c>
      <c r="W23" s="21" t="n">
        <v>1.6</v>
      </c>
      <c r="Y23" s="3" t="n">
        <v>208</v>
      </c>
      <c r="Z23" s="20" t="s">
        <v>48</v>
      </c>
      <c r="AA23" s="4" t="s">
        <v>96</v>
      </c>
      <c r="AC23" s="21" t="n">
        <v>2.2</v>
      </c>
      <c r="AE23" s="3" t="n">
        <v>106</v>
      </c>
      <c r="AF23" s="24" t="n">
        <v>1.6</v>
      </c>
      <c r="AG23" s="3" t="n">
        <v>208</v>
      </c>
      <c r="AH23" s="3" t="n">
        <v>2.2</v>
      </c>
      <c r="AI23" s="28" t="n">
        <v>53</v>
      </c>
    </row>
    <row r="24" customFormat="false" ht="15" hidden="false" customHeight="false" outlineLevel="0" collapsed="false">
      <c r="A24" s="1" t="n">
        <v>33291797</v>
      </c>
      <c r="B24" s="1" t="s">
        <v>159</v>
      </c>
      <c r="C24" s="1" t="s">
        <v>160</v>
      </c>
      <c r="D24" s="1" t="s">
        <v>161</v>
      </c>
      <c r="E24" s="1" t="n">
        <v>2020</v>
      </c>
      <c r="F24" s="1" t="s">
        <v>162</v>
      </c>
      <c r="G24" s="1" t="n">
        <v>1</v>
      </c>
      <c r="H24" s="1" t="s">
        <v>27</v>
      </c>
      <c r="I24" s="1" t="s">
        <v>34</v>
      </c>
      <c r="J24" s="2" t="n">
        <v>6</v>
      </c>
      <c r="K24" s="1" t="n">
        <v>120</v>
      </c>
      <c r="L24" s="1" t="n">
        <v>1</v>
      </c>
      <c r="M24" s="1" t="n">
        <v>21</v>
      </c>
      <c r="N24" s="1" t="n">
        <f aca="false">M24*K24</f>
        <v>2520</v>
      </c>
      <c r="O24" s="1" t="s">
        <v>163</v>
      </c>
      <c r="P24" s="1" t="n">
        <v>5</v>
      </c>
      <c r="Q24" s="1" t="n">
        <v>5</v>
      </c>
      <c r="R24" s="4" t="s">
        <v>127</v>
      </c>
      <c r="S24" s="18"/>
      <c r="T24" s="18"/>
      <c r="U24" s="19"/>
      <c r="V24" s="19"/>
      <c r="W24" s="18"/>
      <c r="Y24" s="18"/>
      <c r="Z24" s="18"/>
      <c r="AA24" s="19"/>
      <c r="AB24" s="19"/>
      <c r="AC24" s="18"/>
      <c r="AE24" s="18"/>
      <c r="AF24" s="18"/>
      <c r="AG24" s="18"/>
      <c r="AH24" s="18"/>
      <c r="AI24" s="18"/>
    </row>
    <row r="25" customFormat="false" ht="15" hidden="false" customHeight="false" outlineLevel="0" collapsed="false">
      <c r="A25" s="1" t="n">
        <v>33276022</v>
      </c>
      <c r="B25" s="1" t="s">
        <v>164</v>
      </c>
      <c r="C25" s="1" t="s">
        <v>165</v>
      </c>
      <c r="D25" s="1" t="s">
        <v>145</v>
      </c>
      <c r="E25" s="1" t="n">
        <v>2021</v>
      </c>
      <c r="F25" s="1" t="s">
        <v>166</v>
      </c>
      <c r="G25" s="1" t="n">
        <v>1</v>
      </c>
      <c r="H25" s="1" t="s">
        <v>27</v>
      </c>
      <c r="I25" s="1" t="s">
        <v>34</v>
      </c>
      <c r="J25" s="2" t="n">
        <v>12</v>
      </c>
      <c r="K25" s="1" t="n">
        <v>390</v>
      </c>
      <c r="L25" s="1" t="n">
        <v>1</v>
      </c>
      <c r="M25" s="1" t="n">
        <v>21</v>
      </c>
      <c r="N25" s="1" t="n">
        <f aca="false">M25*K25</f>
        <v>8190</v>
      </c>
      <c r="P25" s="1" t="n">
        <v>6</v>
      </c>
      <c r="Q25" s="1" t="n">
        <v>5</v>
      </c>
      <c r="R25" s="1" t="s">
        <v>158</v>
      </c>
      <c r="S25" s="1" t="n">
        <v>14</v>
      </c>
      <c r="T25" s="1" t="n">
        <v>2.2</v>
      </c>
      <c r="U25" s="4" t="s">
        <v>122</v>
      </c>
      <c r="V25" s="4" t="s">
        <v>122</v>
      </c>
      <c r="W25" s="21" t="n">
        <f aca="false">T25*(SQRT(V25))</f>
        <v>4.91934955049954</v>
      </c>
      <c r="Y25" s="1" t="n">
        <v>21</v>
      </c>
      <c r="Z25" s="1" t="n">
        <v>2.2</v>
      </c>
      <c r="AA25" s="4" t="s">
        <v>49</v>
      </c>
      <c r="AB25" s="4" t="s">
        <v>49</v>
      </c>
      <c r="AC25" s="21" t="n">
        <f aca="false">Z25*(SQRT(AB25))</f>
        <v>5.38887743412299</v>
      </c>
      <c r="AE25" s="3" t="n">
        <v>14</v>
      </c>
      <c r="AF25" s="24" t="n">
        <v>4.91934955049954</v>
      </c>
      <c r="AG25" s="3" t="n">
        <v>21</v>
      </c>
      <c r="AH25" s="3" t="n">
        <v>5.38887743412299</v>
      </c>
      <c r="AI25" s="29" t="n">
        <v>1.4</v>
      </c>
      <c r="AJ25" s="30" t="s">
        <v>167</v>
      </c>
    </row>
    <row r="26" s="1" customFormat="true" ht="15" hidden="false" customHeight="false" outlineLevel="0" collapsed="false">
      <c r="A26" s="1" t="n">
        <v>30740068</v>
      </c>
      <c r="B26" s="1" t="s">
        <v>168</v>
      </c>
      <c r="C26" s="1" t="s">
        <v>169</v>
      </c>
      <c r="D26" s="1" t="s">
        <v>170</v>
      </c>
      <c r="E26" s="1" t="n">
        <v>2019</v>
      </c>
      <c r="F26" s="1" t="s">
        <v>171</v>
      </c>
      <c r="G26" s="1" t="n">
        <v>1</v>
      </c>
      <c r="H26" s="1" t="s">
        <v>27</v>
      </c>
      <c r="I26" s="1" t="s">
        <v>34</v>
      </c>
      <c r="J26" s="2" t="s">
        <v>96</v>
      </c>
      <c r="K26" s="1" t="n">
        <v>240</v>
      </c>
      <c r="L26" s="1" t="n">
        <v>1</v>
      </c>
      <c r="M26" s="1" t="n">
        <v>21</v>
      </c>
      <c r="N26" s="1" t="n">
        <f aca="false">M26*K26</f>
        <v>5040</v>
      </c>
      <c r="P26" s="1" t="n">
        <v>5</v>
      </c>
      <c r="Q26" s="1" t="n">
        <v>5</v>
      </c>
      <c r="R26" s="1" t="s">
        <v>105</v>
      </c>
      <c r="S26" s="1" t="n">
        <v>32</v>
      </c>
      <c r="T26" s="1" t="n">
        <v>6.5</v>
      </c>
      <c r="U26" s="2" t="n">
        <v>10</v>
      </c>
      <c r="V26" s="2" t="n">
        <v>10</v>
      </c>
      <c r="W26" s="21" t="n">
        <f aca="false">T26*(SQRT(V26))</f>
        <v>20.5548047910945</v>
      </c>
      <c r="Y26" s="1" t="n">
        <v>71</v>
      </c>
      <c r="Z26" s="1" t="n">
        <v>10</v>
      </c>
      <c r="AA26" s="2" t="n">
        <v>10</v>
      </c>
      <c r="AB26" s="2" t="n">
        <v>10</v>
      </c>
      <c r="AC26" s="21" t="n">
        <f aca="false">Z26*(SQRT(AB26))</f>
        <v>31.6227766016838</v>
      </c>
      <c r="AE26" s="3" t="n">
        <v>32</v>
      </c>
      <c r="AF26" s="24" t="n">
        <v>20.5548047910945</v>
      </c>
      <c r="AG26" s="3" t="n">
        <v>71</v>
      </c>
      <c r="AH26" s="3" t="n">
        <v>31.6227766016838</v>
      </c>
      <c r="AI26" s="1" t="n">
        <v>1.49</v>
      </c>
    </row>
    <row r="27" customFormat="false" ht="15" hidden="false" customHeight="false" outlineLevel="0" collapsed="false">
      <c r="A27" s="1" t="n">
        <v>30735600</v>
      </c>
      <c r="B27" s="1" t="s">
        <v>172</v>
      </c>
      <c r="C27" s="1" t="s">
        <v>173</v>
      </c>
      <c r="D27" s="1" t="s">
        <v>174</v>
      </c>
      <c r="E27" s="1" t="n">
        <v>2019</v>
      </c>
      <c r="F27" s="1" t="s">
        <v>175</v>
      </c>
      <c r="G27" s="1" t="n">
        <v>1</v>
      </c>
      <c r="H27" s="1" t="s">
        <v>27</v>
      </c>
      <c r="I27" s="1" t="s">
        <v>34</v>
      </c>
      <c r="K27" s="1" t="n">
        <v>360</v>
      </c>
      <c r="L27" s="1" t="n">
        <v>1</v>
      </c>
      <c r="M27" s="1" t="n">
        <v>14</v>
      </c>
      <c r="N27" s="1" t="n">
        <f aca="false">M27*K27</f>
        <v>5040</v>
      </c>
      <c r="P27" s="1" t="n">
        <v>7</v>
      </c>
      <c r="Q27" s="1" t="n">
        <v>5</v>
      </c>
      <c r="R27" s="1" t="s">
        <v>176</v>
      </c>
      <c r="S27" s="3" t="n">
        <v>49</v>
      </c>
      <c r="T27" s="3" t="n">
        <v>7</v>
      </c>
      <c r="U27" s="2" t="n">
        <v>10</v>
      </c>
      <c r="V27" s="2" t="n">
        <v>10</v>
      </c>
      <c r="W27" s="21" t="n">
        <f aca="false">T27*(SQRT(V27))</f>
        <v>22.1359436211787</v>
      </c>
      <c r="Y27" s="3" t="n">
        <v>115</v>
      </c>
      <c r="Z27" s="3" t="n">
        <v>10</v>
      </c>
      <c r="AA27" s="2" t="n">
        <v>10</v>
      </c>
      <c r="AB27" s="2" t="n">
        <v>10</v>
      </c>
      <c r="AC27" s="21" t="n">
        <f aca="false">Z27*(SQRT(AB27))</f>
        <v>31.6227766016838</v>
      </c>
      <c r="AE27" s="3" t="n">
        <v>49</v>
      </c>
      <c r="AF27" s="24" t="n">
        <v>22.1359436211787</v>
      </c>
      <c r="AG27" s="3" t="n">
        <v>115</v>
      </c>
      <c r="AH27" s="3" t="n">
        <v>31.6227766016838</v>
      </c>
      <c r="AI27" s="1" t="n">
        <v>2.4</v>
      </c>
    </row>
    <row r="28" customFormat="false" ht="15" hidden="false" customHeight="false" outlineLevel="0" collapsed="false">
      <c r="A28" s="1" t="n">
        <v>30656862</v>
      </c>
      <c r="B28" s="1" t="s">
        <v>177</v>
      </c>
      <c r="C28" s="1" t="s">
        <v>178</v>
      </c>
      <c r="D28" s="1" t="s">
        <v>179</v>
      </c>
      <c r="E28" s="1" t="n">
        <v>2019</v>
      </c>
      <c r="F28" s="1" t="s">
        <v>180</v>
      </c>
      <c r="G28" s="1" t="n">
        <v>1</v>
      </c>
      <c r="H28" s="1" t="s">
        <v>55</v>
      </c>
      <c r="I28" s="1" t="s">
        <v>34</v>
      </c>
      <c r="J28" s="2" t="s">
        <v>76</v>
      </c>
      <c r="K28" s="1" t="n">
        <v>360</v>
      </c>
      <c r="L28" s="1" t="n">
        <v>1</v>
      </c>
      <c r="M28" s="1" t="n">
        <v>21</v>
      </c>
      <c r="N28" s="1" t="n">
        <f aca="false">M28*K28</f>
        <v>7560</v>
      </c>
      <c r="P28" s="1" t="n">
        <v>5</v>
      </c>
      <c r="Q28" s="1" t="n">
        <v>5</v>
      </c>
      <c r="R28" s="18"/>
      <c r="S28" s="18"/>
      <c r="T28" s="18"/>
      <c r="U28" s="19"/>
      <c r="V28" s="19"/>
      <c r="W28" s="18"/>
      <c r="Y28" s="18"/>
      <c r="Z28" s="18"/>
      <c r="AA28" s="19"/>
      <c r="AB28" s="19"/>
      <c r="AC28" s="18"/>
      <c r="AE28" s="18"/>
      <c r="AF28" s="18"/>
      <c r="AG28" s="18"/>
      <c r="AH28" s="18"/>
      <c r="AI28" s="18"/>
    </row>
    <row r="29" customFormat="false" ht="15" hidden="false" customHeight="false" outlineLevel="0" collapsed="false">
      <c r="A29" s="1" t="n">
        <v>29561292</v>
      </c>
      <c r="B29" s="1" t="s">
        <v>181</v>
      </c>
      <c r="C29" s="1" t="s">
        <v>182</v>
      </c>
      <c r="D29" s="1" t="s">
        <v>183</v>
      </c>
      <c r="E29" s="1" t="n">
        <v>2018</v>
      </c>
      <c r="F29" s="1" t="s">
        <v>184</v>
      </c>
      <c r="G29" s="1" t="n">
        <v>1</v>
      </c>
      <c r="H29" s="1" t="s">
        <v>55</v>
      </c>
      <c r="I29" s="1" t="s">
        <v>34</v>
      </c>
      <c r="K29" s="1" t="n">
        <v>360</v>
      </c>
      <c r="L29" s="1" t="n">
        <v>1</v>
      </c>
      <c r="M29" s="1" t="n">
        <v>28</v>
      </c>
      <c r="N29" s="1" t="n">
        <f aca="false">M29*K29</f>
        <v>10080</v>
      </c>
      <c r="P29" s="1" t="n">
        <v>5</v>
      </c>
      <c r="Q29" s="1" t="n">
        <v>5</v>
      </c>
      <c r="R29" s="4" t="s">
        <v>185</v>
      </c>
      <c r="S29" s="3" t="n">
        <v>64</v>
      </c>
      <c r="T29" s="3" t="n">
        <v>3</v>
      </c>
      <c r="U29" s="4" t="s">
        <v>96</v>
      </c>
      <c r="V29" s="4" t="s">
        <v>96</v>
      </c>
      <c r="W29" s="21" t="n">
        <f aca="false">T29*(SQRT(V29))</f>
        <v>8.48528137423857</v>
      </c>
      <c r="Y29" s="3" t="n">
        <v>117</v>
      </c>
      <c r="Z29" s="3" t="n">
        <v>11</v>
      </c>
      <c r="AA29" s="4" t="s">
        <v>96</v>
      </c>
      <c r="AB29" s="4" t="s">
        <v>96</v>
      </c>
      <c r="AC29" s="21" t="n">
        <f aca="false">Z29*(SQRT(AB29))</f>
        <v>31.1126983722081</v>
      </c>
      <c r="AE29" s="3" t="n">
        <v>64</v>
      </c>
      <c r="AF29" s="3" t="n">
        <v>8.48528137423857</v>
      </c>
      <c r="AG29" s="3" t="n">
        <v>117</v>
      </c>
      <c r="AH29" s="3" t="n">
        <v>31.1126983722081</v>
      </c>
      <c r="AI29" s="1" t="n">
        <v>2.34</v>
      </c>
    </row>
    <row r="30" customFormat="false" ht="15" hidden="false" customHeight="false" outlineLevel="0" collapsed="false">
      <c r="A30" s="1" t="n">
        <v>29379991</v>
      </c>
      <c r="B30" s="1" t="s">
        <v>186</v>
      </c>
      <c r="C30" s="1" t="s">
        <v>187</v>
      </c>
      <c r="D30" s="1" t="s">
        <v>188</v>
      </c>
      <c r="E30" s="1" t="n">
        <v>2018</v>
      </c>
      <c r="F30" s="1" t="s">
        <v>189</v>
      </c>
      <c r="G30" s="1" t="n">
        <v>1</v>
      </c>
      <c r="H30" s="1" t="s">
        <v>55</v>
      </c>
      <c r="I30" s="1" t="s">
        <v>34</v>
      </c>
      <c r="K30" s="1" t="n">
        <v>240</v>
      </c>
      <c r="L30" s="1" t="n">
        <v>1</v>
      </c>
      <c r="M30" s="1" t="n">
        <v>42</v>
      </c>
      <c r="N30" s="1" t="n">
        <f aca="false">M30*K30</f>
        <v>10080</v>
      </c>
      <c r="P30" s="1" t="n">
        <v>5</v>
      </c>
      <c r="Q30" s="1" t="n">
        <v>5</v>
      </c>
      <c r="R30" s="1" t="s">
        <v>190</v>
      </c>
      <c r="S30" s="21" t="n">
        <v>51.4</v>
      </c>
      <c r="T30" s="20" t="s">
        <v>48</v>
      </c>
      <c r="U30" s="4" t="s">
        <v>191</v>
      </c>
      <c r="V30" s="4" t="s">
        <v>41</v>
      </c>
      <c r="W30" s="21" t="n">
        <v>9.39</v>
      </c>
      <c r="Y30" s="3" t="n">
        <v>83.3</v>
      </c>
      <c r="Z30" s="20" t="s">
        <v>48</v>
      </c>
      <c r="AA30" s="4" t="s">
        <v>191</v>
      </c>
      <c r="AB30" s="4" t="s">
        <v>41</v>
      </c>
      <c r="AC30" s="21" t="n">
        <v>24.21</v>
      </c>
      <c r="AE30" s="3" t="n">
        <v>51.4</v>
      </c>
      <c r="AF30" s="1" t="n">
        <v>9.39</v>
      </c>
      <c r="AG30" s="3" t="n">
        <v>83.3</v>
      </c>
      <c r="AH30" s="3" t="n">
        <v>24.21</v>
      </c>
      <c r="AI30" s="1" t="n">
        <v>1.76</v>
      </c>
    </row>
    <row r="31" customFormat="false" ht="15" hidden="false" customHeight="false" outlineLevel="0" collapsed="false">
      <c r="A31" s="1" t="n">
        <v>29317595</v>
      </c>
      <c r="B31" s="1" t="s">
        <v>192</v>
      </c>
      <c r="C31" s="1" t="s">
        <v>193</v>
      </c>
      <c r="D31" s="1" t="s">
        <v>194</v>
      </c>
      <c r="E31" s="1" t="n">
        <v>2018</v>
      </c>
      <c r="F31" s="1" t="s">
        <v>195</v>
      </c>
      <c r="G31" s="1" t="n">
        <v>1</v>
      </c>
      <c r="H31" s="1" t="s">
        <v>27</v>
      </c>
      <c r="I31" s="1" t="s">
        <v>34</v>
      </c>
      <c r="K31" s="1" t="n">
        <v>360</v>
      </c>
      <c r="L31" s="1" t="n">
        <v>1</v>
      </c>
      <c r="M31" s="1" t="n">
        <v>21</v>
      </c>
      <c r="N31" s="1" t="n">
        <f aca="false">M31*K31</f>
        <v>7560</v>
      </c>
      <c r="P31" s="1" t="n">
        <v>5</v>
      </c>
      <c r="Q31" s="1" t="n">
        <v>5</v>
      </c>
      <c r="R31" s="4" t="s">
        <v>196</v>
      </c>
      <c r="S31" s="18"/>
      <c r="T31" s="18"/>
      <c r="U31" s="18"/>
      <c r="V31" s="18"/>
      <c r="W31" s="18"/>
      <c r="Y31" s="18"/>
      <c r="Z31" s="18"/>
      <c r="AA31" s="18"/>
      <c r="AB31" s="18"/>
      <c r="AC31" s="18"/>
      <c r="AE31" s="18"/>
      <c r="AF31" s="18"/>
      <c r="AG31" s="18"/>
      <c r="AH31" s="18"/>
      <c r="AI31" s="18"/>
    </row>
    <row r="32" customFormat="false" ht="15" hidden="false" customHeight="false" outlineLevel="0" collapsed="false">
      <c r="A32" s="1" t="n">
        <v>29175030</v>
      </c>
      <c r="B32" s="1" t="s">
        <v>197</v>
      </c>
      <c r="C32" s="1" t="s">
        <v>198</v>
      </c>
      <c r="D32" s="1" t="s">
        <v>199</v>
      </c>
      <c r="E32" s="1" t="n">
        <v>2018</v>
      </c>
      <c r="F32" s="1" t="s">
        <v>200</v>
      </c>
      <c r="G32" s="1" t="n">
        <v>1</v>
      </c>
      <c r="H32" s="1" t="s">
        <v>55</v>
      </c>
      <c r="I32" s="1" t="s">
        <v>34</v>
      </c>
      <c r="K32" s="1" t="n">
        <v>360</v>
      </c>
      <c r="L32" s="1" t="n">
        <v>1</v>
      </c>
      <c r="M32" s="1" t="n">
        <v>35</v>
      </c>
      <c r="N32" s="1" t="n">
        <f aca="false">M32*K32</f>
        <v>12600</v>
      </c>
      <c r="P32" s="1" t="n">
        <v>5</v>
      </c>
      <c r="Q32" s="1" t="n">
        <v>5</v>
      </c>
      <c r="R32" s="1" t="n">
        <v>3</v>
      </c>
      <c r="S32" s="3" t="n">
        <v>56</v>
      </c>
      <c r="T32" s="20" t="s">
        <v>48</v>
      </c>
      <c r="U32" s="4" t="s">
        <v>96</v>
      </c>
      <c r="W32" s="21" t="n">
        <v>12</v>
      </c>
      <c r="X32" s="1"/>
      <c r="Y32" s="1" t="n">
        <v>136</v>
      </c>
      <c r="Z32" s="20" t="s">
        <v>48</v>
      </c>
      <c r="AA32" s="2" t="n">
        <v>8</v>
      </c>
      <c r="AB32" s="2"/>
      <c r="AC32" s="21" t="n">
        <v>30</v>
      </c>
      <c r="AE32" s="3" t="n">
        <v>56</v>
      </c>
      <c r="AF32" s="1" t="n">
        <v>12</v>
      </c>
      <c r="AG32" s="3" t="n">
        <v>136</v>
      </c>
      <c r="AH32" s="3" t="n">
        <v>30</v>
      </c>
      <c r="AI32" s="1" t="n">
        <v>3.5</v>
      </c>
    </row>
    <row r="33" customFormat="false" ht="15" hidden="false" customHeight="false" outlineLevel="0" collapsed="false">
      <c r="A33" s="1" t="n">
        <v>28866053</v>
      </c>
      <c r="B33" s="1" t="s">
        <v>201</v>
      </c>
      <c r="C33" s="1" t="s">
        <v>202</v>
      </c>
      <c r="D33" s="1" t="s">
        <v>199</v>
      </c>
      <c r="E33" s="1" t="n">
        <v>2017</v>
      </c>
      <c r="F33" s="1" t="s">
        <v>203</v>
      </c>
      <c r="G33" s="1" t="n">
        <v>1</v>
      </c>
      <c r="H33" s="1" t="s">
        <v>55</v>
      </c>
      <c r="I33" s="1" t="s">
        <v>83</v>
      </c>
      <c r="K33" s="1" t="n">
        <v>120</v>
      </c>
      <c r="L33" s="1" t="n">
        <v>1</v>
      </c>
      <c r="M33" s="1" t="n">
        <v>21</v>
      </c>
      <c r="N33" s="1" t="n">
        <f aca="false">M33*K33</f>
        <v>2520</v>
      </c>
      <c r="P33" s="1" t="n">
        <v>6</v>
      </c>
      <c r="Q33" s="1" t="n">
        <v>6</v>
      </c>
      <c r="R33" s="1" t="s">
        <v>152</v>
      </c>
      <c r="S33" s="3" t="n">
        <v>189</v>
      </c>
      <c r="T33" s="3" t="n">
        <v>29</v>
      </c>
      <c r="U33" s="4" t="s">
        <v>96</v>
      </c>
      <c r="V33" s="4" t="s">
        <v>96</v>
      </c>
      <c r="W33" s="21" t="n">
        <f aca="false">T33*(SQRT(V33))</f>
        <v>82.0243866176395</v>
      </c>
      <c r="Y33" s="3" t="n">
        <v>343</v>
      </c>
      <c r="Z33" s="3" t="n">
        <v>25</v>
      </c>
      <c r="AA33" s="4" t="s">
        <v>96</v>
      </c>
      <c r="AB33" s="4" t="s">
        <v>96</v>
      </c>
      <c r="AC33" s="21" t="n">
        <f aca="false">Z33*(SQRT(AB33))</f>
        <v>70.7106781186548</v>
      </c>
      <c r="AE33" s="3" t="n">
        <v>189</v>
      </c>
      <c r="AF33" s="1" t="n">
        <v>82.0243866176395</v>
      </c>
      <c r="AG33" s="3" t="n">
        <v>343</v>
      </c>
      <c r="AH33" s="3" t="n">
        <v>70.7106781186548</v>
      </c>
      <c r="AI33" s="1" t="n">
        <v>6.74</v>
      </c>
    </row>
    <row r="34" customFormat="false" ht="15" hidden="false" customHeight="false" outlineLevel="0" collapsed="false">
      <c r="A34" s="1" t="n">
        <v>28763303</v>
      </c>
      <c r="B34" s="1" t="s">
        <v>204</v>
      </c>
      <c r="C34" s="1" t="s">
        <v>205</v>
      </c>
      <c r="D34" s="1" t="s">
        <v>183</v>
      </c>
      <c r="E34" s="1" t="n">
        <v>2018</v>
      </c>
      <c r="F34" s="1" t="s">
        <v>206</v>
      </c>
      <c r="G34" s="1" t="n">
        <v>1</v>
      </c>
      <c r="H34" s="1" t="s">
        <v>55</v>
      </c>
      <c r="I34" s="1" t="s">
        <v>34</v>
      </c>
      <c r="K34" s="1" t="n">
        <v>360</v>
      </c>
      <c r="L34" s="1" t="n">
        <v>1</v>
      </c>
      <c r="M34" s="1" t="n">
        <v>28</v>
      </c>
      <c r="N34" s="1" t="n">
        <f aca="false">M34*K34</f>
        <v>10080</v>
      </c>
      <c r="P34" s="1" t="n">
        <v>5</v>
      </c>
      <c r="Q34" s="1" t="n">
        <v>5</v>
      </c>
      <c r="R34" s="1" t="s">
        <v>207</v>
      </c>
      <c r="S34" s="3" t="n">
        <v>54</v>
      </c>
      <c r="T34" s="3" t="n">
        <v>4</v>
      </c>
      <c r="U34" s="2" t="n">
        <v>12</v>
      </c>
      <c r="V34" s="2" t="n">
        <v>12</v>
      </c>
      <c r="W34" s="21" t="n">
        <f aca="false">T34*(SQRT(V34))</f>
        <v>13.856406460551</v>
      </c>
      <c r="Y34" s="3" t="n">
        <v>105</v>
      </c>
      <c r="Z34" s="3" t="n">
        <v>4</v>
      </c>
      <c r="AA34" s="2" t="n">
        <v>12</v>
      </c>
      <c r="AB34" s="2" t="n">
        <v>12</v>
      </c>
      <c r="AC34" s="21" t="n">
        <f aca="false">Z34*(SQRT(AB34))</f>
        <v>13.856406460551</v>
      </c>
      <c r="AE34" s="3" t="n">
        <v>54</v>
      </c>
      <c r="AF34" s="1" t="n">
        <v>13.856406460551</v>
      </c>
      <c r="AG34" s="3" t="n">
        <v>105</v>
      </c>
      <c r="AH34" s="3" t="n">
        <v>13.856406460551</v>
      </c>
      <c r="AI34" s="1" t="n">
        <v>3.64</v>
      </c>
    </row>
    <row r="35" customFormat="false" ht="15" hidden="false" customHeight="false" outlineLevel="0" collapsed="false">
      <c r="A35" s="1" t="n">
        <v>28420875</v>
      </c>
      <c r="B35" s="1" t="s">
        <v>208</v>
      </c>
      <c r="C35" s="1" t="s">
        <v>209</v>
      </c>
      <c r="D35" s="1" t="s">
        <v>210</v>
      </c>
      <c r="E35" s="1" t="n">
        <v>2017</v>
      </c>
      <c r="F35" s="1" t="s">
        <v>211</v>
      </c>
      <c r="G35" s="1" t="n">
        <v>1</v>
      </c>
      <c r="H35" s="1" t="s">
        <v>27</v>
      </c>
      <c r="I35" s="1" t="s">
        <v>34</v>
      </c>
      <c r="K35" s="1" t="n">
        <v>120</v>
      </c>
      <c r="L35" s="1" t="n">
        <v>1</v>
      </c>
      <c r="M35" s="1" t="n">
        <v>14</v>
      </c>
      <c r="N35" s="1" t="n">
        <f aca="false">M35*K35</f>
        <v>1680</v>
      </c>
      <c r="O35" s="1" t="s">
        <v>63</v>
      </c>
      <c r="P35" s="1" t="n">
        <v>5</v>
      </c>
      <c r="Q35" s="1" t="n">
        <v>5</v>
      </c>
      <c r="R35" s="1" t="s">
        <v>212</v>
      </c>
      <c r="S35" s="3" t="n">
        <v>120</v>
      </c>
      <c r="T35" s="3" t="n">
        <v>12</v>
      </c>
      <c r="U35" s="2" t="n">
        <v>20</v>
      </c>
      <c r="V35" s="2" t="n">
        <v>20</v>
      </c>
      <c r="W35" s="21" t="n">
        <f aca="false">T35*(SQRT(V35))</f>
        <v>53.665631459995</v>
      </c>
      <c r="Y35" s="3" t="n">
        <v>170</v>
      </c>
      <c r="Z35" s="3" t="n">
        <v>15</v>
      </c>
      <c r="AA35" s="4" t="n">
        <v>20</v>
      </c>
      <c r="AB35" s="4" t="n">
        <v>20</v>
      </c>
      <c r="AC35" s="21" t="n">
        <f aca="false">Z35*(SQRT(AB35))</f>
        <v>67.0820393249937</v>
      </c>
      <c r="AE35" s="3" t="n">
        <v>120</v>
      </c>
      <c r="AF35" s="1" t="n">
        <v>53.665631459995</v>
      </c>
      <c r="AG35" s="3" t="n">
        <v>170</v>
      </c>
      <c r="AH35" s="3" t="n">
        <v>67.0820393249937</v>
      </c>
      <c r="AI35" s="1" t="n">
        <v>0.82</v>
      </c>
    </row>
    <row r="36" customFormat="false" ht="15" hidden="false" customHeight="false" outlineLevel="0" collapsed="false">
      <c r="A36" s="1" t="n">
        <v>27957715</v>
      </c>
      <c r="B36" s="1" t="s">
        <v>213</v>
      </c>
      <c r="C36" s="1" t="s">
        <v>214</v>
      </c>
      <c r="D36" s="1" t="s">
        <v>94</v>
      </c>
      <c r="E36" s="1" t="n">
        <v>2017</v>
      </c>
      <c r="F36" s="1" t="s">
        <v>215</v>
      </c>
      <c r="G36" s="1" t="n">
        <v>1</v>
      </c>
      <c r="H36" s="1" t="s">
        <v>55</v>
      </c>
      <c r="I36" s="1" t="s">
        <v>99</v>
      </c>
      <c r="J36" s="2" t="s">
        <v>216</v>
      </c>
      <c r="K36" s="1" t="n">
        <v>360</v>
      </c>
      <c r="L36" s="1" t="n">
        <v>1</v>
      </c>
      <c r="M36" s="1" t="n">
        <v>21</v>
      </c>
      <c r="N36" s="1" t="n">
        <f aca="false">M36*K36</f>
        <v>7560</v>
      </c>
      <c r="P36" s="1" t="n">
        <v>5</v>
      </c>
      <c r="Q36" s="1" t="n">
        <v>5</v>
      </c>
      <c r="R36" s="1" t="s">
        <v>176</v>
      </c>
      <c r="S36" s="3" t="n">
        <v>82</v>
      </c>
      <c r="T36" s="3" t="n">
        <v>11</v>
      </c>
      <c r="U36" s="2" t="n">
        <v>5</v>
      </c>
      <c r="V36" s="2" t="n">
        <v>5</v>
      </c>
      <c r="W36" s="21" t="n">
        <f aca="false">T36*(SQRT(V36))</f>
        <v>24.5967477524977</v>
      </c>
      <c r="Y36" s="3" t="n">
        <v>120</v>
      </c>
      <c r="Z36" s="3" t="n">
        <v>7</v>
      </c>
      <c r="AA36" s="4" t="n">
        <v>5</v>
      </c>
      <c r="AB36" s="4" t="n">
        <v>5</v>
      </c>
      <c r="AC36" s="21" t="n">
        <f aca="false">Z36*(SQRT(AB36))</f>
        <v>15.6524758424985</v>
      </c>
      <c r="AE36" s="3" t="n">
        <v>82</v>
      </c>
      <c r="AF36" s="1" t="n">
        <v>24.5967477524977</v>
      </c>
      <c r="AG36" s="3" t="n">
        <v>120</v>
      </c>
      <c r="AH36" s="3" t="n">
        <v>15.6524758424985</v>
      </c>
      <c r="AI36" s="1" t="n">
        <v>1.81</v>
      </c>
    </row>
    <row r="37" customFormat="false" ht="15" hidden="false" customHeight="false" outlineLevel="0" collapsed="false">
      <c r="A37" s="1" t="n">
        <v>27927737</v>
      </c>
      <c r="B37" s="1" t="s">
        <v>217</v>
      </c>
      <c r="C37" s="1" t="s">
        <v>218</v>
      </c>
      <c r="D37" s="1" t="s">
        <v>61</v>
      </c>
      <c r="E37" s="1" t="n">
        <v>2017</v>
      </c>
      <c r="F37" s="1" t="s">
        <v>219</v>
      </c>
      <c r="G37" s="1" t="n">
        <v>1</v>
      </c>
      <c r="H37" s="1" t="s">
        <v>27</v>
      </c>
      <c r="I37" s="1" t="s">
        <v>34</v>
      </c>
      <c r="K37" s="1" t="n">
        <v>150</v>
      </c>
      <c r="L37" s="1" t="n">
        <v>1</v>
      </c>
      <c r="M37" s="1" t="n">
        <v>14</v>
      </c>
      <c r="N37" s="1" t="n">
        <f aca="false">M37*K37</f>
        <v>2100</v>
      </c>
      <c r="P37" s="1" t="n">
        <v>5</v>
      </c>
      <c r="Q37" s="1" t="n">
        <v>5</v>
      </c>
      <c r="R37" s="1" t="n">
        <v>2</v>
      </c>
      <c r="S37" s="3" t="n">
        <v>111</v>
      </c>
      <c r="T37" s="3" t="n">
        <v>6</v>
      </c>
      <c r="U37" s="2" t="n">
        <v>7</v>
      </c>
      <c r="V37" s="2" t="n">
        <v>7</v>
      </c>
      <c r="W37" s="21" t="n">
        <f aca="false">T37*(SQRT(V37))</f>
        <v>15.8745078663875</v>
      </c>
      <c r="Y37" s="3" t="n">
        <v>172</v>
      </c>
      <c r="Z37" s="3" t="n">
        <v>3</v>
      </c>
      <c r="AA37" s="2" t="n">
        <v>7</v>
      </c>
      <c r="AB37" s="2" t="n">
        <v>7</v>
      </c>
      <c r="AC37" s="21" t="n">
        <f aca="false">Z37*(SQRT(AB37))</f>
        <v>7.93725393319377</v>
      </c>
      <c r="AE37" s="3" t="n">
        <v>111</v>
      </c>
      <c r="AF37" s="1" t="n">
        <v>15.8745078663875</v>
      </c>
      <c r="AG37" s="3" t="n">
        <v>172</v>
      </c>
      <c r="AH37" s="3" t="n">
        <v>7.93725393319377</v>
      </c>
      <c r="AI37" s="1" t="n">
        <v>4</v>
      </c>
    </row>
    <row r="38" customFormat="false" ht="15" hidden="false" customHeight="false" outlineLevel="0" collapsed="false">
      <c r="A38" s="1" t="n">
        <v>27916420</v>
      </c>
      <c r="B38" s="1" t="s">
        <v>220</v>
      </c>
      <c r="C38" s="1" t="s">
        <v>221</v>
      </c>
      <c r="D38" s="1" t="s">
        <v>222</v>
      </c>
      <c r="E38" s="1" t="n">
        <v>2017</v>
      </c>
      <c r="F38" s="1" t="s">
        <v>223</v>
      </c>
      <c r="G38" s="1" t="n">
        <v>1</v>
      </c>
      <c r="H38" s="1" t="s">
        <v>55</v>
      </c>
      <c r="I38" s="1" t="s">
        <v>34</v>
      </c>
      <c r="K38" s="1" t="n">
        <v>240</v>
      </c>
      <c r="L38" s="1" t="n">
        <v>1</v>
      </c>
      <c r="M38" s="1" t="n">
        <v>42</v>
      </c>
      <c r="N38" s="1" t="n">
        <f aca="false">M38*K38</f>
        <v>10080</v>
      </c>
      <c r="P38" s="18"/>
      <c r="Q38" s="18"/>
      <c r="R38" s="1" t="s">
        <v>190</v>
      </c>
      <c r="S38" s="3" t="n">
        <v>52</v>
      </c>
      <c r="T38" s="3" t="n">
        <v>3</v>
      </c>
      <c r="U38" s="2" t="n">
        <v>12</v>
      </c>
      <c r="V38" s="2" t="n">
        <v>12</v>
      </c>
      <c r="W38" s="21" t="n">
        <f aca="false">T38*(SQRT(V38))</f>
        <v>10.3923048454133</v>
      </c>
      <c r="Y38" s="3" t="n">
        <v>83</v>
      </c>
      <c r="Z38" s="3" t="n">
        <v>7</v>
      </c>
      <c r="AA38" s="2" t="n">
        <v>12</v>
      </c>
      <c r="AB38" s="2" t="n">
        <v>12</v>
      </c>
      <c r="AC38" s="21" t="n">
        <f aca="false">Z38*(SQRT(AB38))</f>
        <v>24.2487113059643</v>
      </c>
      <c r="AE38" s="3" t="n">
        <v>52</v>
      </c>
      <c r="AF38" s="1" t="n">
        <v>10.3923048454133</v>
      </c>
      <c r="AG38" s="3" t="n">
        <v>83</v>
      </c>
      <c r="AH38" s="3" t="n">
        <v>24.2487113059643</v>
      </c>
      <c r="AI38" s="1" t="n">
        <v>4.82</v>
      </c>
    </row>
    <row r="39" customFormat="false" ht="15" hidden="false" customHeight="false" outlineLevel="0" collapsed="false">
      <c r="A39" s="1" t="n">
        <v>27346276</v>
      </c>
      <c r="B39" s="1" t="s">
        <v>224</v>
      </c>
      <c r="C39" s="1" t="s">
        <v>225</v>
      </c>
      <c r="D39" s="1" t="s">
        <v>38</v>
      </c>
      <c r="E39" s="1" t="n">
        <v>2016</v>
      </c>
      <c r="F39" s="1" t="s">
        <v>226</v>
      </c>
      <c r="G39" s="1" t="n">
        <v>1</v>
      </c>
      <c r="H39" s="1" t="s">
        <v>55</v>
      </c>
      <c r="I39" s="1" t="s">
        <v>34</v>
      </c>
      <c r="K39" s="1" t="n">
        <v>360</v>
      </c>
      <c r="L39" s="1" t="n">
        <v>1</v>
      </c>
      <c r="M39" s="1" t="n">
        <v>21</v>
      </c>
      <c r="N39" s="1" t="n">
        <f aca="false">M39*K39</f>
        <v>7560</v>
      </c>
      <c r="P39" s="1" t="n">
        <v>5</v>
      </c>
      <c r="Q39" s="1" t="n">
        <v>5</v>
      </c>
      <c r="R39" s="1" t="s">
        <v>111</v>
      </c>
      <c r="S39" s="3" t="n">
        <v>83</v>
      </c>
      <c r="T39" s="20" t="s">
        <v>48</v>
      </c>
      <c r="U39" s="4" t="n">
        <v>10</v>
      </c>
      <c r="W39" s="21" t="n">
        <v>20</v>
      </c>
      <c r="Y39" s="3" t="n">
        <v>123</v>
      </c>
      <c r="Z39" s="20" t="s">
        <v>48</v>
      </c>
      <c r="AA39" s="4" t="n">
        <v>10</v>
      </c>
      <c r="AC39" s="21" t="n">
        <v>29</v>
      </c>
      <c r="AE39" s="3" t="n">
        <v>83</v>
      </c>
      <c r="AF39" s="1" t="n">
        <v>20</v>
      </c>
      <c r="AG39" s="3" t="n">
        <v>123</v>
      </c>
      <c r="AH39" s="3" t="n">
        <v>29</v>
      </c>
      <c r="AI39" s="1" t="n">
        <v>1.61</v>
      </c>
    </row>
    <row r="40" customFormat="false" ht="15" hidden="false" customHeight="false" outlineLevel="0" collapsed="false">
      <c r="A40" s="1" t="n">
        <v>27150225</v>
      </c>
      <c r="B40" s="1" t="s">
        <v>227</v>
      </c>
      <c r="C40" s="1" t="s">
        <v>228</v>
      </c>
      <c r="D40" s="1" t="s">
        <v>74</v>
      </c>
      <c r="E40" s="1" t="n">
        <v>2016</v>
      </c>
      <c r="F40" s="1" t="s">
        <v>229</v>
      </c>
      <c r="G40" s="1" t="n">
        <v>1</v>
      </c>
      <c r="H40" s="1" t="s">
        <v>55</v>
      </c>
      <c r="I40" s="1" t="s">
        <v>34</v>
      </c>
      <c r="K40" s="1" t="n">
        <v>180</v>
      </c>
      <c r="L40" s="1" t="n">
        <v>1</v>
      </c>
      <c r="M40" s="1" t="n">
        <v>35</v>
      </c>
      <c r="N40" s="1" t="n">
        <f aca="false">M40*K40</f>
        <v>6300</v>
      </c>
      <c r="O40" s="1" t="s">
        <v>230</v>
      </c>
      <c r="P40" s="1" t="n">
        <v>5</v>
      </c>
      <c r="Q40" s="1" t="n">
        <v>5</v>
      </c>
      <c r="R40" s="1" t="s">
        <v>190</v>
      </c>
      <c r="S40" s="3" t="n">
        <v>269</v>
      </c>
      <c r="T40" s="3" t="n">
        <v>2</v>
      </c>
      <c r="U40" s="4" t="n">
        <v>8</v>
      </c>
      <c r="V40" s="4" t="n">
        <v>8</v>
      </c>
      <c r="W40" s="21" t="n">
        <f aca="false">T40*(SQRT(V40))</f>
        <v>5.65685424949238</v>
      </c>
      <c r="Y40" s="3" t="n">
        <v>286</v>
      </c>
      <c r="Z40" s="3" t="n">
        <v>1</v>
      </c>
      <c r="AA40" s="4" t="n">
        <v>8</v>
      </c>
      <c r="AB40" s="4" t="n">
        <v>8</v>
      </c>
      <c r="AC40" s="21" t="n">
        <f aca="false">Z40*(SQRT(AB40))</f>
        <v>2.82842712474619</v>
      </c>
      <c r="AE40" s="3" t="n">
        <v>269</v>
      </c>
      <c r="AF40" s="1" t="n">
        <v>5.65685424949238</v>
      </c>
      <c r="AG40" s="3" t="n">
        <v>286</v>
      </c>
      <c r="AH40" s="3" t="n">
        <v>2.82842712474619</v>
      </c>
      <c r="AI40" s="1" t="n">
        <v>3.58</v>
      </c>
    </row>
    <row r="41" customFormat="false" ht="15" hidden="false" customHeight="false" outlineLevel="0" collapsed="false">
      <c r="A41" s="25" t="n">
        <v>27023176</v>
      </c>
      <c r="B41" s="25" t="s">
        <v>231</v>
      </c>
      <c r="C41" s="25" t="s">
        <v>232</v>
      </c>
      <c r="D41" s="25" t="s">
        <v>194</v>
      </c>
      <c r="E41" s="25" t="n">
        <v>2016</v>
      </c>
      <c r="F41" s="25" t="s">
        <v>233</v>
      </c>
      <c r="G41" s="25" t="n">
        <v>1</v>
      </c>
      <c r="H41" s="25" t="s">
        <v>234</v>
      </c>
      <c r="I41" s="1" t="s">
        <v>34</v>
      </c>
      <c r="J41" s="2" t="s">
        <v>235</v>
      </c>
      <c r="K41" s="1" t="n">
        <v>120</v>
      </c>
      <c r="L41" s="1" t="n">
        <v>1</v>
      </c>
      <c r="M41" s="1" t="n">
        <v>14</v>
      </c>
      <c r="N41" s="1" t="n">
        <f aca="false">M41*K41</f>
        <v>1680</v>
      </c>
      <c r="O41" s="1" t="s">
        <v>236</v>
      </c>
      <c r="P41" s="1" t="n">
        <v>5</v>
      </c>
      <c r="Q41" s="1" t="n">
        <v>5</v>
      </c>
      <c r="R41" s="1" t="s">
        <v>237</v>
      </c>
      <c r="S41" s="3" t="n">
        <v>25</v>
      </c>
      <c r="T41" s="3" t="n">
        <v>5</v>
      </c>
      <c r="U41" s="4" t="n">
        <v>10</v>
      </c>
      <c r="V41" s="4" t="n">
        <v>10</v>
      </c>
      <c r="W41" s="21" t="n">
        <f aca="false">T41*(SQRT(V41))</f>
        <v>15.8113883008419</v>
      </c>
      <c r="Y41" s="3" t="n">
        <v>17</v>
      </c>
      <c r="Z41" s="3" t="n">
        <v>3</v>
      </c>
      <c r="AA41" s="4" t="n">
        <v>10</v>
      </c>
      <c r="AB41" s="4" t="n">
        <v>10</v>
      </c>
      <c r="AC41" s="21" t="n">
        <f aca="false">Z41*(SQRT(AB41))</f>
        <v>9.48683298050514</v>
      </c>
      <c r="AE41" s="3" t="n">
        <v>25</v>
      </c>
      <c r="AF41" s="1" t="n">
        <v>15.8113883008419</v>
      </c>
      <c r="AG41" s="3" t="n">
        <v>17</v>
      </c>
      <c r="AH41" s="3" t="n">
        <v>9.48683298050514</v>
      </c>
      <c r="AI41" s="1" t="n">
        <v>-0.6</v>
      </c>
      <c r="AJ41" s="22" t="s">
        <v>50</v>
      </c>
    </row>
    <row r="42" customFormat="false" ht="15" hidden="false" customHeight="false" outlineLevel="0" collapsed="false">
      <c r="A42" s="25" t="n">
        <v>27023176</v>
      </c>
      <c r="B42" s="25" t="s">
        <v>231</v>
      </c>
      <c r="C42" s="25" t="s">
        <v>232</v>
      </c>
      <c r="D42" s="25" t="s">
        <v>194</v>
      </c>
      <c r="E42" s="25" t="n">
        <v>2016</v>
      </c>
      <c r="F42" s="25" t="s">
        <v>233</v>
      </c>
      <c r="G42" s="25" t="n">
        <v>1</v>
      </c>
      <c r="H42" s="25" t="s">
        <v>238</v>
      </c>
      <c r="I42" s="1" t="s">
        <v>34</v>
      </c>
      <c r="J42" s="2" t="s">
        <v>235</v>
      </c>
      <c r="K42" s="1" t="n">
        <v>120</v>
      </c>
      <c r="L42" s="1" t="n">
        <v>1</v>
      </c>
      <c r="M42" s="1" t="n">
        <v>14</v>
      </c>
      <c r="N42" s="1" t="n">
        <f aca="false">M42*K42</f>
        <v>1680</v>
      </c>
      <c r="O42" s="1" t="s">
        <v>236</v>
      </c>
      <c r="P42" s="1" t="n">
        <v>5</v>
      </c>
      <c r="Q42" s="1" t="n">
        <v>5</v>
      </c>
      <c r="R42" s="1" t="s">
        <v>237</v>
      </c>
      <c r="S42" s="3" t="n">
        <v>2.5</v>
      </c>
      <c r="T42" s="3" t="n">
        <v>0.5</v>
      </c>
      <c r="U42" s="4" t="n">
        <v>10</v>
      </c>
      <c r="V42" s="4" t="n">
        <v>10</v>
      </c>
      <c r="W42" s="21" t="n">
        <f aca="false">T42*(SQRT(V42))</f>
        <v>1.58113883008419</v>
      </c>
      <c r="Y42" s="3" t="n">
        <v>7</v>
      </c>
      <c r="Z42" s="3" t="n">
        <v>1.2</v>
      </c>
      <c r="AA42" s="4" t="n">
        <v>10</v>
      </c>
      <c r="AB42" s="4" t="n">
        <v>10</v>
      </c>
      <c r="AC42" s="21" t="n">
        <f aca="false">Z42*(SQRT(AB42))</f>
        <v>3.79473319220206</v>
      </c>
      <c r="AE42" s="3" t="n">
        <v>2.5</v>
      </c>
      <c r="AF42" s="1" t="n">
        <v>1.58113883008419</v>
      </c>
      <c r="AG42" s="3" t="n">
        <v>7</v>
      </c>
      <c r="AH42" s="3" t="n">
        <v>3.79473319220206</v>
      </c>
      <c r="AI42" s="1" t="n">
        <v>1.54</v>
      </c>
    </row>
    <row r="43" customFormat="false" ht="15" hidden="false" customHeight="false" outlineLevel="0" collapsed="false">
      <c r="A43" s="1" t="n">
        <v>26947756</v>
      </c>
      <c r="B43" s="1" t="s">
        <v>239</v>
      </c>
      <c r="C43" s="1" t="s">
        <v>240</v>
      </c>
      <c r="D43" s="1" t="s">
        <v>74</v>
      </c>
      <c r="E43" s="1" t="n">
        <v>2016</v>
      </c>
      <c r="F43" s="1" t="s">
        <v>241</v>
      </c>
      <c r="G43" s="1" t="n">
        <v>1</v>
      </c>
      <c r="H43" s="1" t="s">
        <v>27</v>
      </c>
      <c r="I43" s="1" t="s">
        <v>34</v>
      </c>
      <c r="K43" s="1" t="n">
        <v>360</v>
      </c>
      <c r="L43" s="1" t="n">
        <v>1</v>
      </c>
      <c r="M43" s="1" t="n">
        <v>21</v>
      </c>
      <c r="N43" s="1" t="n">
        <f aca="false">M43*K43</f>
        <v>7560</v>
      </c>
      <c r="P43" s="1" t="n">
        <v>5</v>
      </c>
      <c r="Q43" s="1" t="n">
        <v>5</v>
      </c>
      <c r="R43" s="1" t="s">
        <v>111</v>
      </c>
      <c r="S43" s="3" t="n">
        <v>96</v>
      </c>
      <c r="T43" s="3" t="n">
        <v>3</v>
      </c>
      <c r="U43" s="4" t="n">
        <v>8</v>
      </c>
      <c r="V43" s="4" t="n">
        <v>8</v>
      </c>
      <c r="W43" s="21" t="n">
        <f aca="false">T43*(SQRT(V43))</f>
        <v>8.48528137423857</v>
      </c>
      <c r="Y43" s="3" t="n">
        <v>115</v>
      </c>
      <c r="Z43" s="3" t="n">
        <v>6</v>
      </c>
      <c r="AA43" s="4" t="n">
        <v>8</v>
      </c>
      <c r="AB43" s="4" t="n">
        <v>8</v>
      </c>
      <c r="AC43" s="21" t="n">
        <f aca="false">Z43*(SQRT(AB43))</f>
        <v>16.9705627484771</v>
      </c>
      <c r="AE43" s="3" t="n">
        <v>96</v>
      </c>
      <c r="AF43" s="1" t="n">
        <v>8.48528137423857</v>
      </c>
      <c r="AG43" s="3" t="n">
        <v>115</v>
      </c>
      <c r="AH43" s="3" t="n">
        <v>16.9705627484771</v>
      </c>
      <c r="AI43" s="1" t="n">
        <v>1.41</v>
      </c>
    </row>
    <row r="44" customFormat="false" ht="15" hidden="false" customHeight="false" outlineLevel="0" collapsed="false">
      <c r="A44" s="1" t="n">
        <v>26778944</v>
      </c>
      <c r="B44" s="1" t="s">
        <v>242</v>
      </c>
      <c r="C44" s="1" t="s">
        <v>243</v>
      </c>
      <c r="D44" s="1" t="s">
        <v>244</v>
      </c>
      <c r="E44" s="1" t="n">
        <v>2015</v>
      </c>
      <c r="F44" s="1" t="s">
        <v>245</v>
      </c>
      <c r="G44" s="1" t="n">
        <v>1</v>
      </c>
      <c r="H44" s="1" t="s">
        <v>27</v>
      </c>
      <c r="I44" s="1" t="s">
        <v>34</v>
      </c>
      <c r="J44" s="2" t="s">
        <v>96</v>
      </c>
      <c r="K44" s="1" t="n">
        <v>120</v>
      </c>
      <c r="L44" s="1" t="n">
        <v>1</v>
      </c>
      <c r="M44" s="1" t="n">
        <v>21</v>
      </c>
      <c r="N44" s="1" t="n">
        <f aca="false">M44*K44</f>
        <v>2520</v>
      </c>
      <c r="O44" s="1" t="s">
        <v>246</v>
      </c>
      <c r="P44" s="1" t="n">
        <v>5</v>
      </c>
      <c r="Q44" s="1" t="n">
        <v>5</v>
      </c>
      <c r="R44" s="1" t="s">
        <v>78</v>
      </c>
      <c r="S44" s="3" t="n">
        <v>23</v>
      </c>
      <c r="T44" s="3" t="n">
        <v>1</v>
      </c>
      <c r="U44" s="4" t="n">
        <v>10</v>
      </c>
      <c r="V44" s="4" t="n">
        <v>10</v>
      </c>
      <c r="W44" s="21" t="n">
        <f aca="false">T44*(SQRT(V44))</f>
        <v>3.16227766016838</v>
      </c>
      <c r="Y44" s="3" t="n">
        <v>31</v>
      </c>
      <c r="Z44" s="3" t="n">
        <v>1</v>
      </c>
      <c r="AA44" s="4" t="n">
        <v>10</v>
      </c>
      <c r="AB44" s="4" t="n">
        <v>10</v>
      </c>
      <c r="AC44" s="21" t="n">
        <f aca="false">Z44*(SQRT(AB44))</f>
        <v>3.16227766016838</v>
      </c>
      <c r="AE44" s="3" t="n">
        <v>23</v>
      </c>
      <c r="AF44" s="1" t="n">
        <v>3.16227766016838</v>
      </c>
      <c r="AG44" s="3" t="n">
        <v>31</v>
      </c>
      <c r="AH44" s="3" t="n">
        <v>3.16227766016838</v>
      </c>
      <c r="AI44" s="1" t="n">
        <v>2.67</v>
      </c>
    </row>
    <row r="45" customFormat="false" ht="15" hidden="false" customHeight="false" outlineLevel="0" collapsed="false">
      <c r="A45" s="1" t="n">
        <v>26555398</v>
      </c>
      <c r="B45" s="1" t="s">
        <v>247</v>
      </c>
      <c r="C45" s="1" t="s">
        <v>248</v>
      </c>
      <c r="D45" s="1" t="s">
        <v>249</v>
      </c>
      <c r="E45" s="1" t="n">
        <v>2016</v>
      </c>
      <c r="F45" s="1" t="s">
        <v>250</v>
      </c>
      <c r="G45" s="1" t="n">
        <v>1</v>
      </c>
      <c r="H45" s="1" t="s">
        <v>27</v>
      </c>
      <c r="I45" s="1" t="s">
        <v>34</v>
      </c>
      <c r="K45" s="1" t="n">
        <v>240</v>
      </c>
      <c r="L45" s="1" t="n">
        <v>1</v>
      </c>
      <c r="M45" s="1" t="n">
        <v>5</v>
      </c>
      <c r="N45" s="1" t="n">
        <f aca="false">M45*K45</f>
        <v>1200</v>
      </c>
      <c r="O45" s="1" t="s">
        <v>251</v>
      </c>
      <c r="P45" s="1" t="n">
        <v>5</v>
      </c>
      <c r="Q45" s="1" t="n">
        <v>5</v>
      </c>
      <c r="R45" s="1" t="s">
        <v>237</v>
      </c>
      <c r="S45" s="3" t="n">
        <v>115</v>
      </c>
      <c r="T45" s="3" t="n">
        <v>3</v>
      </c>
      <c r="U45" s="4" t="s">
        <v>191</v>
      </c>
      <c r="V45" s="4" t="s">
        <v>41</v>
      </c>
      <c r="W45" s="21" t="n">
        <f aca="false">T45*(SQRT(V45))</f>
        <v>9.48683298050514</v>
      </c>
      <c r="Y45" s="3" t="n">
        <v>92</v>
      </c>
      <c r="Z45" s="3" t="n">
        <v>6</v>
      </c>
      <c r="AA45" s="4" t="s">
        <v>191</v>
      </c>
      <c r="AB45" s="4" t="s">
        <v>41</v>
      </c>
      <c r="AC45" s="21" t="n">
        <f aca="false">Z45*(SQRT(AB45))</f>
        <v>18.9736659610103</v>
      </c>
      <c r="AE45" s="3" t="n">
        <v>115</v>
      </c>
      <c r="AF45" s="1" t="n">
        <v>9.48683298050514</v>
      </c>
      <c r="AG45" s="3" t="n">
        <v>92</v>
      </c>
      <c r="AH45" s="3" t="n">
        <v>18.9736659610103</v>
      </c>
      <c r="AI45" s="1" t="n">
        <v>-1.51</v>
      </c>
      <c r="AJ45" s="22" t="s">
        <v>50</v>
      </c>
    </row>
    <row r="46" customFormat="false" ht="15" hidden="false" customHeight="false" outlineLevel="0" collapsed="false">
      <c r="A46" s="25" t="n">
        <v>26010004</v>
      </c>
      <c r="B46" s="25" t="s">
        <v>252</v>
      </c>
      <c r="C46" s="25" t="s">
        <v>253</v>
      </c>
      <c r="D46" s="25" t="s">
        <v>254</v>
      </c>
      <c r="E46" s="25" t="n">
        <v>2015</v>
      </c>
      <c r="F46" s="25" t="s">
        <v>255</v>
      </c>
      <c r="G46" s="25" t="n">
        <v>1</v>
      </c>
      <c r="H46" s="1" t="s">
        <v>27</v>
      </c>
      <c r="I46" s="1" t="s">
        <v>34</v>
      </c>
      <c r="K46" s="1" t="n">
        <v>150</v>
      </c>
      <c r="L46" s="1" t="n">
        <v>1</v>
      </c>
      <c r="M46" s="25" t="n">
        <v>7</v>
      </c>
      <c r="N46" s="1" t="n">
        <f aca="false">M46*K46</f>
        <v>1050</v>
      </c>
      <c r="R46" s="18"/>
      <c r="S46" s="18"/>
      <c r="T46" s="18"/>
      <c r="U46" s="18"/>
      <c r="V46" s="18"/>
      <c r="W46" s="18"/>
      <c r="Y46" s="18"/>
      <c r="Z46" s="18"/>
      <c r="AA46" s="18"/>
      <c r="AB46" s="18"/>
      <c r="AC46" s="18"/>
      <c r="AE46" s="18"/>
      <c r="AF46" s="18"/>
      <c r="AG46" s="18"/>
      <c r="AH46" s="18"/>
      <c r="AI46" s="18"/>
    </row>
    <row r="47" customFormat="false" ht="15" hidden="false" customHeight="false" outlineLevel="0" collapsed="false">
      <c r="A47" s="25" t="n">
        <v>26010004</v>
      </c>
      <c r="B47" s="25" t="s">
        <v>252</v>
      </c>
      <c r="C47" s="25" t="s">
        <v>253</v>
      </c>
      <c r="D47" s="25" t="s">
        <v>254</v>
      </c>
      <c r="E47" s="25" t="n">
        <v>2015</v>
      </c>
      <c r="F47" s="25" t="s">
        <v>255</v>
      </c>
      <c r="G47" s="25" t="n">
        <v>1</v>
      </c>
      <c r="H47" s="1" t="s">
        <v>27</v>
      </c>
      <c r="I47" s="1" t="s">
        <v>34</v>
      </c>
      <c r="K47" s="1" t="n">
        <v>150</v>
      </c>
      <c r="L47" s="1" t="n">
        <v>1</v>
      </c>
      <c r="M47" s="25" t="n">
        <v>14</v>
      </c>
      <c r="N47" s="1" t="n">
        <f aca="false">M47*K47</f>
        <v>2100</v>
      </c>
      <c r="P47" s="1" t="n">
        <v>5</v>
      </c>
      <c r="Q47" s="1" t="n">
        <v>5</v>
      </c>
      <c r="R47" s="1" t="s">
        <v>256</v>
      </c>
      <c r="S47" s="3" t="n">
        <v>107</v>
      </c>
      <c r="T47" s="3" t="n">
        <v>6</v>
      </c>
      <c r="U47" s="4" t="s">
        <v>96</v>
      </c>
      <c r="V47" s="4" t="s">
        <v>96</v>
      </c>
      <c r="W47" s="21" t="n">
        <f aca="false">T47*(SQRT(V47))</f>
        <v>16.9705627484771</v>
      </c>
      <c r="Y47" s="3" t="n">
        <v>166</v>
      </c>
      <c r="Z47" s="3" t="n">
        <v>2</v>
      </c>
      <c r="AA47" s="4" t="s">
        <v>96</v>
      </c>
      <c r="AB47" s="4" t="s">
        <v>96</v>
      </c>
      <c r="AC47" s="21" t="n">
        <f aca="false">Z47*(SQRT(AB47))</f>
        <v>5.65685424949238</v>
      </c>
      <c r="AE47" s="3" t="n">
        <v>107</v>
      </c>
      <c r="AF47" s="1" t="n">
        <v>16.9705627484771</v>
      </c>
      <c r="AG47" s="3" t="n">
        <v>166</v>
      </c>
      <c r="AH47" s="3" t="n">
        <v>5.65685424949238</v>
      </c>
      <c r="AI47" s="1" t="n">
        <v>4.62</v>
      </c>
    </row>
    <row r="48" customFormat="false" ht="15" hidden="false" customHeight="false" outlineLevel="0" collapsed="false">
      <c r="A48" s="1" t="n">
        <v>25826421</v>
      </c>
      <c r="B48" s="1" t="s">
        <v>257</v>
      </c>
      <c r="C48" s="1" t="s">
        <v>258</v>
      </c>
      <c r="D48" s="1" t="s">
        <v>259</v>
      </c>
      <c r="E48" s="1" t="n">
        <v>2015</v>
      </c>
      <c r="F48" s="1" t="s">
        <v>260</v>
      </c>
      <c r="G48" s="1" t="n">
        <v>1</v>
      </c>
      <c r="H48" s="1" t="s">
        <v>55</v>
      </c>
      <c r="I48" s="1" t="s">
        <v>34</v>
      </c>
      <c r="K48" s="1" t="n">
        <v>240</v>
      </c>
      <c r="L48" s="1" t="n">
        <v>1</v>
      </c>
      <c r="M48" s="1" t="n">
        <v>42</v>
      </c>
      <c r="N48" s="1" t="n">
        <f aca="false">M48*K48</f>
        <v>10080</v>
      </c>
      <c r="P48" s="1" t="n">
        <v>5</v>
      </c>
      <c r="Q48" s="1" t="n">
        <v>5</v>
      </c>
      <c r="R48" s="1" t="s">
        <v>237</v>
      </c>
      <c r="S48" s="3" t="n">
        <v>53</v>
      </c>
      <c r="T48" s="3" t="n">
        <v>1.5</v>
      </c>
      <c r="U48" s="4" t="s">
        <v>261</v>
      </c>
      <c r="V48" s="4" t="s">
        <v>64</v>
      </c>
      <c r="W48" s="21" t="n">
        <f aca="false">T48*(SQRT(V48))</f>
        <v>4.5</v>
      </c>
      <c r="Y48" s="3" t="n">
        <v>76</v>
      </c>
      <c r="Z48" s="3" t="n">
        <v>2.3</v>
      </c>
      <c r="AA48" s="4" t="s">
        <v>261</v>
      </c>
      <c r="AB48" s="4" t="s">
        <v>64</v>
      </c>
      <c r="AC48" s="21" t="n">
        <f aca="false">Z48*(SQRT(AB48))</f>
        <v>6.9</v>
      </c>
      <c r="AE48" s="3" t="n">
        <v>53</v>
      </c>
      <c r="AF48" s="1" t="n">
        <v>4.5</v>
      </c>
      <c r="AG48" s="3" t="n">
        <v>76</v>
      </c>
      <c r="AH48" s="3" t="n">
        <v>6.9</v>
      </c>
      <c r="AI48" s="1" t="n">
        <v>3.94</v>
      </c>
    </row>
    <row r="49" customFormat="false" ht="15" hidden="false" customHeight="false" outlineLevel="0" collapsed="false">
      <c r="A49" s="1" t="n">
        <v>25446675</v>
      </c>
      <c r="B49" s="1" t="s">
        <v>262</v>
      </c>
      <c r="C49" s="1" t="s">
        <v>263</v>
      </c>
      <c r="D49" s="1" t="s">
        <v>264</v>
      </c>
      <c r="E49" s="1" t="n">
        <v>2015</v>
      </c>
      <c r="F49" s="1" t="s">
        <v>265</v>
      </c>
      <c r="G49" s="1" t="n">
        <v>1</v>
      </c>
      <c r="H49" s="1" t="s">
        <v>27</v>
      </c>
      <c r="I49" s="1" t="s">
        <v>34</v>
      </c>
      <c r="J49" s="2" t="s">
        <v>96</v>
      </c>
      <c r="K49" s="1" t="n">
        <v>240</v>
      </c>
      <c r="L49" s="1" t="n">
        <v>1</v>
      </c>
      <c r="M49" s="1" t="n">
        <v>10</v>
      </c>
      <c r="N49" s="1" t="n">
        <f aca="false">M49*K49</f>
        <v>2400</v>
      </c>
      <c r="P49" s="1" t="n">
        <v>5</v>
      </c>
      <c r="Q49" s="1" t="n">
        <v>5</v>
      </c>
      <c r="R49" s="1" t="s">
        <v>266</v>
      </c>
      <c r="S49" s="3" t="n">
        <v>29</v>
      </c>
      <c r="T49" s="20" t="s">
        <v>48</v>
      </c>
      <c r="U49" s="4" t="s">
        <v>267</v>
      </c>
      <c r="W49" s="21" t="n">
        <v>8</v>
      </c>
      <c r="Y49" s="3" t="n">
        <v>60</v>
      </c>
      <c r="Z49" s="20" t="s">
        <v>48</v>
      </c>
      <c r="AA49" s="4" t="s">
        <v>267</v>
      </c>
      <c r="AC49" s="21" t="n">
        <v>3</v>
      </c>
      <c r="AE49" s="3" t="n">
        <v>29</v>
      </c>
      <c r="AF49" s="1" t="n">
        <v>8</v>
      </c>
      <c r="AG49" s="3" t="n">
        <v>60</v>
      </c>
      <c r="AH49" s="3" t="n">
        <v>3</v>
      </c>
      <c r="AI49" s="1" t="n">
        <v>5.13</v>
      </c>
    </row>
    <row r="50" customFormat="false" ht="15" hidden="false" customHeight="false" outlineLevel="0" collapsed="false">
      <c r="A50" s="1" t="n">
        <v>25315361</v>
      </c>
      <c r="B50" s="1" t="s">
        <v>268</v>
      </c>
      <c r="C50" s="1" t="s">
        <v>269</v>
      </c>
      <c r="D50" s="1" t="s">
        <v>94</v>
      </c>
      <c r="E50" s="1" t="n">
        <v>2015</v>
      </c>
      <c r="F50" s="1" t="s">
        <v>270</v>
      </c>
      <c r="G50" s="1" t="n">
        <v>1</v>
      </c>
      <c r="H50" s="1" t="s">
        <v>55</v>
      </c>
      <c r="I50" s="1" t="s">
        <v>34</v>
      </c>
      <c r="K50" s="1" t="n">
        <v>240</v>
      </c>
      <c r="L50" s="1" t="n">
        <v>1</v>
      </c>
      <c r="M50" s="1" t="n">
        <v>42</v>
      </c>
      <c r="N50" s="1" t="n">
        <f aca="false">M50*K50</f>
        <v>10080</v>
      </c>
      <c r="P50" s="1" t="n">
        <v>5</v>
      </c>
      <c r="Q50" s="1" t="n">
        <v>5</v>
      </c>
      <c r="R50" s="1" t="s">
        <v>185</v>
      </c>
      <c r="S50" s="3" t="n">
        <v>61</v>
      </c>
      <c r="T50" s="3" t="n">
        <v>7</v>
      </c>
      <c r="U50" s="4" t="s">
        <v>56</v>
      </c>
      <c r="V50" s="4" t="s">
        <v>96</v>
      </c>
      <c r="W50" s="21" t="n">
        <f aca="false">T50*(SQRT(V50))</f>
        <v>19.7989898732233</v>
      </c>
      <c r="Y50" s="3" t="n">
        <v>152</v>
      </c>
      <c r="Z50" s="3" t="n">
        <v>7</v>
      </c>
      <c r="AA50" s="4" t="s">
        <v>56</v>
      </c>
      <c r="AB50" s="4" t="s">
        <v>96</v>
      </c>
      <c r="AC50" s="21" t="n">
        <f aca="false">Z50*(SQRT(AB50))</f>
        <v>19.7989898732233</v>
      </c>
      <c r="AE50" s="3" t="n">
        <v>61</v>
      </c>
      <c r="AF50" s="1" t="n">
        <v>19.7989898732233</v>
      </c>
      <c r="AG50" s="3" t="n">
        <v>152</v>
      </c>
      <c r="AH50" s="3" t="n">
        <v>19.7989898732233</v>
      </c>
      <c r="AI50" s="1" t="n">
        <v>4.55</v>
      </c>
    </row>
    <row r="51" customFormat="false" ht="15" hidden="false" customHeight="false" outlineLevel="0" collapsed="false">
      <c r="A51" s="1" t="n">
        <v>25139647</v>
      </c>
      <c r="B51" s="1" t="s">
        <v>271</v>
      </c>
      <c r="C51" s="1" t="s">
        <v>272</v>
      </c>
      <c r="D51" s="1" t="s">
        <v>273</v>
      </c>
      <c r="E51" s="1" t="n">
        <v>2015</v>
      </c>
      <c r="F51" s="1" t="s">
        <v>274</v>
      </c>
      <c r="G51" s="1" t="n">
        <v>1</v>
      </c>
      <c r="H51" s="1" t="s">
        <v>55</v>
      </c>
      <c r="I51" s="1" t="s">
        <v>34</v>
      </c>
      <c r="J51" s="2" t="s">
        <v>76</v>
      </c>
      <c r="K51" s="1" t="n">
        <v>360</v>
      </c>
      <c r="L51" s="1" t="n">
        <v>1</v>
      </c>
      <c r="M51" s="1" t="n">
        <v>21</v>
      </c>
      <c r="N51" s="1" t="n">
        <f aca="false">M51*K51</f>
        <v>7560</v>
      </c>
      <c r="O51" s="1" t="s">
        <v>275</v>
      </c>
      <c r="P51" s="1" t="n">
        <v>5</v>
      </c>
      <c r="Q51" s="1" t="n">
        <v>5</v>
      </c>
      <c r="R51" s="1" t="n">
        <v>3</v>
      </c>
      <c r="S51" s="18"/>
      <c r="T51" s="18"/>
      <c r="U51" s="18"/>
      <c r="V51" s="18"/>
      <c r="W51" s="18"/>
      <c r="Y51" s="18"/>
      <c r="Z51" s="18"/>
      <c r="AA51" s="18"/>
      <c r="AB51" s="18"/>
      <c r="AC51" s="18"/>
      <c r="AE51" s="18"/>
      <c r="AF51" s="18"/>
      <c r="AG51" s="18"/>
      <c r="AH51" s="18"/>
      <c r="AI51" s="1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67"/>
  <sheetViews>
    <sheetView showFormulas="false" showGridLines="true" showRowColHeaders="true" showZeros="true" rightToLeft="false" tabSelected="false" showOutlineSymbols="true" defaultGridColor="true" view="normal" topLeftCell="A33" colorId="64" zoomScale="100" zoomScaleNormal="100" zoomScalePageLayoutView="100" workbookViewId="0">
      <selection pane="topLeft" activeCell="M69" activeCellId="0" sqref="M69"/>
    </sheetView>
  </sheetViews>
  <sheetFormatPr defaultColWidth="8.59765625" defaultRowHeight="15" zeroHeight="false" outlineLevelRow="0" outlineLevelCol="0"/>
  <cols>
    <col collapsed="false" customWidth="true" hidden="false" outlineLevel="0" max="2" min="2" style="31" width="33"/>
    <col collapsed="false" customWidth="true" hidden="false" outlineLevel="0" max="3" min="3" style="31" width="12.14"/>
    <col collapsed="false" customWidth="true" hidden="false" outlineLevel="0" max="4" min="4" style="31" width="15.57"/>
    <col collapsed="false" customWidth="true" hidden="false" outlineLevel="0" max="6" min="6" style="31" width="29.14"/>
    <col collapsed="false" customWidth="true" hidden="false" outlineLevel="0" max="9" min="7" style="31" width="4.72"/>
    <col collapsed="false" customWidth="true" hidden="false" outlineLevel="0" max="10" min="10" style="32" width="4.72"/>
    <col collapsed="false" customWidth="true" hidden="false" outlineLevel="0" max="12" min="11" style="31" width="4.72"/>
    <col collapsed="false" customWidth="true" hidden="false" outlineLevel="0" max="13" min="13" style="33" width="10.91"/>
    <col collapsed="false" customWidth="true" hidden="false" outlineLevel="0" max="14" min="14" style="33" width="6"/>
    <col collapsed="false" customWidth="true" hidden="false" outlineLevel="0" max="15" min="15" style="31" width="4.72"/>
    <col collapsed="false" customWidth="true" hidden="false" outlineLevel="0" max="16" min="16" style="31" width="16"/>
    <col collapsed="false" customWidth="true" hidden="false" outlineLevel="0" max="17" min="17" style="31" width="23.43"/>
    <col collapsed="false" customWidth="true" hidden="false" outlineLevel="0" max="18" min="18" style="31" width="35.86"/>
    <col collapsed="false" customWidth="true" hidden="false" outlineLevel="0" max="19" min="19" style="31" width="35"/>
    <col collapsed="false" customWidth="true" hidden="false" outlineLevel="0" max="20" min="20" style="34" width="10.7"/>
    <col collapsed="false" customWidth="true" hidden="false" outlineLevel="0" max="21" min="21" style="35" width="14"/>
    <col collapsed="false" customWidth="true" hidden="false" outlineLevel="0" max="22" min="22" style="35" width="11.86"/>
    <col collapsed="false" customWidth="true" hidden="false" outlineLevel="0" max="24" min="23" style="36" width="8.86"/>
    <col collapsed="false" customWidth="true" hidden="false" outlineLevel="0" max="25" min="25" style="35" width="18.86"/>
    <col collapsed="false" customWidth="true" hidden="false" outlineLevel="0" max="26" min="26" style="35" width="2.7"/>
    <col collapsed="false" customWidth="true" hidden="false" outlineLevel="0" max="27" min="27" style="35" width="14.14"/>
    <col collapsed="false" customWidth="true" hidden="false" outlineLevel="0" max="28" min="28" style="35" width="11.86"/>
    <col collapsed="false" customWidth="false" hidden="false" outlineLevel="0" max="30" min="29" style="36" width="8.57"/>
    <col collapsed="false" customWidth="true" hidden="false" outlineLevel="0" max="31" min="31" style="35" width="18.86"/>
    <col collapsed="false" customWidth="true" hidden="false" outlineLevel="0" max="32" min="32" style="33" width="3.72"/>
    <col collapsed="false" customWidth="true" hidden="false" outlineLevel="0" max="33" min="33" style="35" width="15"/>
    <col collapsed="false" customWidth="true" hidden="false" outlineLevel="0" max="34" min="34" style="35" width="5.14"/>
    <col collapsed="false" customWidth="true" hidden="false" outlineLevel="0" max="35" min="35" style="35" width="12.43"/>
    <col collapsed="false" customWidth="true" hidden="false" outlineLevel="0" max="36" min="36" style="35" width="5.14"/>
    <col collapsed="false" customWidth="true" hidden="false" outlineLevel="0" max="37" min="37" style="33" width="11.57"/>
    <col collapsed="false" customWidth="true" hidden="false" outlineLevel="0" max="38" min="38" style="33" width="42.7"/>
  </cols>
  <sheetData>
    <row r="1" s="37" customFormat="true" ht="15" hidden="false" customHeight="false" outlineLevel="0" collapsed="false">
      <c r="T1" s="38"/>
      <c r="U1" s="39" t="s">
        <v>276</v>
      </c>
      <c r="V1" s="40"/>
      <c r="W1" s="41"/>
      <c r="X1" s="41"/>
      <c r="Y1" s="40"/>
      <c r="Z1" s="38"/>
      <c r="AA1" s="42" t="s">
        <v>277</v>
      </c>
      <c r="AB1" s="43"/>
      <c r="AC1" s="44"/>
      <c r="AD1" s="44"/>
      <c r="AE1" s="43"/>
      <c r="AF1" s="38"/>
      <c r="AG1" s="38"/>
      <c r="AH1" s="38"/>
      <c r="AI1" s="38"/>
      <c r="AJ1" s="38"/>
      <c r="AK1" s="38"/>
      <c r="AL1" s="38"/>
    </row>
    <row r="2" customFormat="false" ht="15" hidden="false" customHeight="false" outlineLevel="0" collapsed="false">
      <c r="A2" s="37" t="s">
        <v>2</v>
      </c>
      <c r="B2" s="37" t="s">
        <v>3</v>
      </c>
      <c r="C2" s="37" t="s">
        <v>4</v>
      </c>
      <c r="D2" s="37" t="s">
        <v>5</v>
      </c>
      <c r="E2" s="37" t="s">
        <v>6</v>
      </c>
      <c r="F2" s="37" t="s">
        <v>7</v>
      </c>
      <c r="G2" s="37" t="s">
        <v>278</v>
      </c>
      <c r="H2" s="37" t="s">
        <v>9</v>
      </c>
      <c r="I2" s="37" t="s">
        <v>10</v>
      </c>
      <c r="J2" s="45" t="s">
        <v>11</v>
      </c>
      <c r="K2" s="37" t="s">
        <v>12</v>
      </c>
      <c r="L2" s="37" t="s">
        <v>13</v>
      </c>
      <c r="M2" s="46" t="s">
        <v>14</v>
      </c>
      <c r="N2" s="46" t="s">
        <v>15</v>
      </c>
      <c r="O2" s="37" t="s">
        <v>16</v>
      </c>
      <c r="P2" s="37" t="s">
        <v>279</v>
      </c>
      <c r="Q2" s="37" t="s">
        <v>280</v>
      </c>
      <c r="R2" s="37" t="s">
        <v>281</v>
      </c>
      <c r="S2" s="37" t="s">
        <v>282</v>
      </c>
      <c r="T2" s="47" t="s">
        <v>19</v>
      </c>
      <c r="U2" s="48" t="s">
        <v>20</v>
      </c>
      <c r="V2" s="49" t="s">
        <v>283</v>
      </c>
      <c r="W2" s="50" t="s">
        <v>22</v>
      </c>
      <c r="X2" s="50" t="s">
        <v>23</v>
      </c>
      <c r="Y2" s="49" t="s">
        <v>24</v>
      </c>
      <c r="AA2" s="51" t="s">
        <v>25</v>
      </c>
      <c r="AB2" s="52" t="s">
        <v>284</v>
      </c>
      <c r="AC2" s="53" t="s">
        <v>22</v>
      </c>
      <c r="AD2" s="53" t="s">
        <v>23</v>
      </c>
      <c r="AE2" s="52" t="s">
        <v>24</v>
      </c>
      <c r="AG2" s="54" t="s">
        <v>20</v>
      </c>
      <c r="AH2" s="54" t="s">
        <v>27</v>
      </c>
      <c r="AI2" s="54" t="s">
        <v>28</v>
      </c>
      <c r="AJ2" s="54" t="s">
        <v>27</v>
      </c>
      <c r="AK2" s="54" t="s">
        <v>29</v>
      </c>
    </row>
    <row r="3" customFormat="false" ht="15" hidden="false" customHeight="false" outlineLevel="0" collapsed="false">
      <c r="A3" s="55" t="n">
        <v>39432823</v>
      </c>
      <c r="B3" s="55" t="s">
        <v>30</v>
      </c>
      <c r="C3" s="55" t="s">
        <v>31</v>
      </c>
      <c r="D3" s="55" t="s">
        <v>32</v>
      </c>
      <c r="E3" s="55" t="n">
        <v>2024</v>
      </c>
      <c r="F3" s="55" t="s">
        <v>33</v>
      </c>
      <c r="G3" s="55" t="n">
        <v>1</v>
      </c>
      <c r="H3" s="31" t="s">
        <v>27</v>
      </c>
      <c r="I3" s="31" t="s">
        <v>34</v>
      </c>
      <c r="J3" s="32" t="s">
        <v>49</v>
      </c>
      <c r="K3" s="31" t="n">
        <v>480</v>
      </c>
      <c r="L3" s="31" t="n">
        <v>1</v>
      </c>
      <c r="M3" s="33" t="n">
        <v>28</v>
      </c>
      <c r="N3" s="33" t="n">
        <f aca="false">M3*K3</f>
        <v>13440</v>
      </c>
      <c r="O3" s="55" t="s">
        <v>285</v>
      </c>
      <c r="P3" s="31" t="n">
        <v>48</v>
      </c>
      <c r="Q3" s="31" t="n">
        <v>0.1</v>
      </c>
      <c r="R3" s="56"/>
      <c r="S3" s="56"/>
      <c r="T3" s="34" t="s">
        <v>152</v>
      </c>
      <c r="U3" s="35" t="n">
        <v>81</v>
      </c>
      <c r="V3" s="35" t="s">
        <v>48</v>
      </c>
      <c r="Y3" s="57" t="n">
        <v>3.4</v>
      </c>
      <c r="Z3" s="33"/>
      <c r="AA3" s="35" t="n">
        <v>55</v>
      </c>
      <c r="AB3" s="35" t="s">
        <v>48</v>
      </c>
      <c r="AE3" s="57" t="n">
        <v>5</v>
      </c>
      <c r="AG3" s="35" t="n">
        <v>81</v>
      </c>
      <c r="AH3" s="58" t="n">
        <v>3.4</v>
      </c>
      <c r="AI3" s="35" t="n">
        <v>55</v>
      </c>
      <c r="AJ3" s="58" t="n">
        <v>5</v>
      </c>
      <c r="AK3" s="33" t="n">
        <v>6.08</v>
      </c>
    </row>
    <row r="4" customFormat="false" ht="15" hidden="false" customHeight="false" outlineLevel="0" collapsed="false">
      <c r="A4" s="55" t="n">
        <v>39432823</v>
      </c>
      <c r="B4" s="55" t="s">
        <v>30</v>
      </c>
      <c r="C4" s="55" t="s">
        <v>31</v>
      </c>
      <c r="D4" s="55" t="s">
        <v>32</v>
      </c>
      <c r="E4" s="55" t="n">
        <v>2024</v>
      </c>
      <c r="F4" s="55" t="s">
        <v>33</v>
      </c>
      <c r="G4" s="55" t="n">
        <v>1</v>
      </c>
      <c r="H4" s="31" t="s">
        <v>27</v>
      </c>
      <c r="I4" s="31" t="s">
        <v>34</v>
      </c>
      <c r="J4" s="32" t="s">
        <v>49</v>
      </c>
      <c r="K4" s="31" t="n">
        <v>480</v>
      </c>
      <c r="L4" s="31" t="n">
        <v>1</v>
      </c>
      <c r="M4" s="33" t="n">
        <v>28</v>
      </c>
      <c r="N4" s="33" t="n">
        <f aca="false">M4*K4</f>
        <v>13440</v>
      </c>
      <c r="O4" s="55" t="s">
        <v>286</v>
      </c>
      <c r="P4" s="31" t="n">
        <v>48</v>
      </c>
      <c r="Q4" s="31" t="n">
        <v>0.1</v>
      </c>
      <c r="R4" s="56"/>
      <c r="S4" s="56"/>
      <c r="T4" s="34" t="s">
        <v>152</v>
      </c>
      <c r="U4" s="35" t="n">
        <v>81</v>
      </c>
      <c r="V4" s="35" t="s">
        <v>48</v>
      </c>
      <c r="Y4" s="57" t="n">
        <v>3.4</v>
      </c>
      <c r="Z4" s="33"/>
      <c r="AA4" s="35" t="n">
        <v>59</v>
      </c>
      <c r="AB4" s="35" t="s">
        <v>48</v>
      </c>
      <c r="AE4" s="57" t="n">
        <v>4.6</v>
      </c>
      <c r="AG4" s="35" t="n">
        <v>81</v>
      </c>
      <c r="AH4" s="58" t="n">
        <v>3.4</v>
      </c>
      <c r="AI4" s="35" t="n">
        <v>59</v>
      </c>
      <c r="AJ4" s="58" t="n">
        <v>4.6</v>
      </c>
      <c r="AK4" s="33" t="n">
        <v>5.43</v>
      </c>
    </row>
    <row r="5" customFormat="false" ht="15" hidden="false" customHeight="false" outlineLevel="0" collapsed="false">
      <c r="A5" s="31" t="n">
        <v>39295891</v>
      </c>
      <c r="B5" s="31" t="s">
        <v>287</v>
      </c>
      <c r="C5" s="31" t="s">
        <v>288</v>
      </c>
      <c r="D5" s="31" t="s">
        <v>156</v>
      </c>
      <c r="E5" s="31" t="n">
        <v>2020</v>
      </c>
      <c r="F5" s="31" t="s">
        <v>289</v>
      </c>
      <c r="G5" s="31" t="n">
        <v>1</v>
      </c>
      <c r="H5" s="31" t="s">
        <v>55</v>
      </c>
      <c r="I5" s="31" t="s">
        <v>34</v>
      </c>
      <c r="J5" s="32" t="n">
        <v>9</v>
      </c>
      <c r="K5" s="31" t="n">
        <v>180</v>
      </c>
      <c r="L5" s="31" t="n">
        <v>1</v>
      </c>
      <c r="M5" s="33" t="n">
        <v>28</v>
      </c>
      <c r="N5" s="33" t="n">
        <f aca="false">M5*K5</f>
        <v>5040</v>
      </c>
      <c r="P5" s="31" t="n">
        <v>1</v>
      </c>
      <c r="Q5" s="31" t="n">
        <v>1</v>
      </c>
      <c r="R5" s="31" t="n">
        <v>24</v>
      </c>
      <c r="S5" s="31" t="n">
        <v>24</v>
      </c>
      <c r="T5" s="34" t="s">
        <v>127</v>
      </c>
      <c r="U5" s="35" t="n">
        <v>52</v>
      </c>
      <c r="V5" s="35" t="s">
        <v>48</v>
      </c>
      <c r="W5" s="36" t="n">
        <v>10</v>
      </c>
      <c r="Y5" s="35" t="n">
        <v>21</v>
      </c>
      <c r="AA5" s="35" t="n">
        <v>30</v>
      </c>
      <c r="AB5" s="35" t="s">
        <v>48</v>
      </c>
      <c r="AC5" s="36" t="n">
        <v>10</v>
      </c>
      <c r="AE5" s="35" t="n">
        <v>17</v>
      </c>
      <c r="AG5" s="35" t="n">
        <v>52</v>
      </c>
      <c r="AH5" s="58" t="n">
        <v>21</v>
      </c>
      <c r="AI5" s="35" t="n">
        <v>30</v>
      </c>
      <c r="AJ5" s="58" t="n">
        <v>17</v>
      </c>
      <c r="AK5" s="33" t="n">
        <v>1.15</v>
      </c>
      <c r="AL5" s="33" t="s">
        <v>290</v>
      </c>
    </row>
    <row r="6" customFormat="false" ht="15" hidden="false" customHeight="false" outlineLevel="0" collapsed="false">
      <c r="A6" s="31" t="n">
        <v>38992775</v>
      </c>
      <c r="B6" s="31" t="s">
        <v>36</v>
      </c>
      <c r="C6" s="31" t="s">
        <v>37</v>
      </c>
      <c r="D6" s="31" t="s">
        <v>38</v>
      </c>
      <c r="E6" s="31" t="n">
        <v>2024</v>
      </c>
      <c r="F6" s="31" t="s">
        <v>39</v>
      </c>
      <c r="G6" s="31" t="n">
        <v>1</v>
      </c>
      <c r="H6" s="31" t="s">
        <v>27</v>
      </c>
      <c r="I6" s="31" t="s">
        <v>34</v>
      </c>
      <c r="J6" s="32" t="n">
        <v>4</v>
      </c>
      <c r="K6" s="31" t="n">
        <v>120</v>
      </c>
      <c r="L6" s="31" t="n">
        <v>1</v>
      </c>
      <c r="M6" s="33" t="n">
        <v>14</v>
      </c>
      <c r="N6" s="33" t="n">
        <f aca="false">M6*K6</f>
        <v>1680</v>
      </c>
      <c r="P6" s="31" t="n">
        <v>6</v>
      </c>
      <c r="Q6" s="59" t="s">
        <v>291</v>
      </c>
      <c r="R6" s="31" t="n">
        <v>12</v>
      </c>
      <c r="S6" s="31" t="n">
        <v>12</v>
      </c>
      <c r="T6" s="34" t="s">
        <v>292</v>
      </c>
      <c r="U6" s="35" t="n">
        <v>73</v>
      </c>
      <c r="V6" s="35" t="n">
        <v>3.1</v>
      </c>
      <c r="W6" s="36" t="n">
        <v>10</v>
      </c>
      <c r="X6" s="36" t="n">
        <v>10</v>
      </c>
      <c r="Y6" s="57" t="n">
        <f aca="false">V6*(SQRT(X6))</f>
        <v>9.80306074652198</v>
      </c>
      <c r="AA6" s="35" t="n">
        <v>51</v>
      </c>
      <c r="AB6" s="35" t="n">
        <v>3.8</v>
      </c>
      <c r="AC6" s="36" t="n">
        <v>10</v>
      </c>
      <c r="AD6" s="36" t="n">
        <v>10</v>
      </c>
      <c r="AE6" s="57" t="n">
        <f aca="false">AB6*(SQRT(AD6))</f>
        <v>12.0166551086398</v>
      </c>
      <c r="AG6" s="35" t="n">
        <v>73</v>
      </c>
      <c r="AH6" s="58" t="n">
        <v>9.80306074652198</v>
      </c>
      <c r="AI6" s="35" t="n">
        <v>51</v>
      </c>
      <c r="AJ6" s="58" t="n">
        <v>12.0166551086398</v>
      </c>
      <c r="AK6" s="33" t="n">
        <v>2</v>
      </c>
      <c r="AL6" s="33" t="s">
        <v>293</v>
      </c>
    </row>
    <row r="7" customFormat="false" ht="15" hidden="false" customHeight="false" outlineLevel="0" collapsed="false">
      <c r="A7" s="31" t="n">
        <v>38768165</v>
      </c>
      <c r="B7" s="31" t="s">
        <v>294</v>
      </c>
      <c r="C7" s="31" t="s">
        <v>295</v>
      </c>
      <c r="D7" s="31" t="s">
        <v>259</v>
      </c>
      <c r="E7" s="31" t="n">
        <v>2024</v>
      </c>
      <c r="F7" s="31" t="s">
        <v>296</v>
      </c>
      <c r="G7" s="31" t="n">
        <v>1</v>
      </c>
      <c r="H7" s="31" t="s">
        <v>27</v>
      </c>
      <c r="I7" s="31" t="s">
        <v>34</v>
      </c>
      <c r="K7" s="31" t="n">
        <v>480</v>
      </c>
      <c r="L7" s="31" t="n">
        <v>1</v>
      </c>
      <c r="M7" s="33" t="n">
        <v>28</v>
      </c>
      <c r="N7" s="33" t="n">
        <f aca="false">M7*K7</f>
        <v>13440</v>
      </c>
      <c r="O7" s="31" t="s">
        <v>297</v>
      </c>
      <c r="P7" s="31" t="n">
        <v>1</v>
      </c>
      <c r="Q7" s="56"/>
      <c r="R7" s="31" t="n">
        <v>24</v>
      </c>
      <c r="S7" s="31" t="n">
        <v>24</v>
      </c>
      <c r="T7" s="60"/>
      <c r="U7" s="35" t="n">
        <v>96</v>
      </c>
      <c r="V7" s="56"/>
      <c r="W7" s="36" t="n">
        <v>6</v>
      </c>
      <c r="Y7" s="56"/>
      <c r="AA7" s="35" t="n">
        <v>70</v>
      </c>
      <c r="AB7" s="56"/>
      <c r="AC7" s="36" t="n">
        <v>6</v>
      </c>
      <c r="AE7" s="56"/>
      <c r="AG7" s="56"/>
      <c r="AH7" s="61"/>
      <c r="AI7" s="56"/>
      <c r="AJ7" s="61"/>
      <c r="AK7" s="56"/>
    </row>
    <row r="8" customFormat="false" ht="15" hidden="false" customHeight="false" outlineLevel="0" collapsed="false">
      <c r="A8" s="31" t="n">
        <v>38703343</v>
      </c>
      <c r="B8" s="31" t="s">
        <v>51</v>
      </c>
      <c r="C8" s="31" t="s">
        <v>52</v>
      </c>
      <c r="D8" s="31" t="s">
        <v>53</v>
      </c>
      <c r="E8" s="31" t="n">
        <v>2024</v>
      </c>
      <c r="F8" s="31" t="s">
        <v>54</v>
      </c>
      <c r="G8" s="31" t="n">
        <v>1</v>
      </c>
      <c r="H8" s="31" t="s">
        <v>55</v>
      </c>
      <c r="I8" s="31" t="s">
        <v>34</v>
      </c>
      <c r="J8" s="32" t="s">
        <v>56</v>
      </c>
      <c r="K8" s="31" t="n">
        <v>360</v>
      </c>
      <c r="L8" s="31" t="n">
        <v>1</v>
      </c>
      <c r="M8" s="33" t="n">
        <v>21</v>
      </c>
      <c r="N8" s="33" t="n">
        <f aca="false">M8*K8</f>
        <v>7560</v>
      </c>
      <c r="P8" s="31" t="n">
        <v>4</v>
      </c>
      <c r="Q8" s="31" t="n">
        <v>2</v>
      </c>
      <c r="R8" s="31" t="n">
        <v>16</v>
      </c>
      <c r="S8" s="56"/>
      <c r="T8" s="34" t="s">
        <v>298</v>
      </c>
      <c r="U8" s="35" t="n">
        <v>71</v>
      </c>
      <c r="V8" s="35" t="s">
        <v>48</v>
      </c>
      <c r="W8" s="56"/>
      <c r="Y8" s="35" t="n">
        <v>19</v>
      </c>
      <c r="AA8" s="35" t="n">
        <v>32</v>
      </c>
      <c r="AB8" s="35" t="s">
        <v>48</v>
      </c>
      <c r="AC8" s="56"/>
      <c r="AE8" s="35" t="n">
        <v>22</v>
      </c>
      <c r="AG8" s="35" t="n">
        <v>71</v>
      </c>
      <c r="AH8" s="58" t="n">
        <v>19</v>
      </c>
      <c r="AI8" s="35" t="n">
        <v>32</v>
      </c>
      <c r="AJ8" s="58" t="n">
        <v>22</v>
      </c>
      <c r="AK8" s="33" t="n">
        <v>1.9</v>
      </c>
    </row>
    <row r="9" customFormat="false" ht="15" hidden="false" customHeight="false" outlineLevel="0" collapsed="false">
      <c r="A9" s="55" t="n">
        <v>38655362</v>
      </c>
      <c r="B9" s="55" t="s">
        <v>299</v>
      </c>
      <c r="C9" s="55" t="s">
        <v>300</v>
      </c>
      <c r="D9" s="55" t="s">
        <v>301</v>
      </c>
      <c r="E9" s="55" t="n">
        <v>2024</v>
      </c>
      <c r="F9" s="55" t="s">
        <v>302</v>
      </c>
      <c r="G9" s="55" t="n">
        <v>1</v>
      </c>
      <c r="H9" s="31" t="s">
        <v>27</v>
      </c>
      <c r="I9" s="31" t="s">
        <v>34</v>
      </c>
      <c r="K9" s="31" t="n">
        <v>360</v>
      </c>
      <c r="L9" s="31" t="n">
        <v>1</v>
      </c>
      <c r="M9" s="62" t="n">
        <v>7</v>
      </c>
      <c r="N9" s="33" t="n">
        <f aca="false">M9*K9</f>
        <v>2520</v>
      </c>
      <c r="P9" s="31" t="n">
        <v>24</v>
      </c>
      <c r="Q9" s="31" t="n">
        <v>1</v>
      </c>
      <c r="R9" s="31" t="n">
        <v>24</v>
      </c>
      <c r="S9" s="31" t="n">
        <v>24</v>
      </c>
      <c r="T9" s="34" t="s">
        <v>71</v>
      </c>
      <c r="U9" s="35" t="n">
        <v>64</v>
      </c>
      <c r="V9" s="35" t="s">
        <v>48</v>
      </c>
      <c r="W9" s="36" t="n">
        <v>11</v>
      </c>
      <c r="Y9" s="35" t="n">
        <v>5.2</v>
      </c>
      <c r="AA9" s="35" t="n">
        <v>68</v>
      </c>
      <c r="AB9" s="35" t="s">
        <v>48</v>
      </c>
      <c r="AC9" s="36" t="n">
        <v>11</v>
      </c>
      <c r="AE9" s="35" t="n">
        <v>8</v>
      </c>
      <c r="AG9" s="35" t="n">
        <v>64</v>
      </c>
      <c r="AH9" s="58" t="n">
        <v>5.2</v>
      </c>
      <c r="AI9" s="35" t="n">
        <v>68</v>
      </c>
      <c r="AJ9" s="58" t="n">
        <v>8</v>
      </c>
      <c r="AK9" s="33" t="n">
        <v>-0.6</v>
      </c>
      <c r="AL9" s="63" t="s">
        <v>50</v>
      </c>
    </row>
    <row r="10" customFormat="false" ht="15" hidden="false" customHeight="false" outlineLevel="0" collapsed="false">
      <c r="A10" s="55" t="n">
        <v>38655362</v>
      </c>
      <c r="B10" s="55" t="s">
        <v>299</v>
      </c>
      <c r="C10" s="55" t="s">
        <v>300</v>
      </c>
      <c r="D10" s="55" t="s">
        <v>301</v>
      </c>
      <c r="E10" s="55" t="n">
        <v>2024</v>
      </c>
      <c r="F10" s="55" t="s">
        <v>302</v>
      </c>
      <c r="G10" s="55" t="n">
        <v>1</v>
      </c>
      <c r="H10" s="31" t="s">
        <v>27</v>
      </c>
      <c r="I10" s="31" t="s">
        <v>34</v>
      </c>
      <c r="K10" s="31" t="n">
        <v>360</v>
      </c>
      <c r="L10" s="31" t="n">
        <v>1</v>
      </c>
      <c r="M10" s="62" t="n">
        <v>14</v>
      </c>
      <c r="N10" s="33" t="n">
        <f aca="false">M10*K10</f>
        <v>5040</v>
      </c>
      <c r="P10" s="31" t="n">
        <v>24</v>
      </c>
      <c r="Q10" s="31" t="n">
        <v>1</v>
      </c>
      <c r="R10" s="31" t="n">
        <v>24</v>
      </c>
      <c r="S10" s="31" t="n">
        <v>24</v>
      </c>
      <c r="T10" s="34" t="s">
        <v>71</v>
      </c>
      <c r="U10" s="35" t="n">
        <v>64</v>
      </c>
      <c r="V10" s="35" t="s">
        <v>48</v>
      </c>
      <c r="W10" s="36" t="n">
        <v>11</v>
      </c>
      <c r="Y10" s="35" t="n">
        <v>5.2</v>
      </c>
      <c r="AA10" s="35" t="n">
        <v>70</v>
      </c>
      <c r="AB10" s="35" t="s">
        <v>48</v>
      </c>
      <c r="AC10" s="36" t="n">
        <v>11</v>
      </c>
      <c r="AE10" s="35" t="n">
        <v>6.2</v>
      </c>
      <c r="AG10" s="35" t="n">
        <v>64</v>
      </c>
      <c r="AH10" s="58" t="n">
        <v>5.2</v>
      </c>
      <c r="AI10" s="35" t="n">
        <v>70</v>
      </c>
      <c r="AJ10" s="58" t="n">
        <v>6.2</v>
      </c>
      <c r="AK10" s="33" t="n">
        <v>-1.04</v>
      </c>
      <c r="AL10" s="63" t="s">
        <v>50</v>
      </c>
    </row>
    <row r="11" customFormat="false" ht="15" hidden="false" customHeight="false" outlineLevel="0" collapsed="false">
      <c r="A11" s="55" t="n">
        <v>38655362</v>
      </c>
      <c r="B11" s="55" t="s">
        <v>299</v>
      </c>
      <c r="C11" s="55" t="s">
        <v>300</v>
      </c>
      <c r="D11" s="55" t="s">
        <v>301</v>
      </c>
      <c r="E11" s="55" t="n">
        <v>2024</v>
      </c>
      <c r="F11" s="55" t="s">
        <v>302</v>
      </c>
      <c r="G11" s="55" t="n">
        <v>1</v>
      </c>
      <c r="H11" s="31" t="s">
        <v>27</v>
      </c>
      <c r="I11" s="31" t="s">
        <v>34</v>
      </c>
      <c r="K11" s="31" t="n">
        <v>360</v>
      </c>
      <c r="L11" s="31" t="n">
        <v>1</v>
      </c>
      <c r="M11" s="62" t="n">
        <v>21</v>
      </c>
      <c r="N11" s="33" t="n">
        <f aca="false">M11*K11</f>
        <v>7560</v>
      </c>
      <c r="P11" s="31" t="n">
        <v>24</v>
      </c>
      <c r="Q11" s="31" t="n">
        <v>1</v>
      </c>
      <c r="R11" s="31" t="n">
        <v>24</v>
      </c>
      <c r="S11" s="31" t="n">
        <v>24</v>
      </c>
      <c r="T11" s="34" t="s">
        <v>71</v>
      </c>
      <c r="U11" s="35" t="n">
        <v>64</v>
      </c>
      <c r="V11" s="35" t="s">
        <v>48</v>
      </c>
      <c r="W11" s="36" t="n">
        <v>11</v>
      </c>
      <c r="Y11" s="35" t="n">
        <v>5.2</v>
      </c>
      <c r="AA11" s="35" t="n">
        <v>58</v>
      </c>
      <c r="AB11" s="35" t="s">
        <v>48</v>
      </c>
      <c r="AC11" s="36" t="n">
        <v>11</v>
      </c>
      <c r="AE11" s="35" t="n">
        <v>8</v>
      </c>
      <c r="AG11" s="35" t="n">
        <v>64</v>
      </c>
      <c r="AH11" s="58" t="n">
        <v>5.2</v>
      </c>
      <c r="AI11" s="35" t="n">
        <v>58</v>
      </c>
      <c r="AJ11" s="58" t="n">
        <v>8</v>
      </c>
      <c r="AK11" s="33" t="n">
        <v>0.88</v>
      </c>
    </row>
    <row r="12" customFormat="false" ht="15" hidden="false" customHeight="false" outlineLevel="0" collapsed="false">
      <c r="A12" s="55" t="n">
        <v>37917302</v>
      </c>
      <c r="B12" s="55" t="s">
        <v>303</v>
      </c>
      <c r="C12" s="55" t="s">
        <v>304</v>
      </c>
      <c r="D12" s="55" t="s">
        <v>53</v>
      </c>
      <c r="E12" s="55" t="n">
        <v>2024</v>
      </c>
      <c r="F12" s="55" t="s">
        <v>305</v>
      </c>
      <c r="G12" s="55" t="n">
        <v>1</v>
      </c>
      <c r="H12" s="31" t="s">
        <v>27</v>
      </c>
      <c r="I12" s="31" t="s">
        <v>34</v>
      </c>
      <c r="K12" s="31" t="n">
        <v>360</v>
      </c>
      <c r="L12" s="31" t="n">
        <v>1</v>
      </c>
      <c r="M12" s="62" t="n">
        <v>7</v>
      </c>
      <c r="N12" s="33" t="n">
        <f aca="false">M12*K12</f>
        <v>2520</v>
      </c>
      <c r="P12" s="31" t="n">
        <v>1</v>
      </c>
      <c r="Q12" s="31" t="n">
        <v>1</v>
      </c>
      <c r="R12" s="31" t="n">
        <v>23</v>
      </c>
      <c r="S12" s="31" t="n">
        <v>23</v>
      </c>
      <c r="T12" s="34" t="s">
        <v>71</v>
      </c>
      <c r="U12" s="35" t="n">
        <v>72</v>
      </c>
      <c r="V12" s="35" t="n">
        <v>3</v>
      </c>
      <c r="W12" s="36" t="n">
        <v>11</v>
      </c>
      <c r="X12" s="36" t="n">
        <v>11</v>
      </c>
      <c r="Y12" s="57" t="n">
        <f aca="false">V12*(SQRT(X12))</f>
        <v>9.9498743710662</v>
      </c>
      <c r="AA12" s="35" t="n">
        <v>43</v>
      </c>
      <c r="AB12" s="35" t="n">
        <v>6</v>
      </c>
      <c r="AC12" s="36" t="n">
        <v>11</v>
      </c>
      <c r="AD12" s="36" t="n">
        <v>11</v>
      </c>
      <c r="AE12" s="57" t="n">
        <f aca="false">AB12*(SQRT(AD12))</f>
        <v>19.8997487421324</v>
      </c>
      <c r="AG12" s="35" t="n">
        <v>72</v>
      </c>
      <c r="AH12" s="58" t="n">
        <v>9.9498743710662</v>
      </c>
      <c r="AI12" s="35" t="n">
        <v>43</v>
      </c>
      <c r="AJ12" s="58" t="n">
        <v>19.8997487421324</v>
      </c>
      <c r="AK12" s="33" t="n">
        <v>1.84</v>
      </c>
      <c r="AL12" s="33" t="s">
        <v>306</v>
      </c>
    </row>
    <row r="13" customFormat="false" ht="15" hidden="false" customHeight="false" outlineLevel="0" collapsed="false">
      <c r="A13" s="55" t="n">
        <v>37917302</v>
      </c>
      <c r="B13" s="55" t="s">
        <v>303</v>
      </c>
      <c r="C13" s="55" t="s">
        <v>304</v>
      </c>
      <c r="D13" s="55" t="s">
        <v>53</v>
      </c>
      <c r="E13" s="55" t="n">
        <v>2024</v>
      </c>
      <c r="F13" s="55" t="s">
        <v>305</v>
      </c>
      <c r="G13" s="55" t="n">
        <v>1</v>
      </c>
      <c r="H13" s="31" t="s">
        <v>27</v>
      </c>
      <c r="I13" s="31" t="s">
        <v>34</v>
      </c>
      <c r="K13" s="31" t="n">
        <v>360</v>
      </c>
      <c r="L13" s="31" t="n">
        <v>1</v>
      </c>
      <c r="M13" s="62" t="n">
        <v>14</v>
      </c>
      <c r="N13" s="33" t="n">
        <f aca="false">M13*K13</f>
        <v>5040</v>
      </c>
      <c r="P13" s="31" t="n">
        <v>1</v>
      </c>
      <c r="Q13" s="31" t="n">
        <v>1</v>
      </c>
      <c r="R13" s="31" t="n">
        <v>23</v>
      </c>
      <c r="S13" s="31" t="n">
        <v>23</v>
      </c>
      <c r="T13" s="34" t="s">
        <v>71</v>
      </c>
      <c r="U13" s="35" t="n">
        <v>74</v>
      </c>
      <c r="V13" s="35" t="n">
        <v>2</v>
      </c>
      <c r="W13" s="36" t="n">
        <v>11</v>
      </c>
      <c r="X13" s="36" t="n">
        <v>11</v>
      </c>
      <c r="Y13" s="57" t="n">
        <f aca="false">V13*(SQRT(X13))</f>
        <v>6.6332495807108</v>
      </c>
      <c r="AA13" s="35" t="n">
        <v>37</v>
      </c>
      <c r="AB13" s="35" t="n">
        <v>8</v>
      </c>
      <c r="AC13" s="36" t="n">
        <v>11</v>
      </c>
      <c r="AD13" s="36" t="n">
        <v>11</v>
      </c>
      <c r="AE13" s="57" t="n">
        <f aca="false">AB13*(SQRT(AD13))</f>
        <v>26.5329983228432</v>
      </c>
      <c r="AG13" s="35" t="n">
        <v>74</v>
      </c>
      <c r="AH13" s="58" t="n">
        <v>6.6332495807108</v>
      </c>
      <c r="AI13" s="35" t="n">
        <v>37</v>
      </c>
      <c r="AJ13" s="58" t="n">
        <v>26.5329983228432</v>
      </c>
      <c r="AK13" s="33" t="n">
        <v>1.91</v>
      </c>
      <c r="AL13" s="33" t="s">
        <v>306</v>
      </c>
    </row>
    <row r="14" customFormat="false" ht="15" hidden="false" customHeight="false" outlineLevel="0" collapsed="false">
      <c r="A14" s="55" t="n">
        <v>37917302</v>
      </c>
      <c r="B14" s="55" t="s">
        <v>303</v>
      </c>
      <c r="C14" s="55" t="s">
        <v>304</v>
      </c>
      <c r="D14" s="55" t="s">
        <v>53</v>
      </c>
      <c r="E14" s="55" t="n">
        <v>2024</v>
      </c>
      <c r="F14" s="55" t="s">
        <v>305</v>
      </c>
      <c r="G14" s="55" t="n">
        <v>1</v>
      </c>
      <c r="H14" s="31" t="s">
        <v>27</v>
      </c>
      <c r="I14" s="31" t="s">
        <v>34</v>
      </c>
      <c r="K14" s="31" t="n">
        <v>360</v>
      </c>
      <c r="L14" s="31" t="n">
        <v>1</v>
      </c>
      <c r="M14" s="62" t="n">
        <v>21</v>
      </c>
      <c r="N14" s="33" t="n">
        <f aca="false">M14*K14</f>
        <v>7560</v>
      </c>
      <c r="P14" s="31" t="n">
        <v>1</v>
      </c>
      <c r="Q14" s="31" t="n">
        <v>1</v>
      </c>
      <c r="R14" s="31" t="n">
        <v>23</v>
      </c>
      <c r="S14" s="31" t="n">
        <v>23</v>
      </c>
      <c r="T14" s="34" t="s">
        <v>71</v>
      </c>
      <c r="U14" s="35" t="n">
        <v>70</v>
      </c>
      <c r="V14" s="35" t="n">
        <v>3</v>
      </c>
      <c r="W14" s="36" t="n">
        <v>11</v>
      </c>
      <c r="X14" s="36" t="n">
        <v>11</v>
      </c>
      <c r="Y14" s="57" t="n">
        <f aca="false">V14*(SQRT(X14))</f>
        <v>9.9498743710662</v>
      </c>
      <c r="AA14" s="35" t="n">
        <v>35</v>
      </c>
      <c r="AB14" s="35" t="n">
        <v>5</v>
      </c>
      <c r="AC14" s="36" t="n">
        <v>11</v>
      </c>
      <c r="AD14" s="36" t="n">
        <v>11</v>
      </c>
      <c r="AE14" s="57" t="n">
        <f aca="false">AB14*(SQRT(AD14))</f>
        <v>16.583123951777</v>
      </c>
      <c r="AG14" s="35" t="n">
        <v>70</v>
      </c>
      <c r="AH14" s="58" t="n">
        <v>9.9498743710662</v>
      </c>
      <c r="AI14" s="35" t="n">
        <v>35</v>
      </c>
      <c r="AJ14" s="58" t="n">
        <v>16.583123951777</v>
      </c>
      <c r="AK14" s="33" t="n">
        <v>2.56</v>
      </c>
      <c r="AL14" s="33" t="s">
        <v>306</v>
      </c>
    </row>
    <row r="15" customFormat="false" ht="15" hidden="false" customHeight="false" outlineLevel="0" collapsed="false">
      <c r="A15" s="31" t="n">
        <v>37259443</v>
      </c>
      <c r="B15" s="31" t="s">
        <v>66</v>
      </c>
      <c r="C15" s="31" t="s">
        <v>67</v>
      </c>
      <c r="D15" s="31" t="s">
        <v>68</v>
      </c>
      <c r="E15" s="31" t="n">
        <v>2023</v>
      </c>
      <c r="F15" s="31" t="s">
        <v>69</v>
      </c>
      <c r="G15" s="31" t="n">
        <v>1</v>
      </c>
      <c r="H15" s="31" t="s">
        <v>55</v>
      </c>
      <c r="I15" s="31" t="s">
        <v>34</v>
      </c>
      <c r="K15" s="31" t="n">
        <v>360</v>
      </c>
      <c r="L15" s="31" t="n">
        <v>1</v>
      </c>
      <c r="M15" s="33" t="n">
        <v>21</v>
      </c>
      <c r="N15" s="33" t="n">
        <f aca="false">M15*K15</f>
        <v>7560</v>
      </c>
      <c r="P15" s="56"/>
      <c r="Q15" s="31" t="n">
        <v>1</v>
      </c>
      <c r="R15" s="31" t="n">
        <v>16</v>
      </c>
      <c r="S15" s="56"/>
      <c r="T15" s="34" t="s">
        <v>134</v>
      </c>
      <c r="U15" s="35" t="n">
        <v>81</v>
      </c>
      <c r="V15" s="35" t="s">
        <v>48</v>
      </c>
      <c r="W15" s="36" t="n">
        <v>10</v>
      </c>
      <c r="Y15" s="35" t="n">
        <v>6</v>
      </c>
      <c r="AA15" s="35" t="n">
        <v>45</v>
      </c>
      <c r="AB15" s="35" t="s">
        <v>48</v>
      </c>
      <c r="AC15" s="36" t="n">
        <v>10</v>
      </c>
      <c r="AE15" s="35" t="n">
        <v>9</v>
      </c>
      <c r="AG15" s="35" t="n">
        <v>81</v>
      </c>
      <c r="AH15" s="58" t="n">
        <v>6</v>
      </c>
      <c r="AI15" s="35" t="n">
        <v>45</v>
      </c>
      <c r="AJ15" s="58" t="n">
        <v>9</v>
      </c>
      <c r="AK15" s="33" t="n">
        <v>4.7</v>
      </c>
    </row>
    <row r="16" customFormat="false" ht="15" hidden="false" customHeight="true" outlineLevel="0" collapsed="false">
      <c r="A16" s="55" t="n">
        <v>36921909</v>
      </c>
      <c r="B16" s="55" t="s">
        <v>307</v>
      </c>
      <c r="C16" s="55" t="s">
        <v>308</v>
      </c>
      <c r="D16" s="55" t="s">
        <v>309</v>
      </c>
      <c r="E16" s="55" t="n">
        <v>2023</v>
      </c>
      <c r="F16" s="55" t="s">
        <v>310</v>
      </c>
      <c r="G16" s="55" t="n">
        <v>1</v>
      </c>
      <c r="H16" s="31" t="s">
        <v>55</v>
      </c>
      <c r="I16" s="55" t="s">
        <v>34</v>
      </c>
      <c r="K16" s="31" t="n">
        <v>360</v>
      </c>
      <c r="L16" s="31" t="n">
        <v>1</v>
      </c>
      <c r="M16" s="62" t="n">
        <v>11</v>
      </c>
      <c r="N16" s="33" t="n">
        <f aca="false">M16*K16</f>
        <v>3960</v>
      </c>
      <c r="P16" s="31" t="n">
        <v>16</v>
      </c>
      <c r="Q16" s="31" t="n">
        <v>1</v>
      </c>
      <c r="R16" s="31" t="n">
        <v>6</v>
      </c>
      <c r="S16" s="31" t="n">
        <v>6</v>
      </c>
      <c r="T16" s="60"/>
      <c r="U16" s="56"/>
      <c r="V16" s="56"/>
      <c r="W16" s="56"/>
      <c r="X16" s="56"/>
      <c r="Y16" s="56"/>
      <c r="AA16" s="56"/>
      <c r="AB16" s="56"/>
      <c r="AC16" s="56"/>
      <c r="AD16" s="56"/>
      <c r="AE16" s="56"/>
      <c r="AG16" s="56"/>
      <c r="AH16" s="61"/>
      <c r="AI16" s="56"/>
      <c r="AJ16" s="61"/>
      <c r="AK16" s="56"/>
      <c r="AL16" s="64" t="s">
        <v>311</v>
      </c>
    </row>
    <row r="17" customFormat="false" ht="15" hidden="false" customHeight="false" outlineLevel="0" collapsed="false">
      <c r="A17" s="55" t="n">
        <v>36921909</v>
      </c>
      <c r="B17" s="55" t="s">
        <v>307</v>
      </c>
      <c r="C17" s="55" t="s">
        <v>308</v>
      </c>
      <c r="D17" s="55" t="s">
        <v>309</v>
      </c>
      <c r="E17" s="55" t="n">
        <v>2023</v>
      </c>
      <c r="F17" s="55" t="s">
        <v>310</v>
      </c>
      <c r="G17" s="55" t="n">
        <v>1</v>
      </c>
      <c r="H17" s="31" t="s">
        <v>55</v>
      </c>
      <c r="I17" s="55" t="s">
        <v>99</v>
      </c>
      <c r="K17" s="31" t="n">
        <v>360</v>
      </c>
      <c r="L17" s="31" t="n">
        <v>1</v>
      </c>
      <c r="M17" s="62" t="n">
        <v>11</v>
      </c>
      <c r="N17" s="33" t="n">
        <f aca="false">M17*K17</f>
        <v>3960</v>
      </c>
      <c r="P17" s="31" t="n">
        <v>16</v>
      </c>
      <c r="Q17" s="31" t="n">
        <v>1</v>
      </c>
      <c r="R17" s="31" t="n">
        <v>6</v>
      </c>
      <c r="S17" s="31" t="n">
        <v>6</v>
      </c>
      <c r="T17" s="60"/>
      <c r="U17" s="56"/>
      <c r="V17" s="56"/>
      <c r="W17" s="56"/>
      <c r="X17" s="56"/>
      <c r="Y17" s="56"/>
      <c r="AA17" s="56"/>
      <c r="AB17" s="56"/>
      <c r="AC17" s="56"/>
      <c r="AD17" s="56"/>
      <c r="AE17" s="56"/>
      <c r="AG17" s="56"/>
      <c r="AH17" s="61"/>
      <c r="AI17" s="56"/>
      <c r="AJ17" s="61"/>
      <c r="AK17" s="56"/>
      <c r="AL17" s="64"/>
    </row>
    <row r="18" customFormat="false" ht="15" hidden="false" customHeight="false" outlineLevel="0" collapsed="false">
      <c r="A18" s="55" t="n">
        <v>36921909</v>
      </c>
      <c r="B18" s="55" t="s">
        <v>307</v>
      </c>
      <c r="C18" s="55" t="s">
        <v>308</v>
      </c>
      <c r="D18" s="55" t="s">
        <v>309</v>
      </c>
      <c r="E18" s="55" t="n">
        <v>2023</v>
      </c>
      <c r="F18" s="55" t="s">
        <v>310</v>
      </c>
      <c r="G18" s="55" t="n">
        <v>1</v>
      </c>
      <c r="H18" s="31" t="s">
        <v>55</v>
      </c>
      <c r="I18" s="55" t="s">
        <v>34</v>
      </c>
      <c r="K18" s="31" t="n">
        <v>360</v>
      </c>
      <c r="L18" s="31" t="n">
        <v>1</v>
      </c>
      <c r="M18" s="62" t="n">
        <v>22</v>
      </c>
      <c r="N18" s="33" t="n">
        <f aca="false">M18*K18</f>
        <v>7920</v>
      </c>
      <c r="P18" s="31" t="n">
        <v>16</v>
      </c>
      <c r="Q18" s="31" t="n">
        <v>1</v>
      </c>
      <c r="R18" s="31" t="n">
        <v>6</v>
      </c>
      <c r="S18" s="31" t="n">
        <v>6</v>
      </c>
      <c r="T18" s="60"/>
      <c r="U18" s="56"/>
      <c r="V18" s="56"/>
      <c r="W18" s="56"/>
      <c r="X18" s="56"/>
      <c r="Y18" s="56"/>
      <c r="AA18" s="56"/>
      <c r="AB18" s="56"/>
      <c r="AC18" s="56"/>
      <c r="AD18" s="56"/>
      <c r="AE18" s="56"/>
      <c r="AG18" s="56"/>
      <c r="AH18" s="61"/>
      <c r="AI18" s="56"/>
      <c r="AJ18" s="61"/>
      <c r="AK18" s="56"/>
      <c r="AL18" s="64"/>
    </row>
    <row r="19" customFormat="false" ht="15" hidden="false" customHeight="false" outlineLevel="0" collapsed="false">
      <c r="A19" s="55" t="n">
        <v>36921909</v>
      </c>
      <c r="B19" s="55" t="s">
        <v>307</v>
      </c>
      <c r="C19" s="55" t="s">
        <v>308</v>
      </c>
      <c r="D19" s="55" t="s">
        <v>309</v>
      </c>
      <c r="E19" s="55" t="n">
        <v>2023</v>
      </c>
      <c r="F19" s="55" t="s">
        <v>310</v>
      </c>
      <c r="G19" s="55" t="n">
        <v>1</v>
      </c>
      <c r="H19" s="31" t="s">
        <v>55</v>
      </c>
      <c r="I19" s="55" t="s">
        <v>99</v>
      </c>
      <c r="K19" s="31" t="n">
        <v>360</v>
      </c>
      <c r="L19" s="31" t="n">
        <v>1</v>
      </c>
      <c r="M19" s="62" t="n">
        <v>22</v>
      </c>
      <c r="N19" s="33" t="n">
        <f aca="false">M19*K19</f>
        <v>7920</v>
      </c>
      <c r="P19" s="31" t="n">
        <v>16</v>
      </c>
      <c r="Q19" s="31" t="n">
        <v>1</v>
      </c>
      <c r="R19" s="31" t="n">
        <v>6</v>
      </c>
      <c r="S19" s="31" t="n">
        <v>6</v>
      </c>
      <c r="T19" s="60"/>
      <c r="U19" s="56"/>
      <c r="V19" s="56"/>
      <c r="W19" s="56"/>
      <c r="X19" s="56"/>
      <c r="Y19" s="56"/>
      <c r="AA19" s="56"/>
      <c r="AB19" s="56"/>
      <c r="AC19" s="56"/>
      <c r="AD19" s="56"/>
      <c r="AE19" s="56"/>
      <c r="AG19" s="56"/>
      <c r="AH19" s="61"/>
      <c r="AI19" s="56"/>
      <c r="AJ19" s="61"/>
      <c r="AK19" s="56"/>
      <c r="AL19" s="64"/>
    </row>
    <row r="20" customFormat="false" ht="15" hidden="false" customHeight="false" outlineLevel="0" collapsed="false">
      <c r="A20" s="31" t="n">
        <v>36746244</v>
      </c>
      <c r="B20" s="31" t="s">
        <v>79</v>
      </c>
      <c r="C20" s="31" t="s">
        <v>80</v>
      </c>
      <c r="D20" s="31" t="s">
        <v>81</v>
      </c>
      <c r="E20" s="31" t="n">
        <v>2023</v>
      </c>
      <c r="F20" s="31" t="s">
        <v>82</v>
      </c>
      <c r="G20" s="31" t="n">
        <v>1</v>
      </c>
      <c r="H20" s="31" t="s">
        <v>27</v>
      </c>
      <c r="I20" s="31" t="s">
        <v>83</v>
      </c>
      <c r="K20" s="31" t="n">
        <v>360</v>
      </c>
      <c r="L20" s="31" t="n">
        <v>1</v>
      </c>
      <c r="M20" s="33" t="n">
        <v>28</v>
      </c>
      <c r="N20" s="33" t="n">
        <f aca="false">M20*K20</f>
        <v>10080</v>
      </c>
      <c r="P20" s="31" t="n">
        <v>1</v>
      </c>
      <c r="Q20" s="31" t="n">
        <v>1</v>
      </c>
      <c r="R20" s="31" t="n">
        <v>23</v>
      </c>
      <c r="S20" s="31" t="n">
        <v>23</v>
      </c>
      <c r="T20" s="34" t="s">
        <v>312</v>
      </c>
      <c r="U20" s="35" t="n">
        <v>79</v>
      </c>
      <c r="V20" s="35" t="n">
        <v>4</v>
      </c>
      <c r="W20" s="36" t="n">
        <v>10</v>
      </c>
      <c r="X20" s="36" t="n">
        <v>10</v>
      </c>
      <c r="Y20" s="57" t="n">
        <f aca="false">V20*(SQRT(X20))</f>
        <v>12.6491106406735</v>
      </c>
      <c r="AA20" s="35" t="n">
        <v>67</v>
      </c>
      <c r="AB20" s="35" t="n">
        <v>2.7</v>
      </c>
      <c r="AC20" s="36" t="n">
        <v>10</v>
      </c>
      <c r="AD20" s="36" t="n">
        <v>10</v>
      </c>
      <c r="AE20" s="57" t="n">
        <f aca="false">AB20*(SQRT(AD20))</f>
        <v>8.53814968245463</v>
      </c>
      <c r="AG20" s="35" t="n">
        <v>79</v>
      </c>
      <c r="AH20" s="58" t="n">
        <v>12.6491106406735</v>
      </c>
      <c r="AI20" s="35" t="n">
        <v>67</v>
      </c>
      <c r="AJ20" s="58" t="n">
        <v>8.53814968245463</v>
      </c>
      <c r="AK20" s="33" t="n">
        <v>1.1</v>
      </c>
    </row>
    <row r="21" customFormat="false" ht="15" hidden="false" customHeight="false" outlineLevel="0" collapsed="false">
      <c r="A21" s="31" t="n">
        <v>36345420</v>
      </c>
      <c r="B21" s="31" t="s">
        <v>313</v>
      </c>
      <c r="C21" s="31" t="s">
        <v>314</v>
      </c>
      <c r="D21" s="31" t="s">
        <v>315</v>
      </c>
      <c r="E21" s="31" t="n">
        <v>2022</v>
      </c>
      <c r="F21" s="31" t="s">
        <v>316</v>
      </c>
      <c r="G21" s="31" t="n">
        <v>1</v>
      </c>
      <c r="H21" s="31" t="s">
        <v>27</v>
      </c>
      <c r="I21" s="31" t="s">
        <v>34</v>
      </c>
      <c r="J21" s="32" t="n">
        <v>4</v>
      </c>
      <c r="K21" s="31" t="n">
        <v>240</v>
      </c>
      <c r="L21" s="31" t="n">
        <v>1</v>
      </c>
      <c r="M21" s="33" t="n">
        <v>28</v>
      </c>
      <c r="N21" s="33" t="n">
        <f aca="false">M21*K21</f>
        <v>6720</v>
      </c>
      <c r="O21" s="31" t="s">
        <v>317</v>
      </c>
      <c r="P21" s="31" t="n">
        <v>2</v>
      </c>
      <c r="Q21" s="31" t="n">
        <v>1</v>
      </c>
      <c r="R21" s="56"/>
      <c r="S21" s="56"/>
      <c r="T21" s="34" t="s">
        <v>134</v>
      </c>
      <c r="U21" s="35" t="n">
        <v>91</v>
      </c>
      <c r="V21" s="35" t="s">
        <v>48</v>
      </c>
      <c r="W21" s="36" t="n">
        <v>12</v>
      </c>
      <c r="Y21" s="35" t="n">
        <v>3</v>
      </c>
      <c r="AA21" s="35" t="n">
        <v>74</v>
      </c>
      <c r="AB21" s="35" t="s">
        <v>48</v>
      </c>
      <c r="AC21" s="36" t="n">
        <v>12</v>
      </c>
      <c r="AE21" s="35" t="n">
        <v>9.5</v>
      </c>
      <c r="AG21" s="35" t="n">
        <v>91</v>
      </c>
      <c r="AH21" s="58" t="n">
        <v>3</v>
      </c>
      <c r="AI21" s="35" t="n">
        <v>74</v>
      </c>
      <c r="AJ21" s="58" t="n">
        <v>9.5</v>
      </c>
      <c r="AK21" s="33" t="n">
        <v>2.27</v>
      </c>
    </row>
    <row r="22" customFormat="false" ht="15" hidden="false" customHeight="false" outlineLevel="0" collapsed="false">
      <c r="A22" s="31" t="n">
        <v>36162616</v>
      </c>
      <c r="B22" s="31" t="s">
        <v>100</v>
      </c>
      <c r="C22" s="31" t="s">
        <v>101</v>
      </c>
      <c r="D22" s="31" t="s">
        <v>102</v>
      </c>
      <c r="E22" s="31" t="n">
        <v>2022</v>
      </c>
      <c r="F22" s="31" t="s">
        <v>103</v>
      </c>
      <c r="G22" s="31" t="n">
        <v>1</v>
      </c>
      <c r="H22" s="31" t="s">
        <v>55</v>
      </c>
      <c r="I22" s="31" t="s">
        <v>34</v>
      </c>
      <c r="K22" s="31" t="n">
        <v>360</v>
      </c>
      <c r="L22" s="31" t="n">
        <v>1</v>
      </c>
      <c r="M22" s="33" t="n">
        <v>21</v>
      </c>
      <c r="N22" s="33" t="n">
        <f aca="false">M22*K22</f>
        <v>7560</v>
      </c>
      <c r="P22" s="31" t="n">
        <v>12</v>
      </c>
      <c r="Q22" s="31" t="n">
        <v>1</v>
      </c>
      <c r="R22" s="31" t="n">
        <v>12</v>
      </c>
      <c r="S22" s="31" t="n">
        <v>12</v>
      </c>
      <c r="T22" s="34" t="s">
        <v>318</v>
      </c>
      <c r="U22" s="35" t="n">
        <v>80</v>
      </c>
      <c r="V22" s="35" t="s">
        <v>48</v>
      </c>
      <c r="W22" s="36" t="n">
        <v>12</v>
      </c>
      <c r="Y22" s="35" t="n">
        <v>8</v>
      </c>
      <c r="AA22" s="35" t="n">
        <v>55</v>
      </c>
      <c r="AB22" s="35" t="s">
        <v>48</v>
      </c>
      <c r="AC22" s="36" t="n">
        <v>12</v>
      </c>
      <c r="AE22" s="35" t="n">
        <v>8</v>
      </c>
      <c r="AG22" s="35" t="n">
        <v>80</v>
      </c>
      <c r="AH22" s="58" t="n">
        <v>8</v>
      </c>
      <c r="AI22" s="35" t="n">
        <v>55</v>
      </c>
      <c r="AJ22" s="58" t="n">
        <v>8</v>
      </c>
      <c r="AK22" s="33" t="n">
        <v>3.13</v>
      </c>
      <c r="AL22" s="33" t="s">
        <v>319</v>
      </c>
    </row>
    <row r="23" customFormat="false" ht="15" hidden="false" customHeight="false" outlineLevel="0" collapsed="false">
      <c r="A23" s="31" t="n">
        <v>36100011</v>
      </c>
      <c r="B23" s="31" t="s">
        <v>108</v>
      </c>
      <c r="C23" s="31" t="s">
        <v>109</v>
      </c>
      <c r="D23" s="31" t="s">
        <v>74</v>
      </c>
      <c r="E23" s="31" t="n">
        <v>2023</v>
      </c>
      <c r="F23" s="31" t="s">
        <v>110</v>
      </c>
      <c r="G23" s="31" t="n">
        <v>1</v>
      </c>
      <c r="H23" s="31" t="s">
        <v>27</v>
      </c>
      <c r="I23" s="31" t="s">
        <v>34</v>
      </c>
      <c r="J23" s="32" t="n">
        <v>6</v>
      </c>
      <c r="K23" s="31" t="n">
        <v>360</v>
      </c>
      <c r="L23" s="31" t="n">
        <v>1</v>
      </c>
      <c r="M23" s="33" t="n">
        <v>21</v>
      </c>
      <c r="N23" s="33" t="n">
        <f aca="false">M23*K23</f>
        <v>7560</v>
      </c>
      <c r="P23" s="31" t="n">
        <v>24</v>
      </c>
      <c r="Q23" s="31" t="n">
        <v>2</v>
      </c>
      <c r="R23" s="31" t="n">
        <v>24</v>
      </c>
      <c r="S23" s="31" t="n">
        <v>24</v>
      </c>
      <c r="T23" s="34" t="s">
        <v>71</v>
      </c>
      <c r="U23" s="35" t="n">
        <v>90</v>
      </c>
      <c r="V23" s="56"/>
      <c r="W23" s="32" t="s">
        <v>320</v>
      </c>
      <c r="X23" s="36" t="n">
        <v>6</v>
      </c>
      <c r="Y23" s="56"/>
      <c r="AA23" s="35" t="n">
        <v>89</v>
      </c>
      <c r="AB23" s="35" t="n">
        <v>0.7</v>
      </c>
      <c r="AC23" s="32" t="s">
        <v>320</v>
      </c>
      <c r="AD23" s="36" t="n">
        <v>6</v>
      </c>
      <c r="AE23" s="57" t="n">
        <f aca="false">AB23*(SQRT(AD23))</f>
        <v>1.71464281994822</v>
      </c>
      <c r="AG23" s="56"/>
      <c r="AH23" s="61"/>
      <c r="AI23" s="56"/>
      <c r="AJ23" s="61"/>
      <c r="AK23" s="56"/>
    </row>
    <row r="24" customFormat="false" ht="15" hidden="false" customHeight="false" outlineLevel="0" collapsed="false">
      <c r="A24" s="31" t="n">
        <v>35925279</v>
      </c>
      <c r="B24" s="31" t="s">
        <v>321</v>
      </c>
      <c r="C24" s="31" t="s">
        <v>322</v>
      </c>
      <c r="D24" s="31" t="s">
        <v>94</v>
      </c>
      <c r="E24" s="31" t="n">
        <v>2022</v>
      </c>
      <c r="F24" s="31" t="s">
        <v>323</v>
      </c>
      <c r="G24" s="31" t="n">
        <v>1</v>
      </c>
      <c r="H24" s="31" t="s">
        <v>324</v>
      </c>
      <c r="I24" s="31" t="s">
        <v>34</v>
      </c>
      <c r="J24" s="32" t="n">
        <v>8</v>
      </c>
      <c r="K24" s="31" t="n">
        <v>360</v>
      </c>
      <c r="L24" s="31" t="n">
        <v>1</v>
      </c>
      <c r="M24" s="33" t="n">
        <v>28</v>
      </c>
      <c r="N24" s="33" t="n">
        <f aca="false">M24*K24</f>
        <v>10080</v>
      </c>
      <c r="P24" s="31" t="n">
        <v>24</v>
      </c>
      <c r="Q24" s="31" t="n">
        <v>1</v>
      </c>
      <c r="R24" s="31" t="n">
        <v>0</v>
      </c>
      <c r="S24" s="31" t="n">
        <v>0</v>
      </c>
      <c r="T24" s="34" t="s">
        <v>325</v>
      </c>
      <c r="U24" s="35" t="n">
        <v>86</v>
      </c>
      <c r="V24" s="35" t="n">
        <v>1</v>
      </c>
      <c r="W24" s="32" t="s">
        <v>326</v>
      </c>
      <c r="X24" s="36" t="n">
        <v>8</v>
      </c>
      <c r="Y24" s="57" t="n">
        <f aca="false">V24*(SQRT(X24))</f>
        <v>2.82842712474619</v>
      </c>
      <c r="AA24" s="35" t="n">
        <v>88</v>
      </c>
      <c r="AB24" s="35" t="n">
        <v>1</v>
      </c>
      <c r="AC24" s="32" t="s">
        <v>326</v>
      </c>
      <c r="AD24" s="36" t="n">
        <v>8</v>
      </c>
      <c r="AE24" s="57" t="n">
        <f aca="false">AB24*(SQRT(AD24))</f>
        <v>2.82842712474619</v>
      </c>
      <c r="AG24" s="35" t="n">
        <v>86</v>
      </c>
      <c r="AH24" s="58" t="n">
        <v>2.82842712474619</v>
      </c>
      <c r="AI24" s="35" t="n">
        <v>88</v>
      </c>
      <c r="AJ24" s="58" t="n">
        <v>2.82842712474619</v>
      </c>
      <c r="AK24" s="33" t="n">
        <v>-0.71</v>
      </c>
      <c r="AL24" s="63" t="s">
        <v>50</v>
      </c>
    </row>
    <row r="25" customFormat="false" ht="15" hidden="false" customHeight="false" outlineLevel="0" collapsed="false">
      <c r="A25" s="31" t="n">
        <v>35873784</v>
      </c>
      <c r="B25" s="31" t="s">
        <v>327</v>
      </c>
      <c r="C25" s="31" t="s">
        <v>328</v>
      </c>
      <c r="D25" s="31" t="s">
        <v>329</v>
      </c>
      <c r="E25" s="31" t="n">
        <v>2022</v>
      </c>
      <c r="F25" s="31" t="s">
        <v>330</v>
      </c>
      <c r="G25" s="31" t="n">
        <v>1</v>
      </c>
      <c r="H25" s="31" t="s">
        <v>27</v>
      </c>
      <c r="I25" s="31" t="s">
        <v>34</v>
      </c>
      <c r="K25" s="31" t="n">
        <v>180</v>
      </c>
      <c r="L25" s="31" t="n">
        <v>1</v>
      </c>
      <c r="M25" s="33" t="n">
        <v>21</v>
      </c>
      <c r="N25" s="33" t="n">
        <f aca="false">M25*K25</f>
        <v>3780</v>
      </c>
      <c r="P25" s="56"/>
      <c r="Q25" s="31" t="n">
        <v>1</v>
      </c>
      <c r="R25" s="56"/>
      <c r="S25" s="56"/>
      <c r="T25" s="34" t="s">
        <v>190</v>
      </c>
      <c r="U25" s="35" t="n">
        <v>85</v>
      </c>
      <c r="V25" s="35" t="s">
        <v>48</v>
      </c>
      <c r="W25" s="36" t="n">
        <v>8</v>
      </c>
      <c r="Y25" s="35" t="n">
        <v>8</v>
      </c>
      <c r="AA25" s="35" t="n">
        <v>74</v>
      </c>
      <c r="AB25" s="35" t="s">
        <v>48</v>
      </c>
      <c r="AC25" s="36" t="n">
        <v>8</v>
      </c>
      <c r="AE25" s="35" t="n">
        <v>9</v>
      </c>
      <c r="AG25" s="35" t="n">
        <v>85</v>
      </c>
      <c r="AH25" s="58" t="n">
        <v>8</v>
      </c>
      <c r="AI25" s="35" t="n">
        <v>74</v>
      </c>
      <c r="AJ25" s="58" t="n">
        <v>9</v>
      </c>
      <c r="AK25" s="33" t="n">
        <v>1.29</v>
      </c>
    </row>
    <row r="26" customFormat="false" ht="15" hidden="false" customHeight="false" outlineLevel="0" collapsed="false">
      <c r="A26" s="31" t="n">
        <v>35814204</v>
      </c>
      <c r="B26" s="31" t="s">
        <v>112</v>
      </c>
      <c r="C26" s="31" t="s">
        <v>113</v>
      </c>
      <c r="D26" s="31" t="s">
        <v>114</v>
      </c>
      <c r="E26" s="31" t="n">
        <v>2022</v>
      </c>
      <c r="F26" s="31" t="s">
        <v>115</v>
      </c>
      <c r="G26" s="31" t="n">
        <v>1</v>
      </c>
      <c r="H26" s="31" t="s">
        <v>27</v>
      </c>
      <c r="I26" s="31" t="s">
        <v>34</v>
      </c>
      <c r="J26" s="32" t="s">
        <v>96</v>
      </c>
      <c r="K26" s="31" t="n">
        <v>180</v>
      </c>
      <c r="L26" s="31" t="n">
        <v>1</v>
      </c>
      <c r="M26" s="33" t="n">
        <v>21</v>
      </c>
      <c r="N26" s="33" t="n">
        <f aca="false">M26*K26</f>
        <v>3780</v>
      </c>
      <c r="P26" s="31" t="n">
        <v>1</v>
      </c>
      <c r="Q26" s="31" t="n">
        <v>1</v>
      </c>
      <c r="R26" s="31" t="n">
        <v>24</v>
      </c>
      <c r="S26" s="31" t="n">
        <v>24</v>
      </c>
      <c r="T26" s="34" t="s">
        <v>318</v>
      </c>
      <c r="U26" s="35" t="n">
        <v>75</v>
      </c>
      <c r="V26" s="35" t="n">
        <v>2</v>
      </c>
      <c r="W26" s="36" t="n">
        <v>12</v>
      </c>
      <c r="X26" s="36" t="n">
        <v>12</v>
      </c>
      <c r="Y26" s="57" t="n">
        <f aca="false">V26*(SQRT(X26))</f>
        <v>6.92820323027551</v>
      </c>
      <c r="AA26" s="35" t="n">
        <v>51</v>
      </c>
      <c r="AB26" s="35" t="n">
        <v>3</v>
      </c>
      <c r="AC26" s="36" t="n">
        <v>12</v>
      </c>
      <c r="AD26" s="36" t="n">
        <v>12</v>
      </c>
      <c r="AE26" s="57" t="n">
        <f aca="false">AB26*(SQRT(AD26))</f>
        <v>10.3923048454133</v>
      </c>
      <c r="AG26" s="35" t="n">
        <v>75</v>
      </c>
      <c r="AH26" s="58" t="n">
        <v>6.92820323027551</v>
      </c>
      <c r="AI26" s="35" t="n">
        <v>51</v>
      </c>
      <c r="AJ26" s="58" t="n">
        <v>10.3923048454133</v>
      </c>
      <c r="AK26" s="33" t="n">
        <v>2.78</v>
      </c>
    </row>
    <row r="27" customFormat="false" ht="15" hidden="false" customHeight="false" outlineLevel="0" collapsed="false">
      <c r="A27" s="31" t="n">
        <v>35780963</v>
      </c>
      <c r="B27" s="31" t="s">
        <v>331</v>
      </c>
      <c r="C27" s="31" t="s">
        <v>332</v>
      </c>
      <c r="D27" s="31" t="s">
        <v>81</v>
      </c>
      <c r="E27" s="31" t="n">
        <v>2022</v>
      </c>
      <c r="F27" s="31" t="s">
        <v>333</v>
      </c>
      <c r="G27" s="31" t="n">
        <v>1</v>
      </c>
      <c r="H27" s="31" t="s">
        <v>27</v>
      </c>
      <c r="I27" s="31" t="s">
        <v>34</v>
      </c>
      <c r="K27" s="31" t="n">
        <v>360</v>
      </c>
      <c r="L27" s="31" t="n">
        <v>1</v>
      </c>
      <c r="M27" s="33" t="n">
        <v>21</v>
      </c>
      <c r="N27" s="33" t="n">
        <f aca="false">M27*K27</f>
        <v>7560</v>
      </c>
      <c r="P27" s="31" t="n">
        <v>48</v>
      </c>
      <c r="Q27" s="31" t="n">
        <v>1</v>
      </c>
      <c r="R27" s="31" t="n">
        <v>6</v>
      </c>
      <c r="S27" s="31" t="n">
        <v>6</v>
      </c>
      <c r="T27" s="34" t="s">
        <v>318</v>
      </c>
      <c r="U27" s="35" t="n">
        <v>80</v>
      </c>
      <c r="V27" s="35" t="n">
        <v>3</v>
      </c>
      <c r="W27" s="36" t="n">
        <v>10</v>
      </c>
      <c r="X27" s="36" t="n">
        <v>10</v>
      </c>
      <c r="Y27" s="57" t="n">
        <f aca="false">V27*(SQRT(X27))</f>
        <v>9.48683298050514</v>
      </c>
      <c r="AA27" s="35" t="n">
        <v>61</v>
      </c>
      <c r="AB27" s="35" t="n">
        <v>8</v>
      </c>
      <c r="AC27" s="36" t="n">
        <v>10</v>
      </c>
      <c r="AD27" s="36" t="n">
        <v>10</v>
      </c>
      <c r="AE27" s="57" t="n">
        <f aca="false">AB27*(SQRT(AD27))</f>
        <v>25.298221281347</v>
      </c>
      <c r="AG27" s="35" t="n">
        <v>80</v>
      </c>
      <c r="AH27" s="58" t="n">
        <v>9.48683298050514</v>
      </c>
      <c r="AI27" s="35" t="n">
        <v>61</v>
      </c>
      <c r="AJ27" s="58" t="n">
        <v>25.298221281347</v>
      </c>
      <c r="AK27" s="33" t="n">
        <v>0.99</v>
      </c>
      <c r="AL27" s="33" t="s">
        <v>319</v>
      </c>
    </row>
    <row r="28" customFormat="false" ht="15" hidden="false" customHeight="false" outlineLevel="0" collapsed="false">
      <c r="A28" s="31" t="n">
        <v>35727683</v>
      </c>
      <c r="B28" s="31" t="s">
        <v>334</v>
      </c>
      <c r="C28" s="31" t="s">
        <v>335</v>
      </c>
      <c r="D28" s="31" t="s">
        <v>336</v>
      </c>
      <c r="E28" s="31" t="n">
        <v>2022</v>
      </c>
      <c r="F28" s="31" t="s">
        <v>337</v>
      </c>
      <c r="G28" s="31" t="n">
        <v>1</v>
      </c>
      <c r="H28" s="31" t="s">
        <v>27</v>
      </c>
      <c r="I28" s="31" t="s">
        <v>34</v>
      </c>
      <c r="K28" s="31" t="n">
        <v>360</v>
      </c>
      <c r="L28" s="31" t="n">
        <v>1</v>
      </c>
      <c r="M28" s="33" t="s">
        <v>338</v>
      </c>
      <c r="P28" s="31" t="n">
        <v>1</v>
      </c>
      <c r="Q28" s="31" t="n">
        <v>1</v>
      </c>
      <c r="R28" s="31" t="n">
        <v>24</v>
      </c>
      <c r="S28" s="31" t="n">
        <v>24</v>
      </c>
      <c r="T28" s="34" t="s">
        <v>176</v>
      </c>
      <c r="U28" s="35" t="n">
        <v>72</v>
      </c>
      <c r="V28" s="35" t="s">
        <v>48</v>
      </c>
      <c r="W28" s="36" t="n">
        <v>10</v>
      </c>
      <c r="Y28" s="35" t="n">
        <v>1.5</v>
      </c>
      <c r="AA28" s="35" t="n">
        <v>46</v>
      </c>
      <c r="AB28" s="35" t="s">
        <v>48</v>
      </c>
      <c r="AC28" s="36" t="n">
        <v>10</v>
      </c>
      <c r="AE28" s="35" t="n">
        <v>2.5</v>
      </c>
      <c r="AG28" s="35" t="n">
        <v>72</v>
      </c>
      <c r="AH28" s="58" t="n">
        <v>1.5</v>
      </c>
      <c r="AI28" s="35" t="n">
        <v>46</v>
      </c>
      <c r="AJ28" s="58" t="n">
        <v>2.5</v>
      </c>
      <c r="AK28" s="33" t="n">
        <v>12.6</v>
      </c>
      <c r="AL28" s="65" t="s">
        <v>339</v>
      </c>
    </row>
    <row r="29" customFormat="false" ht="15" hidden="false" customHeight="false" outlineLevel="0" collapsed="false">
      <c r="A29" s="31" t="n">
        <v>35615771</v>
      </c>
      <c r="B29" s="31" t="s">
        <v>340</v>
      </c>
      <c r="C29" s="31" t="s">
        <v>341</v>
      </c>
      <c r="D29" s="31" t="s">
        <v>342</v>
      </c>
      <c r="E29" s="31" t="n">
        <v>2022</v>
      </c>
      <c r="F29" s="31" t="s">
        <v>343</v>
      </c>
      <c r="G29" s="31" t="n">
        <v>1</v>
      </c>
      <c r="H29" s="31" t="s">
        <v>27</v>
      </c>
      <c r="I29" s="31" t="s">
        <v>34</v>
      </c>
      <c r="K29" s="31" t="n">
        <v>360</v>
      </c>
      <c r="L29" s="31" t="n">
        <v>1</v>
      </c>
      <c r="M29" s="33" t="n">
        <v>28</v>
      </c>
      <c r="P29" s="31" t="n">
        <v>1</v>
      </c>
      <c r="Q29" s="31" t="n">
        <v>1</v>
      </c>
      <c r="R29" s="31" t="n">
        <v>24</v>
      </c>
      <c r="S29" s="31" t="n">
        <v>24</v>
      </c>
      <c r="T29" s="34" t="s">
        <v>185</v>
      </c>
      <c r="U29" s="35" t="n">
        <v>72</v>
      </c>
      <c r="V29" s="35" t="n">
        <v>0.7</v>
      </c>
      <c r="W29" s="36" t="n">
        <v>10</v>
      </c>
      <c r="X29" s="36" t="n">
        <v>10</v>
      </c>
      <c r="Y29" s="57" t="n">
        <f aca="false">V29*(SQRT(X29))</f>
        <v>2.21359436211787</v>
      </c>
      <c r="AA29" s="35" t="n">
        <v>46</v>
      </c>
      <c r="AB29" s="35" t="n">
        <v>0.9</v>
      </c>
      <c r="AC29" s="36" t="n">
        <v>10</v>
      </c>
      <c r="AD29" s="36" t="n">
        <v>10</v>
      </c>
      <c r="AE29" s="57" t="n">
        <f aca="false">AB29*(SQRT(AD29))</f>
        <v>2.84604989415154</v>
      </c>
      <c r="AG29" s="35" t="n">
        <v>72</v>
      </c>
      <c r="AH29" s="58" t="n">
        <v>2.21359436211787</v>
      </c>
      <c r="AI29" s="35" t="n">
        <v>46</v>
      </c>
      <c r="AJ29" s="58" t="n">
        <v>2.84604989415154</v>
      </c>
      <c r="AK29" s="33" t="n">
        <v>10.3</v>
      </c>
      <c r="AL29" s="65"/>
    </row>
    <row r="30" customFormat="false" ht="15" hidden="false" customHeight="false" outlineLevel="0" collapsed="false">
      <c r="A30" s="31" t="n">
        <v>35528472</v>
      </c>
      <c r="B30" s="31" t="s">
        <v>117</v>
      </c>
      <c r="C30" s="31" t="s">
        <v>118</v>
      </c>
      <c r="D30" s="31" t="s">
        <v>119</v>
      </c>
      <c r="E30" s="31" t="n">
        <v>2021</v>
      </c>
      <c r="F30" s="31" t="s">
        <v>120</v>
      </c>
      <c r="G30" s="31" t="n">
        <v>1</v>
      </c>
      <c r="H30" s="31" t="s">
        <v>55</v>
      </c>
      <c r="I30" s="31" t="s">
        <v>34</v>
      </c>
      <c r="J30" s="32" t="n">
        <v>7</v>
      </c>
      <c r="K30" s="31" t="n">
        <v>360</v>
      </c>
      <c r="L30" s="31" t="n">
        <v>1</v>
      </c>
      <c r="M30" s="33" t="n">
        <v>21</v>
      </c>
      <c r="N30" s="33" t="n">
        <f aca="false">M30*K30</f>
        <v>7560</v>
      </c>
      <c r="P30" s="31" t="n">
        <v>24</v>
      </c>
      <c r="Q30" s="31" t="n">
        <v>2</v>
      </c>
      <c r="R30" s="31" t="n">
        <v>12</v>
      </c>
      <c r="S30" s="31" t="n">
        <v>12</v>
      </c>
      <c r="T30" s="34" t="s">
        <v>344</v>
      </c>
      <c r="U30" s="35" t="n">
        <v>85</v>
      </c>
      <c r="V30" s="35" t="s">
        <v>48</v>
      </c>
      <c r="W30" s="56"/>
      <c r="Y30" s="35" t="n">
        <v>7</v>
      </c>
      <c r="AA30" s="35" t="n">
        <v>53</v>
      </c>
      <c r="AB30" s="35" t="s">
        <v>48</v>
      </c>
      <c r="AC30" s="56"/>
      <c r="AE30" s="35" t="n">
        <v>9</v>
      </c>
      <c r="AG30" s="35" t="n">
        <v>85</v>
      </c>
      <c r="AH30" s="58" t="n">
        <v>7</v>
      </c>
      <c r="AI30" s="35" t="n">
        <v>53</v>
      </c>
      <c r="AJ30" s="58" t="n">
        <v>9</v>
      </c>
      <c r="AK30" s="33" t="n">
        <v>3.97</v>
      </c>
    </row>
    <row r="31" customFormat="false" ht="15" hidden="false" customHeight="false" outlineLevel="0" collapsed="false">
      <c r="A31" s="55" t="n">
        <v>35252485</v>
      </c>
      <c r="B31" s="55" t="s">
        <v>345</v>
      </c>
      <c r="C31" s="55" t="s">
        <v>346</v>
      </c>
      <c r="D31" s="55" t="s">
        <v>347</v>
      </c>
      <c r="E31" s="55" t="n">
        <v>2022</v>
      </c>
      <c r="F31" s="55" t="s">
        <v>348</v>
      </c>
      <c r="G31" s="55" t="n">
        <v>1</v>
      </c>
      <c r="H31" s="31" t="s">
        <v>55</v>
      </c>
      <c r="I31" s="55" t="s">
        <v>34</v>
      </c>
      <c r="K31" s="31" t="n">
        <v>150</v>
      </c>
      <c r="L31" s="31" t="n">
        <v>1</v>
      </c>
      <c r="M31" s="33" t="n">
        <v>14</v>
      </c>
      <c r="N31" s="33" t="n">
        <f aca="false">M31*K31</f>
        <v>2100</v>
      </c>
      <c r="P31" s="56"/>
      <c r="Q31" s="31" t="n">
        <v>1</v>
      </c>
      <c r="R31" s="56"/>
      <c r="S31" s="56"/>
      <c r="T31" s="34" t="s">
        <v>71</v>
      </c>
      <c r="U31" s="35" t="n">
        <v>77</v>
      </c>
      <c r="V31" s="35" t="n">
        <v>7</v>
      </c>
      <c r="W31" s="36" t="n">
        <v>9</v>
      </c>
      <c r="X31" s="36" t="n">
        <v>9</v>
      </c>
      <c r="Y31" s="57" t="n">
        <f aca="false">V31*(SQRT(X31))</f>
        <v>21</v>
      </c>
      <c r="AA31" s="35" t="n">
        <v>31</v>
      </c>
      <c r="AB31" s="35" t="n">
        <v>11</v>
      </c>
      <c r="AC31" s="36" t="n">
        <v>9</v>
      </c>
      <c r="AD31" s="36" t="n">
        <v>9</v>
      </c>
      <c r="AE31" s="57" t="n">
        <f aca="false">AB31*(SQRT(AD31))</f>
        <v>33</v>
      </c>
      <c r="AG31" s="35" t="n">
        <v>77</v>
      </c>
      <c r="AH31" s="58" t="n">
        <v>21</v>
      </c>
      <c r="AI31" s="35" t="n">
        <v>31</v>
      </c>
      <c r="AJ31" s="58" t="n">
        <v>33</v>
      </c>
      <c r="AK31" s="33" t="n">
        <v>1.66</v>
      </c>
    </row>
    <row r="32" customFormat="false" ht="15" hidden="false" customHeight="false" outlineLevel="0" collapsed="false">
      <c r="A32" s="55" t="n">
        <v>35252485</v>
      </c>
      <c r="B32" s="55" t="s">
        <v>345</v>
      </c>
      <c r="C32" s="55" t="s">
        <v>346</v>
      </c>
      <c r="D32" s="55" t="s">
        <v>347</v>
      </c>
      <c r="E32" s="55" t="n">
        <v>2022</v>
      </c>
      <c r="F32" s="55" t="s">
        <v>348</v>
      </c>
      <c r="G32" s="55" t="n">
        <v>1</v>
      </c>
      <c r="H32" s="31" t="s">
        <v>55</v>
      </c>
      <c r="I32" s="55" t="s">
        <v>99</v>
      </c>
      <c r="K32" s="31" t="n">
        <v>150</v>
      </c>
      <c r="L32" s="31" t="n">
        <v>1</v>
      </c>
      <c r="M32" s="33" t="n">
        <v>14</v>
      </c>
      <c r="P32" s="56"/>
      <c r="Q32" s="31" t="n">
        <v>1</v>
      </c>
      <c r="R32" s="56"/>
      <c r="S32" s="56"/>
      <c r="T32" s="34" t="s">
        <v>71</v>
      </c>
      <c r="U32" s="35" t="n">
        <v>71</v>
      </c>
      <c r="V32" s="35" t="n">
        <v>6</v>
      </c>
      <c r="W32" s="36" t="n">
        <v>9</v>
      </c>
      <c r="X32" s="36" t="n">
        <v>9</v>
      </c>
      <c r="Y32" s="57" t="n">
        <f aca="false">V32*(SQRT(X32))</f>
        <v>18</v>
      </c>
      <c r="AA32" s="35" t="n">
        <v>81</v>
      </c>
      <c r="AB32" s="56"/>
      <c r="AC32" s="36" t="n">
        <v>9</v>
      </c>
      <c r="AD32" s="36" t="n">
        <v>9</v>
      </c>
      <c r="AE32" s="56"/>
      <c r="AG32" s="56"/>
      <c r="AH32" s="61"/>
      <c r="AI32" s="56"/>
      <c r="AJ32" s="61"/>
      <c r="AK32" s="56"/>
    </row>
    <row r="33" customFormat="false" ht="15" hidden="false" customHeight="false" outlineLevel="0" collapsed="false">
      <c r="A33" s="31" t="n">
        <v>35230663</v>
      </c>
      <c r="B33" s="31" t="s">
        <v>124</v>
      </c>
      <c r="C33" s="31" t="s">
        <v>125</v>
      </c>
      <c r="D33" s="31" t="s">
        <v>53</v>
      </c>
      <c r="E33" s="31" t="n">
        <v>2022</v>
      </c>
      <c r="F33" s="31" t="s">
        <v>126</v>
      </c>
      <c r="G33" s="31" t="n">
        <v>1</v>
      </c>
      <c r="H33" s="31" t="s">
        <v>27</v>
      </c>
      <c r="I33" s="31" t="s">
        <v>34</v>
      </c>
      <c r="K33" s="31" t="n">
        <v>240</v>
      </c>
      <c r="L33" s="31" t="n">
        <v>1</v>
      </c>
      <c r="M33" s="33" t="n">
        <v>28</v>
      </c>
      <c r="N33" s="33" t="n">
        <f aca="false">M33*K33</f>
        <v>6720</v>
      </c>
      <c r="P33" s="31" t="n">
        <v>24</v>
      </c>
      <c r="Q33" s="31" t="n">
        <v>1</v>
      </c>
      <c r="R33" s="56"/>
      <c r="S33" s="56"/>
      <c r="T33" s="34" t="s">
        <v>266</v>
      </c>
      <c r="U33" s="35" t="n">
        <v>82</v>
      </c>
      <c r="V33" s="35" t="s">
        <v>48</v>
      </c>
      <c r="W33" s="56"/>
      <c r="Y33" s="35" t="n">
        <v>1.9</v>
      </c>
      <c r="AA33" s="35" t="n">
        <v>50</v>
      </c>
      <c r="AB33" s="35" t="s">
        <v>48</v>
      </c>
      <c r="AC33" s="56"/>
      <c r="AE33" s="35" t="n">
        <v>6.5</v>
      </c>
      <c r="AG33" s="35" t="n">
        <v>82</v>
      </c>
      <c r="AH33" s="58" t="n">
        <v>1.9</v>
      </c>
      <c r="AI33" s="35" t="n">
        <v>50</v>
      </c>
      <c r="AJ33" s="58" t="n">
        <v>6.5</v>
      </c>
      <c r="AK33" s="33" t="n">
        <v>6.68</v>
      </c>
    </row>
    <row r="34" customFormat="false" ht="15" hidden="false" customHeight="false" outlineLevel="0" collapsed="false">
      <c r="A34" s="31" t="n">
        <v>34704719</v>
      </c>
      <c r="B34" s="31" t="s">
        <v>130</v>
      </c>
      <c r="C34" s="31" t="s">
        <v>131</v>
      </c>
      <c r="D34" s="31" t="s">
        <v>132</v>
      </c>
      <c r="E34" s="31" t="n">
        <v>2021</v>
      </c>
      <c r="F34" s="31" t="s">
        <v>133</v>
      </c>
      <c r="G34" s="31" t="n">
        <v>1</v>
      </c>
      <c r="H34" s="31" t="s">
        <v>27</v>
      </c>
      <c r="I34" s="31" t="s">
        <v>34</v>
      </c>
      <c r="K34" s="31" t="n">
        <v>360</v>
      </c>
      <c r="L34" s="31" t="n">
        <v>1</v>
      </c>
      <c r="M34" s="33" t="n">
        <v>21</v>
      </c>
      <c r="N34" s="33" t="n">
        <f aca="false">M34*K34</f>
        <v>7560</v>
      </c>
      <c r="P34" s="31" t="n">
        <v>2</v>
      </c>
      <c r="Q34" s="31" t="n">
        <v>2</v>
      </c>
      <c r="R34" s="31" t="n">
        <v>24</v>
      </c>
      <c r="S34" s="56"/>
      <c r="T34" s="34" t="s">
        <v>142</v>
      </c>
      <c r="U34" s="35" t="n">
        <v>83</v>
      </c>
      <c r="V34" s="35" t="s">
        <v>48</v>
      </c>
      <c r="W34" s="36" t="n">
        <v>10</v>
      </c>
      <c r="Y34" s="35" t="n">
        <v>3.6</v>
      </c>
      <c r="AA34" s="35" t="n">
        <v>68</v>
      </c>
      <c r="AB34" s="35" t="s">
        <v>48</v>
      </c>
      <c r="AC34" s="36" t="n">
        <v>10</v>
      </c>
      <c r="AE34" s="35" t="n">
        <v>10</v>
      </c>
      <c r="AG34" s="35" t="n">
        <v>83</v>
      </c>
      <c r="AH34" s="58" t="n">
        <v>3.6</v>
      </c>
      <c r="AI34" s="35" t="n">
        <v>68</v>
      </c>
      <c r="AJ34" s="58" t="n">
        <v>10</v>
      </c>
      <c r="AK34" s="33" t="n">
        <v>2</v>
      </c>
      <c r="AL34" s="33" t="s">
        <v>349</v>
      </c>
    </row>
    <row r="35" customFormat="false" ht="15" hidden="false" customHeight="false" outlineLevel="0" collapsed="false">
      <c r="A35" s="31" t="n">
        <v>34167364</v>
      </c>
      <c r="B35" s="31" t="s">
        <v>350</v>
      </c>
      <c r="C35" s="31" t="s">
        <v>351</v>
      </c>
      <c r="D35" s="31" t="s">
        <v>352</v>
      </c>
      <c r="E35" s="31" t="n">
        <v>2021</v>
      </c>
      <c r="F35" s="31" t="s">
        <v>353</v>
      </c>
      <c r="G35" s="31" t="n">
        <v>1</v>
      </c>
      <c r="H35" s="31" t="s">
        <v>55</v>
      </c>
      <c r="I35" s="31" t="s">
        <v>34</v>
      </c>
      <c r="K35" s="31" t="n">
        <v>120</v>
      </c>
      <c r="L35" s="31" t="n">
        <v>1</v>
      </c>
      <c r="M35" s="33" t="n">
        <v>21</v>
      </c>
      <c r="N35" s="33" t="n">
        <f aca="false">M35*K35</f>
        <v>2520</v>
      </c>
      <c r="P35" s="56"/>
      <c r="Q35" s="31" t="n">
        <v>1</v>
      </c>
      <c r="R35" s="56"/>
      <c r="S35" s="56"/>
      <c r="T35" s="34" t="n">
        <v>3</v>
      </c>
      <c r="U35" s="35" t="n">
        <v>75</v>
      </c>
      <c r="V35" s="35" t="n">
        <v>5.1</v>
      </c>
      <c r="W35" s="36" t="n">
        <v>9</v>
      </c>
      <c r="X35" s="36" t="n">
        <v>9</v>
      </c>
      <c r="Y35" s="57" t="n">
        <f aca="false">V35*(SQRT(X35))</f>
        <v>15.3</v>
      </c>
      <c r="AA35" s="35" t="n">
        <v>42</v>
      </c>
      <c r="AB35" s="35" t="n">
        <v>3.5</v>
      </c>
      <c r="AC35" s="36" t="n">
        <v>9</v>
      </c>
      <c r="AD35" s="36" t="n">
        <v>9</v>
      </c>
      <c r="AE35" s="57" t="n">
        <f aca="false">AB35*(SQRT(AD35))</f>
        <v>10.5</v>
      </c>
      <c r="AG35" s="35" t="n">
        <v>75</v>
      </c>
      <c r="AH35" s="58" t="n">
        <v>15.3</v>
      </c>
      <c r="AI35" s="35" t="n">
        <v>42</v>
      </c>
      <c r="AJ35" s="58" t="n">
        <v>10.5</v>
      </c>
      <c r="AK35" s="33" t="n">
        <v>2.55</v>
      </c>
    </row>
    <row r="36" customFormat="false" ht="15" hidden="false" customHeight="false" outlineLevel="0" collapsed="false">
      <c r="A36" s="31" t="n">
        <v>33766670</v>
      </c>
      <c r="B36" s="31" t="s">
        <v>148</v>
      </c>
      <c r="C36" s="31" t="s">
        <v>149</v>
      </c>
      <c r="D36" s="31" t="s">
        <v>150</v>
      </c>
      <c r="E36" s="31" t="n">
        <v>2021</v>
      </c>
      <c r="F36" s="31" t="s">
        <v>151</v>
      </c>
      <c r="G36" s="31" t="n">
        <v>1</v>
      </c>
      <c r="H36" s="31" t="s">
        <v>55</v>
      </c>
      <c r="I36" s="31" t="s">
        <v>34</v>
      </c>
      <c r="K36" s="31" t="n">
        <v>360</v>
      </c>
      <c r="L36" s="31" t="n">
        <v>1</v>
      </c>
      <c r="M36" s="33" t="n">
        <v>28</v>
      </c>
      <c r="N36" s="33" t="n">
        <f aca="false">M36*K36</f>
        <v>10080</v>
      </c>
      <c r="P36" s="31" t="n">
        <v>1</v>
      </c>
      <c r="Q36" s="31" t="n">
        <v>1</v>
      </c>
      <c r="R36" s="31" t="n">
        <v>23</v>
      </c>
      <c r="S36" s="31" t="n">
        <v>23</v>
      </c>
      <c r="T36" s="34" t="s">
        <v>354</v>
      </c>
      <c r="U36" s="35" t="n">
        <v>81</v>
      </c>
      <c r="V36" s="35" t="n">
        <v>2.7</v>
      </c>
      <c r="W36" s="36" t="n">
        <v>8</v>
      </c>
      <c r="X36" s="36" t="n">
        <v>8</v>
      </c>
      <c r="Y36" s="57" t="n">
        <f aca="false">V36*(SQRT(X36))</f>
        <v>7.63675323681471</v>
      </c>
      <c r="AA36" s="35" t="n">
        <v>71</v>
      </c>
      <c r="AB36" s="35" t="n">
        <v>1.8</v>
      </c>
      <c r="AC36" s="36" t="n">
        <v>8</v>
      </c>
      <c r="AD36" s="36" t="n">
        <v>8</v>
      </c>
      <c r="AE36" s="57" t="n">
        <f aca="false">AB36*(SQRT(AD36))</f>
        <v>5.09116882454314</v>
      </c>
      <c r="AG36" s="35" t="n">
        <v>81</v>
      </c>
      <c r="AH36" s="58" t="n">
        <v>7.63675323681471</v>
      </c>
      <c r="AI36" s="35" t="n">
        <v>71</v>
      </c>
      <c r="AJ36" s="58" t="n">
        <v>5.09116882454314</v>
      </c>
      <c r="AK36" s="33" t="n">
        <v>1.54</v>
      </c>
      <c r="AL36" s="33" t="s">
        <v>355</v>
      </c>
    </row>
    <row r="37" customFormat="false" ht="15" hidden="false" customHeight="false" outlineLevel="0" collapsed="false">
      <c r="A37" s="31" t="n">
        <v>33505499</v>
      </c>
      <c r="B37" s="31" t="s">
        <v>154</v>
      </c>
      <c r="C37" s="31" t="s">
        <v>155</v>
      </c>
      <c r="D37" s="31" t="s">
        <v>156</v>
      </c>
      <c r="E37" s="31" t="n">
        <v>2021</v>
      </c>
      <c r="F37" s="31" t="s">
        <v>157</v>
      </c>
      <c r="G37" s="31" t="n">
        <v>1</v>
      </c>
      <c r="H37" s="31" t="s">
        <v>27</v>
      </c>
      <c r="I37" s="31" t="s">
        <v>34</v>
      </c>
      <c r="K37" s="31" t="n">
        <v>180</v>
      </c>
      <c r="L37" s="31" t="n">
        <v>1</v>
      </c>
      <c r="M37" s="33" t="n">
        <v>21</v>
      </c>
      <c r="N37" s="33" t="n">
        <f aca="false">M37*K37</f>
        <v>3780</v>
      </c>
      <c r="P37" s="31" t="n">
        <v>3</v>
      </c>
      <c r="Q37" s="31" t="n">
        <v>1</v>
      </c>
      <c r="R37" s="31" t="n">
        <v>24</v>
      </c>
      <c r="S37" s="31" t="n">
        <v>24</v>
      </c>
      <c r="T37" s="34" t="s">
        <v>356</v>
      </c>
      <c r="U37" s="35" t="n">
        <v>73</v>
      </c>
      <c r="V37" s="35" t="s">
        <v>48</v>
      </c>
      <c r="W37" s="36" t="n">
        <v>8</v>
      </c>
      <c r="Y37" s="35" t="n">
        <v>7</v>
      </c>
      <c r="AA37" s="35" t="n">
        <v>46</v>
      </c>
      <c r="AB37" s="35" t="s">
        <v>48</v>
      </c>
      <c r="AC37" s="36" t="n">
        <v>8</v>
      </c>
      <c r="AE37" s="35" t="n">
        <v>3</v>
      </c>
      <c r="AG37" s="35" t="n">
        <v>73</v>
      </c>
      <c r="AH37" s="58" t="n">
        <v>7</v>
      </c>
      <c r="AI37" s="35" t="n">
        <v>46</v>
      </c>
      <c r="AJ37" s="58" t="n">
        <v>3</v>
      </c>
      <c r="AK37" s="33" t="n">
        <v>5.01</v>
      </c>
    </row>
    <row r="38" customFormat="false" ht="15" hidden="false" customHeight="false" outlineLevel="0" collapsed="false">
      <c r="A38" s="31" t="n">
        <v>33291797</v>
      </c>
      <c r="B38" s="31" t="s">
        <v>159</v>
      </c>
      <c r="C38" s="31" t="s">
        <v>160</v>
      </c>
      <c r="D38" s="31" t="s">
        <v>161</v>
      </c>
      <c r="E38" s="31" t="n">
        <v>2020</v>
      </c>
      <c r="F38" s="31" t="s">
        <v>162</v>
      </c>
      <c r="G38" s="31" t="n">
        <v>1</v>
      </c>
      <c r="H38" s="31" t="s">
        <v>27</v>
      </c>
      <c r="I38" s="31" t="s">
        <v>34</v>
      </c>
      <c r="J38" s="32" t="n">
        <v>6</v>
      </c>
      <c r="K38" s="31" t="n">
        <v>120</v>
      </c>
      <c r="L38" s="31" t="n">
        <v>1</v>
      </c>
      <c r="M38" s="33" t="n">
        <v>21</v>
      </c>
      <c r="N38" s="33" t="n">
        <f aca="false">M38*K38</f>
        <v>2520</v>
      </c>
      <c r="P38" s="31" t="n">
        <v>24</v>
      </c>
      <c r="Q38" s="31" t="n">
        <v>1</v>
      </c>
      <c r="R38" s="56"/>
      <c r="S38" s="56"/>
      <c r="T38" s="34" t="s">
        <v>152</v>
      </c>
      <c r="U38" s="35" t="n">
        <v>90</v>
      </c>
      <c r="V38" s="35" t="n">
        <v>0.3</v>
      </c>
      <c r="W38" s="33" t="s">
        <v>357</v>
      </c>
      <c r="X38" s="36" t="n">
        <v>9</v>
      </c>
      <c r="Y38" s="57" t="n">
        <f aca="false">V38*(SQRT(X38))</f>
        <v>0.9</v>
      </c>
      <c r="AA38" s="35" t="n">
        <v>70</v>
      </c>
      <c r="AB38" s="35" t="n">
        <v>1.9</v>
      </c>
      <c r="AC38" s="33" t="s">
        <v>357</v>
      </c>
      <c r="AD38" s="36" t="n">
        <v>9</v>
      </c>
      <c r="AE38" s="57" t="n">
        <f aca="false">AB38*(SQRT(AD38))</f>
        <v>5.7</v>
      </c>
      <c r="AG38" s="35" t="n">
        <v>90</v>
      </c>
      <c r="AH38" s="58" t="n">
        <v>0.9</v>
      </c>
      <c r="AI38" s="35" t="n">
        <v>70</v>
      </c>
      <c r="AJ38" s="58" t="n">
        <v>5.7</v>
      </c>
      <c r="AK38" s="33" t="n">
        <v>4.9</v>
      </c>
    </row>
    <row r="39" customFormat="false" ht="15" hidden="false" customHeight="false" outlineLevel="0" collapsed="false">
      <c r="A39" s="31" t="n">
        <v>33276022</v>
      </c>
      <c r="B39" s="31" t="s">
        <v>164</v>
      </c>
      <c r="C39" s="31" t="s">
        <v>165</v>
      </c>
      <c r="D39" s="31" t="s">
        <v>145</v>
      </c>
      <c r="E39" s="31" t="n">
        <v>2021</v>
      </c>
      <c r="F39" s="31" t="s">
        <v>166</v>
      </c>
      <c r="G39" s="31" t="n">
        <v>1</v>
      </c>
      <c r="H39" s="31" t="s">
        <v>27</v>
      </c>
      <c r="I39" s="31" t="s">
        <v>34</v>
      </c>
      <c r="J39" s="32" t="n">
        <v>12</v>
      </c>
      <c r="K39" s="31" t="n">
        <v>390</v>
      </c>
      <c r="L39" s="31" t="n">
        <v>1</v>
      </c>
      <c r="M39" s="33" t="n">
        <v>21</v>
      </c>
      <c r="N39" s="33" t="n">
        <f aca="false">M39*K39</f>
        <v>8190</v>
      </c>
      <c r="P39" s="31" t="n">
        <v>12</v>
      </c>
      <c r="Q39" s="31" t="n">
        <v>1</v>
      </c>
      <c r="R39" s="31" t="n">
        <v>12</v>
      </c>
      <c r="S39" s="31" t="n">
        <v>12</v>
      </c>
      <c r="T39" s="34" t="s">
        <v>358</v>
      </c>
      <c r="U39" s="35" t="n">
        <v>94</v>
      </c>
      <c r="V39" s="35" t="n">
        <v>1.1</v>
      </c>
      <c r="W39" s="36" t="n">
        <v>5</v>
      </c>
      <c r="X39" s="36" t="n">
        <v>5</v>
      </c>
      <c r="Y39" s="57" t="n">
        <f aca="false">V39*(SQRT(X39))</f>
        <v>2.45967477524977</v>
      </c>
      <c r="AA39" s="35" t="n">
        <v>81</v>
      </c>
      <c r="AB39" s="35" t="n">
        <v>4.5</v>
      </c>
      <c r="AC39" s="36" t="n">
        <v>6</v>
      </c>
      <c r="AD39" s="36" t="n">
        <v>6</v>
      </c>
      <c r="AE39" s="57" t="n">
        <f aca="false">AB39*(SQRT(AD39))</f>
        <v>11.0227038425243</v>
      </c>
      <c r="AG39" s="35" t="n">
        <v>94</v>
      </c>
      <c r="AH39" s="58" t="n">
        <v>2.45967477524977</v>
      </c>
      <c r="AI39" s="35" t="n">
        <v>81</v>
      </c>
      <c r="AJ39" s="58" t="n">
        <v>11.0227038425243</v>
      </c>
      <c r="AK39" s="66" t="n">
        <v>1.63</v>
      </c>
      <c r="AL39" s="66" t="s">
        <v>167</v>
      </c>
    </row>
    <row r="40" customFormat="false" ht="15" hidden="false" customHeight="false" outlineLevel="0" collapsed="false">
      <c r="A40" s="31" t="n">
        <v>32188207</v>
      </c>
      <c r="B40" s="31" t="s">
        <v>359</v>
      </c>
      <c r="C40" s="31" t="s">
        <v>360</v>
      </c>
      <c r="D40" s="31" t="s">
        <v>361</v>
      </c>
      <c r="E40" s="31" t="n">
        <v>2017</v>
      </c>
      <c r="F40" s="31" t="s">
        <v>362</v>
      </c>
      <c r="G40" s="31" t="n">
        <v>1</v>
      </c>
      <c r="H40" s="31" t="s">
        <v>27</v>
      </c>
      <c r="I40" s="31" t="s">
        <v>34</v>
      </c>
      <c r="K40" s="31" t="n">
        <v>360</v>
      </c>
      <c r="L40" s="31" t="n">
        <v>1</v>
      </c>
      <c r="M40" s="33" t="n">
        <v>7</v>
      </c>
      <c r="N40" s="33" t="n">
        <f aca="false">M40*K40</f>
        <v>2520</v>
      </c>
      <c r="P40" s="31" t="n">
        <v>1</v>
      </c>
      <c r="Q40" s="31" t="n">
        <v>1</v>
      </c>
      <c r="R40" s="31" t="n">
        <v>23</v>
      </c>
      <c r="S40" s="31" t="n">
        <v>23</v>
      </c>
      <c r="T40" s="34" t="s">
        <v>190</v>
      </c>
      <c r="U40" s="56"/>
      <c r="V40" s="56"/>
      <c r="W40" s="56"/>
      <c r="X40" s="56"/>
      <c r="Y40" s="56"/>
      <c r="AA40" s="56"/>
      <c r="AB40" s="56"/>
      <c r="AC40" s="56"/>
      <c r="AD40" s="56"/>
      <c r="AE40" s="56"/>
      <c r="AG40" s="56"/>
      <c r="AH40" s="61"/>
      <c r="AI40" s="56"/>
      <c r="AJ40" s="61"/>
      <c r="AK40" s="56"/>
      <c r="AL40" s="33" t="s">
        <v>363</v>
      </c>
    </row>
    <row r="41" customFormat="false" ht="15" hidden="false" customHeight="false" outlineLevel="0" collapsed="false">
      <c r="A41" s="31" t="n">
        <v>30740068</v>
      </c>
      <c r="B41" s="31" t="s">
        <v>168</v>
      </c>
      <c r="C41" s="31" t="s">
        <v>169</v>
      </c>
      <c r="D41" s="31" t="s">
        <v>170</v>
      </c>
      <c r="E41" s="31" t="n">
        <v>2019</v>
      </c>
      <c r="F41" s="31" t="s">
        <v>171</v>
      </c>
      <c r="G41" s="31" t="n">
        <v>1</v>
      </c>
      <c r="H41" s="31" t="s">
        <v>27</v>
      </c>
      <c r="I41" s="31" t="s">
        <v>34</v>
      </c>
      <c r="J41" s="32" t="s">
        <v>96</v>
      </c>
      <c r="K41" s="31" t="n">
        <v>240</v>
      </c>
      <c r="L41" s="31" t="n">
        <v>1</v>
      </c>
      <c r="M41" s="33" t="n">
        <v>21</v>
      </c>
      <c r="N41" s="33" t="n">
        <f aca="false">M41*K41</f>
        <v>5040</v>
      </c>
      <c r="P41" s="31" t="n">
        <v>48</v>
      </c>
      <c r="Q41" s="31" t="n">
        <v>1</v>
      </c>
      <c r="R41" s="56"/>
      <c r="S41" s="56"/>
      <c r="T41" s="34" t="s">
        <v>47</v>
      </c>
      <c r="U41" s="35" t="n">
        <v>76</v>
      </c>
      <c r="V41" s="35" t="n">
        <v>3.9</v>
      </c>
      <c r="W41" s="32" t="s">
        <v>41</v>
      </c>
      <c r="X41" s="36" t="n">
        <v>10</v>
      </c>
      <c r="Y41" s="57" t="n">
        <f aca="false">V41*(SQRT(X41))</f>
        <v>12.3328828746567</v>
      </c>
      <c r="AA41" s="35" t="n">
        <v>57</v>
      </c>
      <c r="AB41" s="35" t="n">
        <v>4.5</v>
      </c>
      <c r="AC41" s="32" t="s">
        <v>41</v>
      </c>
      <c r="AD41" s="36" t="n">
        <v>10</v>
      </c>
      <c r="AE41" s="57" t="n">
        <f aca="false">AB41*(SQRT(AD41))</f>
        <v>14.2302494707577</v>
      </c>
      <c r="AG41" s="35" t="n">
        <v>76</v>
      </c>
      <c r="AH41" s="58" t="n">
        <v>12.3328828746567</v>
      </c>
      <c r="AI41" s="35" t="n">
        <v>57</v>
      </c>
      <c r="AJ41" s="58" t="n">
        <v>14.2302494707577</v>
      </c>
      <c r="AK41" s="33" t="n">
        <v>1.43</v>
      </c>
    </row>
    <row r="42" customFormat="false" ht="15" hidden="false" customHeight="false" outlineLevel="0" collapsed="false">
      <c r="A42" s="55" t="n">
        <v>29561292</v>
      </c>
      <c r="B42" s="55" t="s">
        <v>181</v>
      </c>
      <c r="C42" s="55" t="s">
        <v>182</v>
      </c>
      <c r="D42" s="55" t="s">
        <v>183</v>
      </c>
      <c r="E42" s="55" t="n">
        <v>2018</v>
      </c>
      <c r="F42" s="55" t="s">
        <v>184</v>
      </c>
      <c r="G42" s="55" t="n">
        <v>1</v>
      </c>
      <c r="H42" s="31" t="s">
        <v>55</v>
      </c>
      <c r="I42" s="31" t="s">
        <v>34</v>
      </c>
      <c r="K42" s="31" t="n">
        <v>360</v>
      </c>
      <c r="L42" s="31" t="n">
        <v>1</v>
      </c>
      <c r="M42" s="62" t="n">
        <v>7</v>
      </c>
      <c r="N42" s="33" t="n">
        <f aca="false">M42*K42</f>
        <v>2520</v>
      </c>
      <c r="P42" s="31" t="n">
        <v>24</v>
      </c>
      <c r="Q42" s="31" t="n">
        <v>1</v>
      </c>
      <c r="R42" s="31" t="n">
        <v>0</v>
      </c>
      <c r="S42" s="31" t="n">
        <v>0</v>
      </c>
      <c r="T42" s="34" t="n">
        <v>2</v>
      </c>
      <c r="U42" s="35" t="n">
        <v>90</v>
      </c>
      <c r="V42" s="35" t="n">
        <v>2.6</v>
      </c>
      <c r="W42" s="36" t="n">
        <v>8</v>
      </c>
      <c r="X42" s="36" t="n">
        <v>8</v>
      </c>
      <c r="Y42" s="57" t="n">
        <f aca="false">V42*(SQRT(X42))</f>
        <v>7.3539105243401</v>
      </c>
      <c r="AA42" s="35" t="n">
        <v>78</v>
      </c>
      <c r="AB42" s="35" t="n">
        <v>6.2</v>
      </c>
      <c r="AC42" s="36" t="n">
        <v>8</v>
      </c>
      <c r="AD42" s="36" t="n">
        <v>8</v>
      </c>
      <c r="AE42" s="57" t="n">
        <f aca="false">AB42*(SQRT(AD42))</f>
        <v>17.5362481734264</v>
      </c>
      <c r="AG42" s="35" t="n">
        <v>90</v>
      </c>
      <c r="AH42" s="58" t="n">
        <v>7.3539105243401</v>
      </c>
      <c r="AI42" s="35" t="n">
        <v>78</v>
      </c>
      <c r="AJ42" s="58" t="n">
        <v>17.5362481734264</v>
      </c>
      <c r="AK42" s="33" t="n">
        <v>0.89</v>
      </c>
    </row>
    <row r="43" customFormat="false" ht="15" hidden="false" customHeight="false" outlineLevel="0" collapsed="false">
      <c r="A43" s="55" t="n">
        <v>29561292</v>
      </c>
      <c r="B43" s="55" t="s">
        <v>181</v>
      </c>
      <c r="C43" s="55" t="s">
        <v>182</v>
      </c>
      <c r="D43" s="55" t="s">
        <v>183</v>
      </c>
      <c r="E43" s="55" t="n">
        <v>2018</v>
      </c>
      <c r="F43" s="55" t="s">
        <v>184</v>
      </c>
      <c r="G43" s="55" t="n">
        <v>1</v>
      </c>
      <c r="H43" s="31" t="s">
        <v>55</v>
      </c>
      <c r="I43" s="31" t="s">
        <v>34</v>
      </c>
      <c r="K43" s="31" t="n">
        <v>360</v>
      </c>
      <c r="L43" s="31" t="n">
        <v>1</v>
      </c>
      <c r="M43" s="62" t="n">
        <v>14</v>
      </c>
      <c r="N43" s="33" t="n">
        <f aca="false">M43*K43</f>
        <v>5040</v>
      </c>
      <c r="P43" s="31" t="n">
        <v>24</v>
      </c>
      <c r="Q43" s="31" t="n">
        <v>1</v>
      </c>
      <c r="R43" s="31" t="n">
        <v>0</v>
      </c>
      <c r="S43" s="31" t="n">
        <v>0</v>
      </c>
      <c r="T43" s="34" t="n">
        <v>2</v>
      </c>
      <c r="U43" s="35" t="n">
        <v>90</v>
      </c>
      <c r="V43" s="35" t="n">
        <v>2.6</v>
      </c>
      <c r="W43" s="36" t="n">
        <v>8</v>
      </c>
      <c r="X43" s="36" t="n">
        <v>8</v>
      </c>
      <c r="Y43" s="57" t="n">
        <f aca="false">V43*(SQRT(X43))</f>
        <v>7.3539105243401</v>
      </c>
      <c r="AA43" s="35" t="n">
        <v>61</v>
      </c>
      <c r="AB43" s="35" t="n">
        <v>6.2</v>
      </c>
      <c r="AC43" s="36" t="n">
        <v>8</v>
      </c>
      <c r="AD43" s="36" t="n">
        <v>8</v>
      </c>
      <c r="AE43" s="57" t="n">
        <f aca="false">AB43*(SQRT(AD43))</f>
        <v>17.5362481734264</v>
      </c>
      <c r="AG43" s="35" t="n">
        <v>90</v>
      </c>
      <c r="AH43" s="58" t="n">
        <v>7.3539105243401</v>
      </c>
      <c r="AI43" s="35" t="n">
        <v>61</v>
      </c>
      <c r="AJ43" s="58" t="n">
        <v>17.5362481734264</v>
      </c>
      <c r="AK43" s="33" t="n">
        <v>2.15</v>
      </c>
    </row>
    <row r="44" customFormat="false" ht="15" hidden="false" customHeight="false" outlineLevel="0" collapsed="false">
      <c r="A44" s="55" t="n">
        <v>29561292</v>
      </c>
      <c r="B44" s="55" t="s">
        <v>181</v>
      </c>
      <c r="C44" s="55" t="s">
        <v>182</v>
      </c>
      <c r="D44" s="55" t="s">
        <v>183</v>
      </c>
      <c r="E44" s="55" t="n">
        <v>2018</v>
      </c>
      <c r="F44" s="55" t="s">
        <v>184</v>
      </c>
      <c r="G44" s="55" t="n">
        <v>1</v>
      </c>
      <c r="H44" s="31" t="s">
        <v>55</v>
      </c>
      <c r="I44" s="31" t="s">
        <v>34</v>
      </c>
      <c r="K44" s="31" t="n">
        <v>360</v>
      </c>
      <c r="L44" s="31" t="n">
        <v>1</v>
      </c>
      <c r="M44" s="62" t="n">
        <v>21</v>
      </c>
      <c r="N44" s="33" t="n">
        <f aca="false">M44*K44</f>
        <v>7560</v>
      </c>
      <c r="P44" s="31" t="n">
        <v>24</v>
      </c>
      <c r="Q44" s="31" t="n">
        <v>1</v>
      </c>
      <c r="R44" s="31" t="n">
        <v>0</v>
      </c>
      <c r="S44" s="31" t="n">
        <v>0</v>
      </c>
      <c r="T44" s="34" t="n">
        <v>2</v>
      </c>
      <c r="U44" s="35" t="n">
        <v>90</v>
      </c>
      <c r="V44" s="35" t="n">
        <v>2.6</v>
      </c>
      <c r="W44" s="36" t="n">
        <v>8</v>
      </c>
      <c r="X44" s="36" t="n">
        <v>8</v>
      </c>
      <c r="Y44" s="57" t="n">
        <f aca="false">V44*(SQRT(X44))</f>
        <v>7.3539105243401</v>
      </c>
      <c r="AA44" s="35" t="n">
        <v>63</v>
      </c>
      <c r="AB44" s="35" t="n">
        <v>6.5</v>
      </c>
      <c r="AC44" s="36" t="n">
        <v>8</v>
      </c>
      <c r="AD44" s="36" t="n">
        <v>8</v>
      </c>
      <c r="AE44" s="57" t="n">
        <f aca="false">AB44*(SQRT(AD44))</f>
        <v>18.3847763108502</v>
      </c>
      <c r="AG44" s="35" t="n">
        <v>90</v>
      </c>
      <c r="AH44" s="58" t="n">
        <v>7.3539105243401</v>
      </c>
      <c r="AI44" s="35" t="n">
        <v>63</v>
      </c>
      <c r="AJ44" s="58" t="n">
        <v>18.3847763108502</v>
      </c>
      <c r="AK44" s="33" t="n">
        <v>1.92</v>
      </c>
    </row>
    <row r="45" customFormat="false" ht="15" hidden="false" customHeight="false" outlineLevel="0" collapsed="false">
      <c r="A45" s="55" t="n">
        <v>29561292</v>
      </c>
      <c r="B45" s="55" t="s">
        <v>181</v>
      </c>
      <c r="C45" s="55" t="s">
        <v>182</v>
      </c>
      <c r="D45" s="55" t="s">
        <v>183</v>
      </c>
      <c r="E45" s="55" t="n">
        <v>2018</v>
      </c>
      <c r="F45" s="55" t="s">
        <v>184</v>
      </c>
      <c r="G45" s="55" t="n">
        <v>1</v>
      </c>
      <c r="H45" s="31" t="s">
        <v>55</v>
      </c>
      <c r="I45" s="31" t="s">
        <v>34</v>
      </c>
      <c r="K45" s="31" t="n">
        <v>360</v>
      </c>
      <c r="L45" s="31" t="n">
        <v>1</v>
      </c>
      <c r="M45" s="62" t="n">
        <v>28</v>
      </c>
      <c r="N45" s="33" t="n">
        <f aca="false">M45*K45</f>
        <v>10080</v>
      </c>
      <c r="P45" s="31" t="n">
        <v>24</v>
      </c>
      <c r="Q45" s="31" t="n">
        <v>1</v>
      </c>
      <c r="R45" s="31" t="n">
        <v>0</v>
      </c>
      <c r="S45" s="31" t="n">
        <v>0</v>
      </c>
      <c r="T45" s="34" t="n">
        <v>2</v>
      </c>
      <c r="U45" s="35" t="n">
        <v>90</v>
      </c>
      <c r="V45" s="35" t="n">
        <v>2.6</v>
      </c>
      <c r="W45" s="36" t="n">
        <v>8</v>
      </c>
      <c r="X45" s="36" t="n">
        <v>8</v>
      </c>
      <c r="Y45" s="57" t="n">
        <f aca="false">V45*(SQRT(X45))</f>
        <v>7.3539105243401</v>
      </c>
      <c r="AA45" s="35" t="n">
        <v>61</v>
      </c>
      <c r="AB45" s="35" t="n">
        <v>4.3</v>
      </c>
      <c r="AC45" s="36" t="n">
        <v>8</v>
      </c>
      <c r="AD45" s="36" t="n">
        <v>8</v>
      </c>
      <c r="AE45" s="57" t="n">
        <f aca="false">AB45*(SQRT(AD45))</f>
        <v>12.1622366364086</v>
      </c>
      <c r="AG45" s="35" t="n">
        <v>90</v>
      </c>
      <c r="AH45" s="58" t="n">
        <v>7.3539105243401</v>
      </c>
      <c r="AI45" s="35" t="n">
        <v>61</v>
      </c>
      <c r="AJ45" s="58" t="n">
        <v>12.1622366364086</v>
      </c>
      <c r="AK45" s="33" t="n">
        <v>2.87</v>
      </c>
    </row>
    <row r="46" customFormat="false" ht="15" hidden="false" customHeight="false" outlineLevel="0" collapsed="false">
      <c r="A46" s="31" t="n">
        <v>29317595</v>
      </c>
      <c r="B46" s="31" t="s">
        <v>192</v>
      </c>
      <c r="C46" s="31" t="s">
        <v>193</v>
      </c>
      <c r="D46" s="31" t="s">
        <v>194</v>
      </c>
      <c r="E46" s="31" t="n">
        <v>2018</v>
      </c>
      <c r="F46" s="31" t="s">
        <v>195</v>
      </c>
      <c r="G46" s="31" t="n">
        <v>1</v>
      </c>
      <c r="H46" s="31" t="s">
        <v>27</v>
      </c>
      <c r="I46" s="31" t="s">
        <v>34</v>
      </c>
      <c r="K46" s="31" t="n">
        <v>360</v>
      </c>
      <c r="L46" s="31" t="n">
        <v>1</v>
      </c>
      <c r="M46" s="33" t="n">
        <v>21</v>
      </c>
      <c r="N46" s="33" t="n">
        <f aca="false">M46*K46</f>
        <v>7560</v>
      </c>
      <c r="P46" s="31" t="n">
        <v>1</v>
      </c>
      <c r="Q46" s="56"/>
      <c r="R46" s="56"/>
      <c r="S46" s="56"/>
      <c r="T46" s="34" t="s">
        <v>364</v>
      </c>
      <c r="W46" s="56"/>
      <c r="X46" s="56"/>
      <c r="Y46" s="57"/>
      <c r="AC46" s="56"/>
      <c r="AD46" s="56"/>
      <c r="AE46" s="57"/>
      <c r="AG46" s="56"/>
      <c r="AH46" s="61"/>
      <c r="AI46" s="56"/>
      <c r="AJ46" s="61"/>
      <c r="AK46" s="56"/>
    </row>
    <row r="47" customFormat="false" ht="15" hidden="false" customHeight="false" outlineLevel="0" collapsed="false">
      <c r="A47" s="55" t="n">
        <v>29175030</v>
      </c>
      <c r="B47" s="55" t="s">
        <v>197</v>
      </c>
      <c r="C47" s="55" t="s">
        <v>198</v>
      </c>
      <c r="D47" s="55" t="s">
        <v>199</v>
      </c>
      <c r="E47" s="55" t="n">
        <v>2018</v>
      </c>
      <c r="F47" s="55" t="s">
        <v>200</v>
      </c>
      <c r="G47" s="55" t="n">
        <v>1</v>
      </c>
      <c r="H47" s="31" t="s">
        <v>55</v>
      </c>
      <c r="I47" s="31" t="s">
        <v>34</v>
      </c>
      <c r="K47" s="31" t="n">
        <v>360</v>
      </c>
      <c r="L47" s="31" t="n">
        <v>1</v>
      </c>
      <c r="M47" s="62" t="n">
        <v>7</v>
      </c>
      <c r="N47" s="33" t="n">
        <f aca="false">M47*K47</f>
        <v>2520</v>
      </c>
      <c r="P47" s="31" t="n">
        <v>1</v>
      </c>
      <c r="Q47" s="31" t="n">
        <v>1</v>
      </c>
      <c r="R47" s="31" t="n">
        <v>23</v>
      </c>
      <c r="S47" s="31" t="n">
        <v>23</v>
      </c>
      <c r="T47" s="34" t="s">
        <v>71</v>
      </c>
      <c r="U47" s="35" t="n">
        <v>83</v>
      </c>
      <c r="V47" s="35" t="s">
        <v>48</v>
      </c>
      <c r="W47" s="36" t="n">
        <v>10</v>
      </c>
      <c r="Y47" s="35" t="n">
        <v>4</v>
      </c>
      <c r="AA47" s="35" t="n">
        <v>79</v>
      </c>
      <c r="AB47" s="35" t="s">
        <v>48</v>
      </c>
      <c r="AC47" s="36" t="n">
        <v>10</v>
      </c>
      <c r="AE47" s="35" t="n">
        <v>4</v>
      </c>
      <c r="AG47" s="35" t="n">
        <v>83</v>
      </c>
      <c r="AH47" s="58" t="n">
        <v>4</v>
      </c>
      <c r="AI47" s="35" t="n">
        <v>79</v>
      </c>
      <c r="AJ47" s="58" t="n">
        <v>4</v>
      </c>
      <c r="AK47" s="33" t="n">
        <v>1</v>
      </c>
    </row>
    <row r="48" customFormat="false" ht="15" hidden="false" customHeight="false" outlineLevel="0" collapsed="false">
      <c r="A48" s="55" t="n">
        <v>29175030</v>
      </c>
      <c r="B48" s="55" t="s">
        <v>197</v>
      </c>
      <c r="C48" s="55" t="s">
        <v>198</v>
      </c>
      <c r="D48" s="55" t="s">
        <v>199</v>
      </c>
      <c r="E48" s="55" t="n">
        <v>2018</v>
      </c>
      <c r="F48" s="55" t="s">
        <v>200</v>
      </c>
      <c r="G48" s="55" t="n">
        <v>1</v>
      </c>
      <c r="H48" s="31" t="s">
        <v>55</v>
      </c>
      <c r="I48" s="31" t="s">
        <v>34</v>
      </c>
      <c r="K48" s="31" t="n">
        <v>360</v>
      </c>
      <c r="L48" s="31" t="n">
        <v>1</v>
      </c>
      <c r="M48" s="62" t="n">
        <v>14</v>
      </c>
      <c r="N48" s="33" t="n">
        <f aca="false">M48*K48</f>
        <v>5040</v>
      </c>
      <c r="P48" s="31" t="n">
        <v>1</v>
      </c>
      <c r="Q48" s="31" t="n">
        <v>1</v>
      </c>
      <c r="R48" s="31" t="n">
        <v>23</v>
      </c>
      <c r="S48" s="31" t="n">
        <v>23</v>
      </c>
      <c r="T48" s="34" t="s">
        <v>71</v>
      </c>
      <c r="U48" s="35" t="n">
        <v>83</v>
      </c>
      <c r="V48" s="35" t="s">
        <v>48</v>
      </c>
      <c r="W48" s="36" t="n">
        <v>10</v>
      </c>
      <c r="Y48" s="35" t="n">
        <v>4</v>
      </c>
      <c r="AA48" s="35" t="n">
        <v>62</v>
      </c>
      <c r="AB48" s="35" t="s">
        <v>48</v>
      </c>
      <c r="AC48" s="36" t="n">
        <v>10</v>
      </c>
      <c r="AE48" s="35" t="n">
        <v>2.5</v>
      </c>
      <c r="AG48" s="35" t="n">
        <v>83</v>
      </c>
      <c r="AH48" s="58" t="n">
        <v>4</v>
      </c>
      <c r="AI48" s="35" t="n">
        <v>62</v>
      </c>
      <c r="AJ48" s="58" t="n">
        <v>2.5</v>
      </c>
      <c r="AK48" s="33" t="n">
        <v>6.29</v>
      </c>
    </row>
    <row r="49" customFormat="false" ht="15" hidden="false" customHeight="false" outlineLevel="0" collapsed="false">
      <c r="A49" s="55" t="n">
        <v>29175030</v>
      </c>
      <c r="B49" s="55" t="s">
        <v>197</v>
      </c>
      <c r="C49" s="55" t="s">
        <v>198</v>
      </c>
      <c r="D49" s="55" t="s">
        <v>199</v>
      </c>
      <c r="E49" s="55" t="n">
        <v>2018</v>
      </c>
      <c r="F49" s="55" t="s">
        <v>200</v>
      </c>
      <c r="G49" s="55" t="n">
        <v>1</v>
      </c>
      <c r="H49" s="31" t="s">
        <v>55</v>
      </c>
      <c r="I49" s="31" t="s">
        <v>34</v>
      </c>
      <c r="K49" s="31" t="n">
        <v>360</v>
      </c>
      <c r="L49" s="31" t="n">
        <v>1</v>
      </c>
      <c r="M49" s="62" t="n">
        <v>21</v>
      </c>
      <c r="N49" s="33" t="n">
        <f aca="false">M49*K49</f>
        <v>7560</v>
      </c>
      <c r="P49" s="31" t="n">
        <v>1</v>
      </c>
      <c r="Q49" s="31" t="n">
        <v>1</v>
      </c>
      <c r="R49" s="31" t="n">
        <v>23</v>
      </c>
      <c r="S49" s="31" t="n">
        <v>23</v>
      </c>
      <c r="T49" s="34" t="s">
        <v>71</v>
      </c>
      <c r="U49" s="35" t="n">
        <v>83</v>
      </c>
      <c r="V49" s="35" t="s">
        <v>48</v>
      </c>
      <c r="W49" s="36" t="n">
        <v>10</v>
      </c>
      <c r="Y49" s="35" t="n">
        <v>4</v>
      </c>
      <c r="AA49" s="35" t="n">
        <v>78</v>
      </c>
      <c r="AB49" s="35" t="s">
        <v>48</v>
      </c>
      <c r="AC49" s="36" t="n">
        <v>10</v>
      </c>
      <c r="AE49" s="35" t="n">
        <v>5</v>
      </c>
      <c r="AG49" s="35" t="n">
        <v>83</v>
      </c>
      <c r="AH49" s="58" t="n">
        <v>4</v>
      </c>
      <c r="AI49" s="35" t="n">
        <v>78</v>
      </c>
      <c r="AJ49" s="58" t="n">
        <v>5</v>
      </c>
      <c r="AK49" s="33" t="n">
        <v>1.1</v>
      </c>
    </row>
    <row r="50" customFormat="false" ht="15" hidden="false" customHeight="false" outlineLevel="0" collapsed="false">
      <c r="A50" s="55" t="n">
        <v>29175030</v>
      </c>
      <c r="B50" s="55" t="s">
        <v>197</v>
      </c>
      <c r="C50" s="55" t="s">
        <v>198</v>
      </c>
      <c r="D50" s="55" t="s">
        <v>199</v>
      </c>
      <c r="E50" s="55" t="n">
        <v>2018</v>
      </c>
      <c r="F50" s="55" t="s">
        <v>200</v>
      </c>
      <c r="G50" s="55" t="n">
        <v>1</v>
      </c>
      <c r="H50" s="31" t="s">
        <v>55</v>
      </c>
      <c r="I50" s="31" t="s">
        <v>34</v>
      </c>
      <c r="K50" s="31" t="n">
        <v>360</v>
      </c>
      <c r="L50" s="31" t="n">
        <v>1</v>
      </c>
      <c r="M50" s="62" t="n">
        <v>28</v>
      </c>
      <c r="N50" s="33" t="n">
        <f aca="false">M50*K50</f>
        <v>10080</v>
      </c>
      <c r="P50" s="31" t="n">
        <v>1</v>
      </c>
      <c r="Q50" s="31" t="n">
        <v>1</v>
      </c>
      <c r="R50" s="31" t="n">
        <v>23</v>
      </c>
      <c r="S50" s="31" t="n">
        <v>23</v>
      </c>
      <c r="T50" s="34" t="s">
        <v>71</v>
      </c>
      <c r="U50" s="35" t="n">
        <v>83</v>
      </c>
      <c r="V50" s="35" t="s">
        <v>48</v>
      </c>
      <c r="W50" s="36" t="n">
        <v>10</v>
      </c>
      <c r="Y50" s="35" t="n">
        <v>4</v>
      </c>
      <c r="AA50" s="35" t="n">
        <v>80</v>
      </c>
      <c r="AB50" s="35" t="s">
        <v>48</v>
      </c>
      <c r="AC50" s="36" t="n">
        <v>10</v>
      </c>
      <c r="AE50" s="35" t="n">
        <v>4</v>
      </c>
      <c r="AG50" s="35" t="n">
        <v>83</v>
      </c>
      <c r="AH50" s="58" t="n">
        <v>4</v>
      </c>
      <c r="AI50" s="35" t="n">
        <v>80</v>
      </c>
      <c r="AJ50" s="58" t="n">
        <v>4</v>
      </c>
      <c r="AK50" s="33" t="n">
        <v>0.75</v>
      </c>
    </row>
    <row r="51" customFormat="false" ht="15" hidden="false" customHeight="false" outlineLevel="0" collapsed="false">
      <c r="A51" s="55" t="n">
        <v>29175030</v>
      </c>
      <c r="B51" s="55" t="s">
        <v>197</v>
      </c>
      <c r="C51" s="55" t="s">
        <v>198</v>
      </c>
      <c r="D51" s="55" t="s">
        <v>199</v>
      </c>
      <c r="E51" s="55" t="n">
        <v>2018</v>
      </c>
      <c r="F51" s="55" t="s">
        <v>200</v>
      </c>
      <c r="G51" s="55" t="n">
        <v>1</v>
      </c>
      <c r="H51" s="31" t="s">
        <v>55</v>
      </c>
      <c r="I51" s="31" t="s">
        <v>34</v>
      </c>
      <c r="K51" s="31" t="n">
        <v>360</v>
      </c>
      <c r="L51" s="31" t="n">
        <v>1</v>
      </c>
      <c r="M51" s="62" t="n">
        <v>35</v>
      </c>
      <c r="N51" s="33" t="n">
        <f aca="false">M51*K51</f>
        <v>12600</v>
      </c>
      <c r="P51" s="31" t="n">
        <v>1</v>
      </c>
      <c r="Q51" s="31" t="n">
        <v>1</v>
      </c>
      <c r="R51" s="31" t="n">
        <v>23</v>
      </c>
      <c r="S51" s="31" t="n">
        <v>23</v>
      </c>
      <c r="T51" s="34" t="s">
        <v>71</v>
      </c>
      <c r="U51" s="35" t="n">
        <v>83</v>
      </c>
      <c r="V51" s="35" t="s">
        <v>48</v>
      </c>
      <c r="W51" s="36" t="n">
        <v>10</v>
      </c>
      <c r="Y51" s="35" t="n">
        <v>4</v>
      </c>
      <c r="AA51" s="35" t="n">
        <v>81</v>
      </c>
      <c r="AB51" s="35" t="s">
        <v>48</v>
      </c>
      <c r="AC51" s="36" t="n">
        <v>10</v>
      </c>
      <c r="AE51" s="35" t="n">
        <v>4</v>
      </c>
      <c r="AG51" s="35" t="n">
        <v>83</v>
      </c>
      <c r="AH51" s="58" t="n">
        <v>4</v>
      </c>
      <c r="AI51" s="35" t="n">
        <v>81</v>
      </c>
      <c r="AJ51" s="58" t="n">
        <v>4</v>
      </c>
      <c r="AK51" s="33" t="n">
        <v>0.5</v>
      </c>
    </row>
    <row r="52" customFormat="false" ht="15" hidden="false" customHeight="false" outlineLevel="0" collapsed="false">
      <c r="A52" s="31" t="n">
        <v>28763303</v>
      </c>
      <c r="B52" s="31" t="s">
        <v>204</v>
      </c>
      <c r="C52" s="31" t="s">
        <v>205</v>
      </c>
      <c r="D52" s="31" t="s">
        <v>183</v>
      </c>
      <c r="E52" s="31" t="n">
        <v>2018</v>
      </c>
      <c r="F52" s="31" t="s">
        <v>206</v>
      </c>
      <c r="G52" s="31" t="n">
        <v>1</v>
      </c>
      <c r="H52" s="31" t="s">
        <v>55</v>
      </c>
      <c r="I52" s="31" t="s">
        <v>34</v>
      </c>
      <c r="K52" s="31" t="n">
        <v>360</v>
      </c>
      <c r="L52" s="31" t="n">
        <v>1</v>
      </c>
      <c r="M52" s="33" t="n">
        <v>28</v>
      </c>
      <c r="N52" s="33" t="n">
        <f aca="false">M52*K52</f>
        <v>10080</v>
      </c>
      <c r="P52" s="31" t="n">
        <v>2</v>
      </c>
      <c r="Q52" s="31" t="n">
        <v>1</v>
      </c>
      <c r="R52" s="31" t="n">
        <v>24</v>
      </c>
      <c r="S52" s="31" t="n">
        <v>24</v>
      </c>
      <c r="T52" s="34" t="n">
        <v>2</v>
      </c>
      <c r="U52" s="35" t="n">
        <v>77</v>
      </c>
      <c r="V52" s="35" t="n">
        <v>3.8</v>
      </c>
      <c r="W52" s="36" t="n">
        <v>12</v>
      </c>
      <c r="X52" s="36" t="n">
        <v>12</v>
      </c>
      <c r="Y52" s="57" t="n">
        <f aca="false">V52*(SQRT(X52))</f>
        <v>13.1635861375235</v>
      </c>
      <c r="AA52" s="35" t="n">
        <v>54</v>
      </c>
      <c r="AB52" s="35" t="n">
        <v>2.3</v>
      </c>
      <c r="AC52" s="36" t="n">
        <v>12</v>
      </c>
      <c r="AD52" s="36" t="n">
        <v>12</v>
      </c>
      <c r="AE52" s="57" t="n">
        <f aca="false">AB52*(SQRT(AD52))</f>
        <v>7.96743371481684</v>
      </c>
      <c r="AG52" s="35" t="n">
        <v>77</v>
      </c>
      <c r="AH52" s="58" t="n">
        <v>13.1635861375235</v>
      </c>
      <c r="AI52" s="35" t="n">
        <v>54</v>
      </c>
      <c r="AJ52" s="58" t="n">
        <v>7.96743371481684</v>
      </c>
      <c r="AK52" s="33" t="n">
        <v>2.11</v>
      </c>
    </row>
    <row r="53" customFormat="false" ht="15" hidden="false" customHeight="false" outlineLevel="0" collapsed="false">
      <c r="A53" s="31" t="n">
        <v>28420875</v>
      </c>
      <c r="B53" s="31" t="s">
        <v>208</v>
      </c>
      <c r="C53" s="31" t="s">
        <v>209</v>
      </c>
      <c r="D53" s="31" t="s">
        <v>210</v>
      </c>
      <c r="E53" s="31" t="n">
        <v>2017</v>
      </c>
      <c r="F53" s="31" t="s">
        <v>211</v>
      </c>
      <c r="G53" s="31" t="n">
        <v>1</v>
      </c>
      <c r="H53" s="31" t="s">
        <v>27</v>
      </c>
      <c r="I53" s="31" t="s">
        <v>34</v>
      </c>
      <c r="K53" s="31" t="n">
        <v>120</v>
      </c>
      <c r="L53" s="31" t="n">
        <v>1</v>
      </c>
      <c r="M53" s="33" t="n">
        <v>14</v>
      </c>
      <c r="N53" s="33" t="n">
        <f aca="false">M53*K53</f>
        <v>1680</v>
      </c>
      <c r="O53" s="31" t="s">
        <v>365</v>
      </c>
      <c r="P53" s="31" t="n">
        <v>1</v>
      </c>
      <c r="Q53" s="31" t="n">
        <v>1</v>
      </c>
      <c r="R53" s="31" t="n">
        <v>12</v>
      </c>
      <c r="S53" s="31" t="n">
        <v>12</v>
      </c>
      <c r="T53" s="34" t="s">
        <v>366</v>
      </c>
      <c r="U53" s="35" t="n">
        <v>85</v>
      </c>
      <c r="V53" s="35" t="n">
        <v>2.4</v>
      </c>
      <c r="W53" s="36" t="n">
        <v>20</v>
      </c>
      <c r="X53" s="36" t="n">
        <v>20</v>
      </c>
      <c r="Y53" s="57" t="n">
        <f aca="false">V53*(SQRT(X53))</f>
        <v>10.733126291999</v>
      </c>
      <c r="AA53" s="35" t="n">
        <v>62</v>
      </c>
      <c r="AB53" s="35" t="n">
        <v>6</v>
      </c>
      <c r="AC53" s="36" t="n">
        <v>20</v>
      </c>
      <c r="AD53" s="36" t="n">
        <v>20</v>
      </c>
      <c r="AE53" s="57" t="n">
        <f aca="false">AB53*(SQRT(AD53))</f>
        <v>26.8328157299975</v>
      </c>
      <c r="AG53" s="35" t="n">
        <v>85</v>
      </c>
      <c r="AH53" s="58" t="n">
        <v>10.733126291999</v>
      </c>
      <c r="AI53" s="35" t="n">
        <v>62</v>
      </c>
      <c r="AJ53" s="58" t="n">
        <v>26.8328157299975</v>
      </c>
      <c r="AK53" s="33" t="n">
        <v>1.12</v>
      </c>
    </row>
    <row r="54" customFormat="false" ht="15" hidden="false" customHeight="false" outlineLevel="0" collapsed="false">
      <c r="A54" s="31" t="n">
        <v>28388904</v>
      </c>
      <c r="B54" s="31" t="s">
        <v>367</v>
      </c>
      <c r="C54" s="31" t="s">
        <v>368</v>
      </c>
      <c r="D54" s="31" t="s">
        <v>369</v>
      </c>
      <c r="E54" s="31" t="n">
        <v>2017</v>
      </c>
      <c r="F54" s="31" t="s">
        <v>370</v>
      </c>
      <c r="G54" s="31" t="n">
        <v>1</v>
      </c>
      <c r="H54" s="31" t="s">
        <v>27</v>
      </c>
      <c r="I54" s="31" t="s">
        <v>34</v>
      </c>
      <c r="K54" s="31" t="n">
        <v>360</v>
      </c>
      <c r="L54" s="31" t="n">
        <v>1</v>
      </c>
      <c r="M54" s="33" t="n">
        <v>63</v>
      </c>
      <c r="N54" s="33" t="n">
        <f aca="false">M54*K54</f>
        <v>22680</v>
      </c>
      <c r="P54" s="31" t="n">
        <v>1</v>
      </c>
      <c r="Q54" s="31" t="n">
        <v>1</v>
      </c>
      <c r="R54" s="31" t="n">
        <v>24</v>
      </c>
      <c r="S54" s="31" t="n">
        <v>24</v>
      </c>
      <c r="T54" s="34" t="s">
        <v>71</v>
      </c>
      <c r="U54" s="35" t="n">
        <v>78</v>
      </c>
      <c r="V54" s="35" t="s">
        <v>48</v>
      </c>
      <c r="W54" s="36" t="n">
        <v>10</v>
      </c>
      <c r="Y54" s="35" t="n">
        <v>9</v>
      </c>
      <c r="AA54" s="35" t="n">
        <v>49</v>
      </c>
      <c r="AB54" s="35" t="s">
        <v>48</v>
      </c>
      <c r="AC54" s="36" t="n">
        <v>10</v>
      </c>
      <c r="AE54" s="35" t="n">
        <v>17</v>
      </c>
      <c r="AG54" s="35" t="n">
        <v>78</v>
      </c>
      <c r="AH54" s="58" t="n">
        <v>9</v>
      </c>
      <c r="AI54" s="35" t="n">
        <v>49</v>
      </c>
      <c r="AJ54" s="58" t="n">
        <v>17</v>
      </c>
      <c r="AK54" s="33" t="n">
        <v>2.21</v>
      </c>
    </row>
    <row r="55" customFormat="false" ht="15" hidden="false" customHeight="false" outlineLevel="0" collapsed="false">
      <c r="A55" s="31" t="n">
        <v>27346276</v>
      </c>
      <c r="B55" s="31" t="s">
        <v>224</v>
      </c>
      <c r="C55" s="31" t="s">
        <v>225</v>
      </c>
      <c r="D55" s="31" t="s">
        <v>38</v>
      </c>
      <c r="E55" s="31" t="n">
        <v>2016</v>
      </c>
      <c r="F55" s="31" t="s">
        <v>226</v>
      </c>
      <c r="G55" s="31" t="n">
        <v>1</v>
      </c>
      <c r="H55" s="31" t="s">
        <v>55</v>
      </c>
      <c r="I55" s="31" t="s">
        <v>34</v>
      </c>
      <c r="K55" s="31" t="n">
        <v>360</v>
      </c>
      <c r="L55" s="31" t="n">
        <v>1</v>
      </c>
      <c r="M55" s="33" t="n">
        <v>21</v>
      </c>
      <c r="N55" s="33" t="n">
        <f aca="false">M55*K55</f>
        <v>7560</v>
      </c>
      <c r="P55" s="31" t="n">
        <v>1</v>
      </c>
      <c r="Q55" s="31" t="n">
        <v>1</v>
      </c>
      <c r="R55" s="31" t="n">
        <v>23</v>
      </c>
      <c r="S55" s="31" t="n">
        <v>23</v>
      </c>
      <c r="T55" s="34" t="s">
        <v>266</v>
      </c>
      <c r="U55" s="35" t="n">
        <v>81</v>
      </c>
      <c r="V55" s="35" t="s">
        <v>48</v>
      </c>
      <c r="W55" s="36" t="n">
        <v>10</v>
      </c>
      <c r="Y55" s="35" t="n">
        <v>8</v>
      </c>
      <c r="AA55" s="35" t="n">
        <v>65</v>
      </c>
      <c r="AB55" s="35" t="s">
        <v>48</v>
      </c>
      <c r="AC55" s="36" t="n">
        <v>10</v>
      </c>
      <c r="AE55" s="35" t="n">
        <v>8</v>
      </c>
      <c r="AG55" s="35" t="n">
        <v>81</v>
      </c>
      <c r="AH55" s="58" t="n">
        <v>8</v>
      </c>
      <c r="AI55" s="35" t="n">
        <v>65</v>
      </c>
      <c r="AJ55" s="58" t="n">
        <v>8</v>
      </c>
      <c r="AK55" s="33" t="n">
        <v>2</v>
      </c>
    </row>
    <row r="56" customFormat="false" ht="15" hidden="false" customHeight="false" outlineLevel="0" collapsed="false">
      <c r="A56" s="55" t="n">
        <v>26947756</v>
      </c>
      <c r="B56" s="55" t="s">
        <v>239</v>
      </c>
      <c r="C56" s="55" t="s">
        <v>240</v>
      </c>
      <c r="D56" s="55" t="s">
        <v>74</v>
      </c>
      <c r="E56" s="55" t="n">
        <v>2016</v>
      </c>
      <c r="F56" s="55" t="s">
        <v>241</v>
      </c>
      <c r="G56" s="55" t="n">
        <v>1</v>
      </c>
      <c r="H56" s="31" t="s">
        <v>27</v>
      </c>
      <c r="I56" s="31" t="s">
        <v>34</v>
      </c>
      <c r="K56" s="31" t="n">
        <v>360</v>
      </c>
      <c r="L56" s="31" t="n">
        <v>1</v>
      </c>
      <c r="M56" s="62" t="n">
        <v>7</v>
      </c>
      <c r="N56" s="33" t="n">
        <f aca="false">M56*K56</f>
        <v>2520</v>
      </c>
      <c r="P56" s="31" t="n">
        <v>1</v>
      </c>
      <c r="Q56" s="31" t="n">
        <v>1</v>
      </c>
      <c r="R56" s="31" t="n">
        <v>6</v>
      </c>
      <c r="S56" s="31" t="n">
        <v>6</v>
      </c>
      <c r="T56" s="34" t="s">
        <v>134</v>
      </c>
      <c r="U56" s="35" t="n">
        <v>69</v>
      </c>
      <c r="V56" s="35" t="n">
        <v>2.5</v>
      </c>
      <c r="W56" s="36" t="n">
        <v>8</v>
      </c>
      <c r="X56" s="36" t="n">
        <v>8</v>
      </c>
      <c r="Y56" s="57" t="n">
        <f aca="false">V56*(SQRT(X56))</f>
        <v>7.07106781186548</v>
      </c>
      <c r="AA56" s="35" t="n">
        <v>58</v>
      </c>
      <c r="AB56" s="35" t="n">
        <v>7</v>
      </c>
      <c r="AC56" s="36" t="n">
        <v>8</v>
      </c>
      <c r="AD56" s="36" t="n">
        <v>8</v>
      </c>
      <c r="AE56" s="57" t="n">
        <f aca="false">AB56*(SQRT(AD56))</f>
        <v>19.7989898732233</v>
      </c>
      <c r="AG56" s="35" t="n">
        <v>69</v>
      </c>
      <c r="AH56" s="58" t="n">
        <v>7.07106781186548</v>
      </c>
      <c r="AI56" s="35" t="n">
        <v>58</v>
      </c>
      <c r="AJ56" s="58" t="n">
        <v>19.7989898732233</v>
      </c>
      <c r="AK56" s="33" t="n">
        <v>0.74</v>
      </c>
    </row>
    <row r="57" customFormat="false" ht="15" hidden="false" customHeight="false" outlineLevel="0" collapsed="false">
      <c r="A57" s="55" t="n">
        <v>26947756</v>
      </c>
      <c r="B57" s="55" t="s">
        <v>239</v>
      </c>
      <c r="C57" s="55" t="s">
        <v>240</v>
      </c>
      <c r="D57" s="55" t="s">
        <v>74</v>
      </c>
      <c r="E57" s="55" t="n">
        <v>2016</v>
      </c>
      <c r="F57" s="55" t="s">
        <v>241</v>
      </c>
      <c r="G57" s="55" t="n">
        <v>1</v>
      </c>
      <c r="H57" s="31" t="s">
        <v>27</v>
      </c>
      <c r="I57" s="31" t="s">
        <v>34</v>
      </c>
      <c r="K57" s="31" t="n">
        <v>360</v>
      </c>
      <c r="L57" s="31" t="n">
        <v>1</v>
      </c>
      <c r="M57" s="62" t="n">
        <v>14</v>
      </c>
      <c r="N57" s="33" t="n">
        <f aca="false">M57*K57</f>
        <v>5040</v>
      </c>
      <c r="P57" s="31" t="n">
        <v>1</v>
      </c>
      <c r="Q57" s="31" t="n">
        <v>1</v>
      </c>
      <c r="R57" s="31" t="n">
        <v>6</v>
      </c>
      <c r="S57" s="31" t="n">
        <v>6</v>
      </c>
      <c r="T57" s="34" t="s">
        <v>134</v>
      </c>
      <c r="U57" s="35" t="n">
        <v>69</v>
      </c>
      <c r="V57" s="35" t="n">
        <v>2.5</v>
      </c>
      <c r="W57" s="36" t="n">
        <v>8</v>
      </c>
      <c r="X57" s="36" t="n">
        <v>8</v>
      </c>
      <c r="Y57" s="57" t="n">
        <f aca="false">V57*(SQRT(X57))</f>
        <v>7.07106781186548</v>
      </c>
      <c r="AA57" s="35" t="n">
        <v>52</v>
      </c>
      <c r="AB57" s="35" t="n">
        <v>9</v>
      </c>
      <c r="AC57" s="36" t="n">
        <v>8</v>
      </c>
      <c r="AD57" s="36" t="n">
        <v>8</v>
      </c>
      <c r="AE57" s="57" t="n">
        <f aca="false">AB57*(SQRT(AD57))</f>
        <v>25.4558441227157</v>
      </c>
      <c r="AG57" s="35" t="n">
        <v>69</v>
      </c>
      <c r="AH57" s="58" t="n">
        <v>7.07106781186548</v>
      </c>
      <c r="AI57" s="35" t="n">
        <v>52</v>
      </c>
      <c r="AJ57" s="58" t="n">
        <v>25.4558441227157</v>
      </c>
      <c r="AK57" s="33" t="n">
        <v>0.91</v>
      </c>
    </row>
    <row r="58" customFormat="false" ht="15" hidden="false" customHeight="false" outlineLevel="0" collapsed="false">
      <c r="A58" s="55" t="n">
        <v>26947756</v>
      </c>
      <c r="B58" s="55" t="s">
        <v>239</v>
      </c>
      <c r="C58" s="55" t="s">
        <v>240</v>
      </c>
      <c r="D58" s="55" t="s">
        <v>74</v>
      </c>
      <c r="E58" s="55" t="n">
        <v>2016</v>
      </c>
      <c r="F58" s="55" t="s">
        <v>241</v>
      </c>
      <c r="G58" s="55" t="n">
        <v>1</v>
      </c>
      <c r="H58" s="31" t="s">
        <v>27</v>
      </c>
      <c r="I58" s="31" t="s">
        <v>34</v>
      </c>
      <c r="K58" s="31" t="n">
        <v>360</v>
      </c>
      <c r="L58" s="31" t="n">
        <v>1</v>
      </c>
      <c r="M58" s="62" t="n">
        <v>21</v>
      </c>
      <c r="N58" s="33" t="n">
        <f aca="false">M58*K58</f>
        <v>7560</v>
      </c>
      <c r="P58" s="31" t="n">
        <v>1</v>
      </c>
      <c r="Q58" s="31" t="n">
        <v>1</v>
      </c>
      <c r="R58" s="31" t="n">
        <v>6</v>
      </c>
      <c r="S58" s="31" t="n">
        <v>6</v>
      </c>
      <c r="T58" s="34" t="s">
        <v>134</v>
      </c>
      <c r="U58" s="35" t="n">
        <v>69</v>
      </c>
      <c r="V58" s="35" t="n">
        <v>2.5</v>
      </c>
      <c r="W58" s="36" t="n">
        <v>8</v>
      </c>
      <c r="X58" s="36" t="n">
        <v>8</v>
      </c>
      <c r="Y58" s="57" t="n">
        <f aca="false">V58*(SQRT(X58))</f>
        <v>7.07106781186548</v>
      </c>
      <c r="AA58" s="35" t="n">
        <v>47</v>
      </c>
      <c r="AB58" s="35" t="n">
        <v>6</v>
      </c>
      <c r="AC58" s="36" t="n">
        <v>8</v>
      </c>
      <c r="AD58" s="36" t="n">
        <v>8</v>
      </c>
      <c r="AE58" s="57" t="n">
        <f aca="false">AB58*(SQRT(AD58))</f>
        <v>16.9705627484771</v>
      </c>
      <c r="AG58" s="35" t="n">
        <v>69</v>
      </c>
      <c r="AH58" s="58" t="n">
        <v>7.07106781186548</v>
      </c>
      <c r="AI58" s="35" t="n">
        <v>47</v>
      </c>
      <c r="AJ58" s="58" t="n">
        <v>16.9705627484771</v>
      </c>
      <c r="AK58" s="33" t="n">
        <v>1.69</v>
      </c>
    </row>
    <row r="59" customFormat="false" ht="15" hidden="false" customHeight="false" outlineLevel="0" collapsed="false">
      <c r="A59" s="55" t="n">
        <v>26010004</v>
      </c>
      <c r="B59" s="55" t="s">
        <v>252</v>
      </c>
      <c r="C59" s="55" t="s">
        <v>253</v>
      </c>
      <c r="D59" s="55" t="s">
        <v>254</v>
      </c>
      <c r="E59" s="55" t="n">
        <v>2015</v>
      </c>
      <c r="F59" s="55" t="s">
        <v>255</v>
      </c>
      <c r="G59" s="55" t="n">
        <v>1</v>
      </c>
      <c r="H59" s="31" t="s">
        <v>27</v>
      </c>
      <c r="I59" s="31" t="s">
        <v>34</v>
      </c>
      <c r="K59" s="33" t="n">
        <v>150</v>
      </c>
      <c r="L59" s="31" t="n">
        <v>1</v>
      </c>
      <c r="M59" s="55" t="n">
        <v>7</v>
      </c>
      <c r="N59" s="33" t="n">
        <f aca="false">M59*K59</f>
        <v>1050</v>
      </c>
      <c r="P59" s="56"/>
      <c r="Q59" s="31" t="n">
        <v>1</v>
      </c>
      <c r="R59" s="31" t="n">
        <v>1</v>
      </c>
      <c r="S59" s="31" t="n">
        <v>1</v>
      </c>
      <c r="T59" s="34" t="n">
        <v>2</v>
      </c>
      <c r="U59" s="35" t="n">
        <v>90</v>
      </c>
      <c r="V59" s="35" t="n">
        <v>5</v>
      </c>
      <c r="W59" s="36" t="n">
        <v>8</v>
      </c>
      <c r="X59" s="36" t="n">
        <v>8</v>
      </c>
      <c r="Y59" s="57" t="n">
        <f aca="false">V59*(SQRT(X59))</f>
        <v>14.142135623731</v>
      </c>
      <c r="AA59" s="35" t="n">
        <v>48</v>
      </c>
      <c r="AB59" s="35" t="n">
        <v>6.5</v>
      </c>
      <c r="AC59" s="36" t="n">
        <v>8</v>
      </c>
      <c r="AD59" s="36" t="n">
        <v>8</v>
      </c>
      <c r="AE59" s="57" t="n">
        <f aca="false">AB59*(SQRT(AD59))</f>
        <v>18.3847763108502</v>
      </c>
      <c r="AG59" s="35" t="n">
        <v>90</v>
      </c>
      <c r="AH59" s="58" t="n">
        <v>14.142135623731</v>
      </c>
      <c r="AI59" s="35" t="n">
        <v>48</v>
      </c>
      <c r="AJ59" s="58" t="n">
        <v>18.3847763108502</v>
      </c>
      <c r="AK59" s="33" t="n">
        <v>2.56</v>
      </c>
    </row>
    <row r="60" customFormat="false" ht="15" hidden="false" customHeight="false" outlineLevel="0" collapsed="false">
      <c r="A60" s="55" t="n">
        <v>26010004</v>
      </c>
      <c r="B60" s="55" t="s">
        <v>252</v>
      </c>
      <c r="C60" s="55" t="s">
        <v>253</v>
      </c>
      <c r="D60" s="55" t="s">
        <v>254</v>
      </c>
      <c r="E60" s="55" t="n">
        <v>2015</v>
      </c>
      <c r="F60" s="55" t="s">
        <v>255</v>
      </c>
      <c r="G60" s="55" t="n">
        <v>1</v>
      </c>
      <c r="H60" s="31" t="s">
        <v>27</v>
      </c>
      <c r="I60" s="31" t="s">
        <v>34</v>
      </c>
      <c r="K60" s="33" t="n">
        <v>150</v>
      </c>
      <c r="L60" s="31" t="n">
        <v>1</v>
      </c>
      <c r="M60" s="55" t="n">
        <v>14</v>
      </c>
      <c r="N60" s="33" t="n">
        <f aca="false">M60*K60</f>
        <v>2100</v>
      </c>
      <c r="P60" s="56"/>
      <c r="Q60" s="31" t="n">
        <v>1</v>
      </c>
      <c r="R60" s="31" t="n">
        <v>1</v>
      </c>
      <c r="S60" s="31" t="n">
        <v>1</v>
      </c>
      <c r="T60" s="34" t="n">
        <v>2</v>
      </c>
      <c r="U60" s="35" t="n">
        <v>90</v>
      </c>
      <c r="V60" s="35" t="n">
        <v>5</v>
      </c>
      <c r="W60" s="36" t="n">
        <v>8</v>
      </c>
      <c r="X60" s="36" t="n">
        <v>8</v>
      </c>
      <c r="Y60" s="57" t="n">
        <f aca="false">V60*(SQRT(X60))</f>
        <v>14.142135623731</v>
      </c>
      <c r="AA60" s="35" t="n">
        <v>59</v>
      </c>
      <c r="AB60" s="35" t="n">
        <v>4</v>
      </c>
      <c r="AC60" s="36" t="n">
        <v>8</v>
      </c>
      <c r="AD60" s="36" t="n">
        <v>8</v>
      </c>
      <c r="AE60" s="57" t="n">
        <f aca="false">AB60*(SQRT(AD60))</f>
        <v>11.3137084989848</v>
      </c>
      <c r="AG60" s="35" t="n">
        <v>90</v>
      </c>
      <c r="AH60" s="58" t="n">
        <v>14.142135623731</v>
      </c>
      <c r="AI60" s="35" t="n">
        <v>59</v>
      </c>
      <c r="AJ60" s="58" t="n">
        <v>11.3137084989848</v>
      </c>
      <c r="AK60" s="33" t="n">
        <v>2.42</v>
      </c>
    </row>
    <row r="61" customFormat="false" ht="15" hidden="false" customHeight="false" outlineLevel="0" collapsed="false">
      <c r="A61" s="31" t="n">
        <v>25446675</v>
      </c>
      <c r="B61" s="31" t="s">
        <v>262</v>
      </c>
      <c r="C61" s="31" t="s">
        <v>263</v>
      </c>
      <c r="D61" s="31" t="s">
        <v>264</v>
      </c>
      <c r="E61" s="31" t="n">
        <v>2015</v>
      </c>
      <c r="F61" s="31" t="s">
        <v>265</v>
      </c>
      <c r="G61" s="31" t="n">
        <v>1</v>
      </c>
      <c r="H61" s="31" t="s">
        <v>27</v>
      </c>
      <c r="I61" s="31" t="s">
        <v>34</v>
      </c>
      <c r="J61" s="32" t="s">
        <v>96</v>
      </c>
      <c r="K61" s="31" t="n">
        <v>240</v>
      </c>
      <c r="L61" s="31" t="n">
        <v>1</v>
      </c>
      <c r="M61" s="33" t="n">
        <v>10</v>
      </c>
      <c r="N61" s="33" t="n">
        <f aca="false">M61*K61</f>
        <v>2400</v>
      </c>
      <c r="P61" s="31" t="n">
        <v>4</v>
      </c>
      <c r="Q61" s="31" t="n">
        <v>1</v>
      </c>
      <c r="R61" s="56"/>
      <c r="S61" s="56"/>
      <c r="T61" s="34" t="s">
        <v>152</v>
      </c>
      <c r="U61" s="35" t="n">
        <v>87</v>
      </c>
      <c r="V61" s="35" t="s">
        <v>48</v>
      </c>
      <c r="W61" s="36" t="n">
        <v>7</v>
      </c>
      <c r="Y61" s="35" t="n">
        <v>3.8</v>
      </c>
      <c r="AA61" s="35" t="n">
        <v>66</v>
      </c>
      <c r="AB61" s="35" t="s">
        <v>48</v>
      </c>
      <c r="AC61" s="36" t="n">
        <v>7</v>
      </c>
      <c r="AE61" s="35" t="n">
        <v>6</v>
      </c>
      <c r="AG61" s="35" t="n">
        <v>87</v>
      </c>
      <c r="AH61" s="58" t="n">
        <v>3.8</v>
      </c>
      <c r="AI61" s="35" t="n">
        <v>66</v>
      </c>
      <c r="AJ61" s="58" t="n">
        <v>6</v>
      </c>
      <c r="AK61" s="33" t="n">
        <v>4.18</v>
      </c>
    </row>
    <row r="62" customFormat="false" ht="15" hidden="false" customHeight="false" outlineLevel="0" collapsed="false">
      <c r="A62" s="55" t="n">
        <v>25315361</v>
      </c>
      <c r="B62" s="55" t="s">
        <v>268</v>
      </c>
      <c r="C62" s="55" t="s">
        <v>269</v>
      </c>
      <c r="D62" s="55" t="s">
        <v>94</v>
      </c>
      <c r="E62" s="55" t="n">
        <v>2015</v>
      </c>
      <c r="F62" s="55" t="s">
        <v>270</v>
      </c>
      <c r="G62" s="55" t="n">
        <v>1</v>
      </c>
      <c r="H62" s="31" t="s">
        <v>55</v>
      </c>
      <c r="I62" s="31" t="s">
        <v>34</v>
      </c>
      <c r="K62" s="31" t="n">
        <v>240</v>
      </c>
      <c r="L62" s="31" t="n">
        <v>1</v>
      </c>
      <c r="M62" s="62" t="n">
        <v>7</v>
      </c>
      <c r="N62" s="33" t="n">
        <f aca="false">M62*K62</f>
        <v>1680</v>
      </c>
      <c r="P62" s="31" t="n">
        <v>24</v>
      </c>
      <c r="Q62" s="31" t="n">
        <v>1</v>
      </c>
      <c r="R62" s="31" t="n">
        <v>0</v>
      </c>
      <c r="S62" s="31" t="n">
        <v>0</v>
      </c>
      <c r="T62" s="34" t="n">
        <v>2</v>
      </c>
      <c r="U62" s="35" t="n">
        <v>84</v>
      </c>
      <c r="V62" s="35" t="n">
        <v>2</v>
      </c>
      <c r="W62" s="32" t="s">
        <v>56</v>
      </c>
      <c r="X62" s="36" t="n">
        <v>8</v>
      </c>
      <c r="Y62" s="57" t="n">
        <f aca="false">V62*(SQRT(X62))</f>
        <v>5.65685424949238</v>
      </c>
      <c r="AA62" s="35" t="n">
        <v>74</v>
      </c>
      <c r="AB62" s="35" t="n">
        <v>3</v>
      </c>
      <c r="AC62" s="32" t="s">
        <v>56</v>
      </c>
      <c r="AD62" s="36" t="n">
        <v>8</v>
      </c>
      <c r="AE62" s="57" t="n">
        <f aca="false">AB62*(SQRT(AD62))</f>
        <v>8.48528137423857</v>
      </c>
      <c r="AG62" s="35" t="n">
        <v>84</v>
      </c>
      <c r="AH62" s="58" t="n">
        <v>5.65685424949238</v>
      </c>
      <c r="AI62" s="35" t="n">
        <v>74</v>
      </c>
      <c r="AJ62" s="58" t="n">
        <v>8.48528137423857</v>
      </c>
      <c r="AK62" s="33" t="n">
        <v>1.38</v>
      </c>
    </row>
    <row r="63" customFormat="false" ht="15" hidden="false" customHeight="false" outlineLevel="0" collapsed="false">
      <c r="A63" s="55" t="n">
        <v>25315361</v>
      </c>
      <c r="B63" s="55" t="s">
        <v>268</v>
      </c>
      <c r="C63" s="55" t="s">
        <v>269</v>
      </c>
      <c r="D63" s="55" t="s">
        <v>94</v>
      </c>
      <c r="E63" s="55" t="n">
        <v>2015</v>
      </c>
      <c r="F63" s="55" t="s">
        <v>270</v>
      </c>
      <c r="G63" s="55" t="n">
        <v>1</v>
      </c>
      <c r="H63" s="31" t="s">
        <v>55</v>
      </c>
      <c r="I63" s="31" t="s">
        <v>34</v>
      </c>
      <c r="K63" s="31" t="n">
        <v>240</v>
      </c>
      <c r="L63" s="31" t="n">
        <v>1</v>
      </c>
      <c r="M63" s="62" t="n">
        <v>14</v>
      </c>
      <c r="N63" s="33" t="n">
        <f aca="false">M63*K63</f>
        <v>3360</v>
      </c>
      <c r="P63" s="31" t="n">
        <v>24</v>
      </c>
      <c r="Q63" s="31" t="n">
        <v>1</v>
      </c>
      <c r="R63" s="31" t="n">
        <v>0</v>
      </c>
      <c r="S63" s="31" t="n">
        <v>0</v>
      </c>
      <c r="T63" s="34" t="n">
        <v>2</v>
      </c>
      <c r="U63" s="35" t="n">
        <v>84</v>
      </c>
      <c r="V63" s="35" t="n">
        <v>2</v>
      </c>
      <c r="W63" s="32" t="s">
        <v>56</v>
      </c>
      <c r="X63" s="36" t="n">
        <v>8</v>
      </c>
      <c r="Y63" s="57" t="n">
        <f aca="false">V63*(SQRT(X63))</f>
        <v>5.65685424949238</v>
      </c>
      <c r="AA63" s="35" t="n">
        <v>67</v>
      </c>
      <c r="AB63" s="35" t="n">
        <v>2</v>
      </c>
      <c r="AC63" s="32" t="s">
        <v>56</v>
      </c>
      <c r="AD63" s="36" t="n">
        <v>8</v>
      </c>
      <c r="AE63" s="57" t="n">
        <f aca="false">AB63*(SQRT(AD63))</f>
        <v>5.65685424949238</v>
      </c>
      <c r="AG63" s="35" t="n">
        <v>84</v>
      </c>
      <c r="AH63" s="58" t="n">
        <v>5.65685424949238</v>
      </c>
      <c r="AI63" s="35" t="n">
        <v>67</v>
      </c>
      <c r="AJ63" s="58" t="n">
        <v>5.65685424949238</v>
      </c>
      <c r="AK63" s="33" t="n">
        <v>2.98</v>
      </c>
    </row>
    <row r="64" customFormat="false" ht="15" hidden="false" customHeight="false" outlineLevel="0" collapsed="false">
      <c r="A64" s="55" t="n">
        <v>25315361</v>
      </c>
      <c r="B64" s="55" t="s">
        <v>268</v>
      </c>
      <c r="C64" s="55" t="s">
        <v>269</v>
      </c>
      <c r="D64" s="55" t="s">
        <v>94</v>
      </c>
      <c r="E64" s="55" t="n">
        <v>2015</v>
      </c>
      <c r="F64" s="55" t="s">
        <v>270</v>
      </c>
      <c r="G64" s="55" t="n">
        <v>1</v>
      </c>
      <c r="H64" s="31" t="s">
        <v>55</v>
      </c>
      <c r="I64" s="31" t="s">
        <v>34</v>
      </c>
      <c r="K64" s="31" t="n">
        <v>240</v>
      </c>
      <c r="L64" s="31" t="n">
        <v>1</v>
      </c>
      <c r="M64" s="62" t="n">
        <v>21</v>
      </c>
      <c r="N64" s="33" t="n">
        <f aca="false">M64*K64</f>
        <v>5040</v>
      </c>
      <c r="P64" s="31" t="n">
        <v>24</v>
      </c>
      <c r="Q64" s="31" t="n">
        <v>1</v>
      </c>
      <c r="R64" s="31" t="n">
        <v>0</v>
      </c>
      <c r="S64" s="31" t="n">
        <v>0</v>
      </c>
      <c r="T64" s="34" t="n">
        <v>2</v>
      </c>
      <c r="U64" s="35" t="n">
        <v>84</v>
      </c>
      <c r="V64" s="35" t="n">
        <v>2</v>
      </c>
      <c r="W64" s="32" t="s">
        <v>56</v>
      </c>
      <c r="X64" s="36" t="n">
        <v>8</v>
      </c>
      <c r="Y64" s="57" t="n">
        <f aca="false">V64*(SQRT(X64))</f>
        <v>5.65685424949238</v>
      </c>
      <c r="AA64" s="35" t="n">
        <v>61</v>
      </c>
      <c r="AB64" s="35" t="n">
        <v>3</v>
      </c>
      <c r="AC64" s="32" t="s">
        <v>56</v>
      </c>
      <c r="AD64" s="36" t="n">
        <v>8</v>
      </c>
      <c r="AE64" s="57" t="n">
        <f aca="false">AB64*(SQRT(AD64))</f>
        <v>8.48528137423857</v>
      </c>
      <c r="AG64" s="35" t="n">
        <v>84</v>
      </c>
      <c r="AH64" s="58" t="n">
        <v>5.65685424949238</v>
      </c>
      <c r="AI64" s="35" t="n">
        <v>61</v>
      </c>
      <c r="AJ64" s="58" t="n">
        <v>8.48528137423857</v>
      </c>
      <c r="AK64" s="33" t="n">
        <v>3.17</v>
      </c>
    </row>
    <row r="65" customFormat="false" ht="15" hidden="false" customHeight="false" outlineLevel="0" collapsed="false">
      <c r="A65" s="55" t="n">
        <v>25315361</v>
      </c>
      <c r="B65" s="55" t="s">
        <v>268</v>
      </c>
      <c r="C65" s="55" t="s">
        <v>269</v>
      </c>
      <c r="D65" s="55" t="s">
        <v>94</v>
      </c>
      <c r="E65" s="55" t="n">
        <v>2015</v>
      </c>
      <c r="F65" s="55" t="s">
        <v>270</v>
      </c>
      <c r="G65" s="55" t="n">
        <v>1</v>
      </c>
      <c r="H65" s="31" t="s">
        <v>55</v>
      </c>
      <c r="I65" s="31" t="s">
        <v>34</v>
      </c>
      <c r="K65" s="31" t="n">
        <v>240</v>
      </c>
      <c r="L65" s="31" t="n">
        <v>1</v>
      </c>
      <c r="M65" s="62" t="n">
        <v>28</v>
      </c>
      <c r="N65" s="33" t="n">
        <f aca="false">M65*K65</f>
        <v>6720</v>
      </c>
      <c r="P65" s="31" t="n">
        <v>24</v>
      </c>
      <c r="Q65" s="31" t="n">
        <v>1</v>
      </c>
      <c r="R65" s="31" t="n">
        <v>0</v>
      </c>
      <c r="S65" s="31" t="n">
        <v>0</v>
      </c>
      <c r="T65" s="34" t="n">
        <v>2</v>
      </c>
      <c r="U65" s="35" t="n">
        <v>84</v>
      </c>
      <c r="V65" s="35" t="n">
        <v>2</v>
      </c>
      <c r="W65" s="32" t="s">
        <v>56</v>
      </c>
      <c r="X65" s="36" t="n">
        <v>8</v>
      </c>
      <c r="Y65" s="57" t="n">
        <f aca="false">V65*(SQRT(X65))</f>
        <v>5.65685424949238</v>
      </c>
      <c r="AA65" s="35" t="n">
        <v>59</v>
      </c>
      <c r="AB65" s="35" t="n">
        <v>2</v>
      </c>
      <c r="AC65" s="32" t="s">
        <v>56</v>
      </c>
      <c r="AD65" s="36" t="n">
        <v>8</v>
      </c>
      <c r="AE65" s="57" t="n">
        <f aca="false">AB65*(SQRT(AD65))</f>
        <v>5.65685424949238</v>
      </c>
      <c r="AG65" s="35" t="n">
        <v>84</v>
      </c>
      <c r="AH65" s="58" t="n">
        <v>5.65685424949238</v>
      </c>
      <c r="AI65" s="35" t="n">
        <v>59</v>
      </c>
      <c r="AJ65" s="58" t="n">
        <v>5.65685424949238</v>
      </c>
      <c r="AK65" s="33" t="n">
        <v>4.39</v>
      </c>
    </row>
    <row r="66" customFormat="false" ht="15" hidden="false" customHeight="false" outlineLevel="0" collapsed="false">
      <c r="A66" s="55" t="n">
        <v>25315361</v>
      </c>
      <c r="B66" s="55" t="s">
        <v>268</v>
      </c>
      <c r="C66" s="55" t="s">
        <v>269</v>
      </c>
      <c r="D66" s="55" t="s">
        <v>94</v>
      </c>
      <c r="E66" s="55" t="n">
        <v>2015</v>
      </c>
      <c r="F66" s="55" t="s">
        <v>270</v>
      </c>
      <c r="G66" s="55" t="n">
        <v>1</v>
      </c>
      <c r="H66" s="31" t="s">
        <v>55</v>
      </c>
      <c r="I66" s="31" t="s">
        <v>34</v>
      </c>
      <c r="K66" s="31" t="n">
        <v>240</v>
      </c>
      <c r="L66" s="31" t="n">
        <v>1</v>
      </c>
      <c r="M66" s="62" t="n">
        <v>35</v>
      </c>
      <c r="N66" s="33" t="n">
        <f aca="false">M66*K66</f>
        <v>8400</v>
      </c>
      <c r="P66" s="31" t="n">
        <v>24</v>
      </c>
      <c r="Q66" s="31" t="n">
        <v>1</v>
      </c>
      <c r="R66" s="31" t="n">
        <v>0</v>
      </c>
      <c r="S66" s="31" t="n">
        <v>0</v>
      </c>
      <c r="T66" s="34" t="n">
        <v>2</v>
      </c>
      <c r="U66" s="35" t="n">
        <v>84</v>
      </c>
      <c r="V66" s="35" t="n">
        <v>2</v>
      </c>
      <c r="W66" s="32" t="s">
        <v>56</v>
      </c>
      <c r="X66" s="36" t="n">
        <v>8</v>
      </c>
      <c r="Y66" s="57" t="n">
        <f aca="false">V66*(SQRT(X66))</f>
        <v>5.65685424949238</v>
      </c>
      <c r="AA66" s="35" t="n">
        <v>58</v>
      </c>
      <c r="AB66" s="35" t="n">
        <v>4</v>
      </c>
      <c r="AC66" s="32" t="s">
        <v>56</v>
      </c>
      <c r="AD66" s="36" t="n">
        <v>8</v>
      </c>
      <c r="AE66" s="57" t="n">
        <f aca="false">AB66*(SQRT(AD66))</f>
        <v>11.3137084989848</v>
      </c>
      <c r="AG66" s="35" t="n">
        <v>84</v>
      </c>
      <c r="AH66" s="58" t="n">
        <v>5.65685424949238</v>
      </c>
      <c r="AI66" s="35" t="n">
        <v>58</v>
      </c>
      <c r="AJ66" s="58" t="n">
        <v>11.3137084989848</v>
      </c>
      <c r="AK66" s="33" t="n">
        <v>2.91</v>
      </c>
    </row>
    <row r="67" customFormat="false" ht="15" hidden="false" customHeight="false" outlineLevel="0" collapsed="false">
      <c r="A67" s="55" t="n">
        <v>25315361</v>
      </c>
      <c r="B67" s="55" t="s">
        <v>268</v>
      </c>
      <c r="C67" s="55" t="s">
        <v>269</v>
      </c>
      <c r="D67" s="55" t="s">
        <v>94</v>
      </c>
      <c r="E67" s="55" t="n">
        <v>2015</v>
      </c>
      <c r="F67" s="55" t="s">
        <v>270</v>
      </c>
      <c r="G67" s="55" t="n">
        <v>1</v>
      </c>
      <c r="H67" s="31" t="s">
        <v>55</v>
      </c>
      <c r="I67" s="31" t="s">
        <v>34</v>
      </c>
      <c r="K67" s="31" t="n">
        <v>240</v>
      </c>
      <c r="L67" s="31" t="n">
        <v>1</v>
      </c>
      <c r="M67" s="62" t="n">
        <v>42</v>
      </c>
      <c r="N67" s="33" t="n">
        <f aca="false">M67*K67</f>
        <v>10080</v>
      </c>
      <c r="P67" s="31" t="n">
        <v>24</v>
      </c>
      <c r="Q67" s="31" t="n">
        <v>1</v>
      </c>
      <c r="R67" s="31" t="n">
        <v>0</v>
      </c>
      <c r="S67" s="31" t="n">
        <v>0</v>
      </c>
      <c r="T67" s="34" t="n">
        <v>2</v>
      </c>
      <c r="U67" s="35" t="n">
        <v>84</v>
      </c>
      <c r="V67" s="35" t="n">
        <v>2</v>
      </c>
      <c r="W67" s="32" t="s">
        <v>56</v>
      </c>
      <c r="X67" s="36" t="n">
        <v>8</v>
      </c>
      <c r="Y67" s="57" t="n">
        <f aca="false">V67*(SQRT(X67))</f>
        <v>5.65685424949238</v>
      </c>
      <c r="AA67" s="35" t="n">
        <v>51</v>
      </c>
      <c r="AB67" s="35" t="n">
        <v>4</v>
      </c>
      <c r="AC67" s="32" t="s">
        <v>56</v>
      </c>
      <c r="AD67" s="36" t="n">
        <v>8</v>
      </c>
      <c r="AE67" s="57" t="n">
        <f aca="false">AB67*(SQRT(AD67))</f>
        <v>11.3137084989848</v>
      </c>
      <c r="AG67" s="35" t="n">
        <v>84</v>
      </c>
      <c r="AH67" s="58" t="n">
        <v>5.65685424949238</v>
      </c>
      <c r="AI67" s="35" t="n">
        <v>51</v>
      </c>
      <c r="AJ67" s="58" t="n">
        <v>11.3137084989848</v>
      </c>
      <c r="AK67" s="33" t="n">
        <v>3.69</v>
      </c>
    </row>
  </sheetData>
  <mergeCells count="2">
    <mergeCell ref="AL16:AL19"/>
    <mergeCell ref="AL28:AL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2" activeCellId="0" sqref="M2"/>
    </sheetView>
  </sheetViews>
  <sheetFormatPr defaultColWidth="8.59765625" defaultRowHeight="15" zeroHeight="false" outlineLevelRow="0" outlineLevelCol="0"/>
  <cols>
    <col collapsed="false" customWidth="true" hidden="false" outlineLevel="0" max="2" min="2" style="31" width="33"/>
    <col collapsed="false" customWidth="true" hidden="false" outlineLevel="0" max="3" min="3" style="31" width="12.14"/>
    <col collapsed="false" customWidth="true" hidden="false" outlineLevel="0" max="4" min="4" style="31" width="15.57"/>
    <col collapsed="false" customWidth="true" hidden="false" outlineLevel="0" max="6" min="6" style="31" width="29.14"/>
    <col collapsed="false" customWidth="true" hidden="false" outlineLevel="0" max="9" min="7" style="31" width="4.57"/>
    <col collapsed="false" customWidth="true" hidden="false" outlineLevel="0" max="10" min="10" style="32" width="4.57"/>
    <col collapsed="false" customWidth="true" hidden="false" outlineLevel="0" max="12" min="11" style="31" width="4.57"/>
    <col collapsed="false" customWidth="true" hidden="false" outlineLevel="0" max="13" min="13" style="33" width="4.57"/>
    <col collapsed="false" customWidth="true" hidden="false" outlineLevel="0" max="14" min="14" style="31" width="6"/>
    <col collapsed="false" customWidth="true" hidden="false" outlineLevel="0" max="15" min="15" style="31" width="4.57"/>
    <col collapsed="false" customWidth="true" hidden="false" outlineLevel="0" max="16" min="16" style="31" width="20.57"/>
    <col collapsed="false" customWidth="true" hidden="false" outlineLevel="0" max="17" min="17" style="31" width="10"/>
    <col collapsed="false" customWidth="true" hidden="false" outlineLevel="0" max="18" min="18" style="35" width="14"/>
    <col collapsed="false" customWidth="true" hidden="false" outlineLevel="0" max="19" min="19" style="35" width="11.86"/>
    <col collapsed="false" customWidth="true" hidden="false" outlineLevel="0" max="21" min="20" style="36" width="8.86"/>
    <col collapsed="false" customWidth="true" hidden="false" outlineLevel="0" max="22" min="22" style="35" width="18.86"/>
    <col collapsed="false" customWidth="true" hidden="false" outlineLevel="0" max="23" min="23" style="35" width="2.7"/>
    <col collapsed="false" customWidth="true" hidden="false" outlineLevel="0" max="24" min="24" style="35" width="14.14"/>
    <col collapsed="false" customWidth="true" hidden="false" outlineLevel="0" max="25" min="25" style="35" width="11.86"/>
    <col collapsed="false" customWidth="false" hidden="false" outlineLevel="0" max="27" min="26" style="36" width="8.57"/>
    <col collapsed="false" customWidth="true" hidden="false" outlineLevel="0" max="28" min="28" style="35" width="18.86"/>
    <col collapsed="false" customWidth="true" hidden="false" outlineLevel="0" max="29" min="29" style="33" width="3.72"/>
    <col collapsed="false" customWidth="true" hidden="false" outlineLevel="0" max="30" min="30" style="35" width="15"/>
    <col collapsed="false" customWidth="true" hidden="false" outlineLevel="0" max="31" min="31" style="57" width="5.14"/>
    <col collapsed="false" customWidth="true" hidden="false" outlineLevel="0" max="32" min="32" style="35" width="12.43"/>
    <col collapsed="false" customWidth="true" hidden="false" outlineLevel="0" max="33" min="33" style="35" width="5.14"/>
    <col collapsed="false" customWidth="true" hidden="false" outlineLevel="0" max="34" min="34" style="33" width="11.57"/>
    <col collapsed="false" customWidth="true" hidden="false" outlineLevel="0" max="35" min="35" style="31" width="30.43"/>
  </cols>
  <sheetData>
    <row r="1" customFormat="false" ht="15" hidden="false" customHeight="false" outlineLevel="0" collapsed="false">
      <c r="R1" s="39" t="s">
        <v>371</v>
      </c>
      <c r="S1" s="40"/>
      <c r="T1" s="41"/>
      <c r="U1" s="41"/>
      <c r="V1" s="40"/>
      <c r="W1" s="38"/>
      <c r="X1" s="42" t="s">
        <v>372</v>
      </c>
      <c r="Y1" s="43"/>
      <c r="Z1" s="44"/>
      <c r="AA1" s="44"/>
      <c r="AB1" s="43"/>
      <c r="AC1" s="38"/>
      <c r="AD1" s="38"/>
      <c r="AE1" s="67"/>
      <c r="AF1" s="38"/>
      <c r="AG1" s="38"/>
      <c r="AH1" s="38"/>
    </row>
    <row r="2" s="37" customFormat="true" ht="15" hidden="false" customHeight="false" outlineLevel="0" collapsed="false">
      <c r="A2" s="37" t="s">
        <v>2</v>
      </c>
      <c r="B2" s="37" t="s">
        <v>3</v>
      </c>
      <c r="C2" s="37" t="s">
        <v>4</v>
      </c>
      <c r="D2" s="37" t="s">
        <v>5</v>
      </c>
      <c r="E2" s="37" t="s">
        <v>6</v>
      </c>
      <c r="F2" s="37" t="s">
        <v>7</v>
      </c>
      <c r="G2" s="37" t="s">
        <v>373</v>
      </c>
      <c r="H2" s="37" t="s">
        <v>9</v>
      </c>
      <c r="I2" s="37" t="s">
        <v>10</v>
      </c>
      <c r="J2" s="45" t="s">
        <v>11</v>
      </c>
      <c r="K2" s="37" t="s">
        <v>12</v>
      </c>
      <c r="L2" s="37" t="s">
        <v>13</v>
      </c>
      <c r="M2" s="46" t="s">
        <v>14</v>
      </c>
      <c r="N2" s="46" t="s">
        <v>15</v>
      </c>
      <c r="O2" s="37" t="s">
        <v>16</v>
      </c>
      <c r="P2" s="37" t="s">
        <v>374</v>
      </c>
      <c r="Q2" s="37" t="s">
        <v>19</v>
      </c>
      <c r="R2" s="48" t="s">
        <v>20</v>
      </c>
      <c r="S2" s="49" t="s">
        <v>283</v>
      </c>
      <c r="T2" s="50" t="s">
        <v>22</v>
      </c>
      <c r="U2" s="50" t="s">
        <v>23</v>
      </c>
      <c r="V2" s="49" t="s">
        <v>24</v>
      </c>
      <c r="W2" s="35"/>
      <c r="X2" s="51" t="s">
        <v>25</v>
      </c>
      <c r="Y2" s="52" t="s">
        <v>284</v>
      </c>
      <c r="Z2" s="53" t="s">
        <v>22</v>
      </c>
      <c r="AA2" s="53" t="s">
        <v>23</v>
      </c>
      <c r="AB2" s="52" t="s">
        <v>24</v>
      </c>
      <c r="AC2" s="33"/>
      <c r="AD2" s="54" t="s">
        <v>20</v>
      </c>
      <c r="AE2" s="68" t="s">
        <v>27</v>
      </c>
      <c r="AF2" s="54" t="s">
        <v>28</v>
      </c>
      <c r="AG2" s="54" t="s">
        <v>27</v>
      </c>
      <c r="AH2" s="54" t="s">
        <v>29</v>
      </c>
    </row>
    <row r="3" customFormat="false" ht="15" hidden="false" customHeight="false" outlineLevel="0" collapsed="false">
      <c r="A3" s="31" t="n">
        <v>39214423</v>
      </c>
      <c r="B3" s="31" t="s">
        <v>375</v>
      </c>
      <c r="C3" s="31" t="s">
        <v>376</v>
      </c>
      <c r="D3" s="31" t="s">
        <v>74</v>
      </c>
      <c r="E3" s="31" t="n">
        <v>2024</v>
      </c>
      <c r="F3" s="31" t="s">
        <v>377</v>
      </c>
      <c r="G3" s="31" t="n">
        <v>1</v>
      </c>
      <c r="H3" s="31" t="s">
        <v>27</v>
      </c>
      <c r="I3" s="31" t="s">
        <v>34</v>
      </c>
      <c r="K3" s="31" t="n">
        <v>360</v>
      </c>
      <c r="L3" s="31" t="n">
        <v>1</v>
      </c>
      <c r="M3" s="33" t="n">
        <v>28</v>
      </c>
      <c r="N3" s="33" t="n">
        <f aca="false">M3*K3</f>
        <v>10080</v>
      </c>
      <c r="P3" s="31" t="n">
        <v>5</v>
      </c>
      <c r="Q3" s="31" t="s">
        <v>71</v>
      </c>
      <c r="R3" s="35" t="n">
        <v>37</v>
      </c>
      <c r="S3" s="35" t="n">
        <v>2.4</v>
      </c>
      <c r="T3" s="36" t="n">
        <v>6</v>
      </c>
      <c r="U3" s="36" t="n">
        <v>6</v>
      </c>
      <c r="V3" s="57" t="n">
        <f aca="false">S3*(SQRT(U3))</f>
        <v>5.87877538267963</v>
      </c>
      <c r="X3" s="35" t="n">
        <v>11</v>
      </c>
      <c r="Y3" s="35" t="n">
        <v>0.8</v>
      </c>
      <c r="Z3" s="36" t="n">
        <v>6</v>
      </c>
      <c r="AA3" s="36" t="n">
        <v>6</v>
      </c>
      <c r="AB3" s="57" t="n">
        <f aca="false">Y3*(SQRT(AA3))</f>
        <v>1.95959179422654</v>
      </c>
      <c r="AD3" s="35" t="n">
        <v>37</v>
      </c>
      <c r="AE3" s="58" t="n">
        <v>5.87877538267963</v>
      </c>
      <c r="AF3" s="35" t="n">
        <v>11</v>
      </c>
      <c r="AG3" s="58" t="n">
        <v>1.95959179422654</v>
      </c>
      <c r="AH3" s="33" t="n">
        <v>5.9</v>
      </c>
    </row>
    <row r="4" customFormat="false" ht="15" hidden="false" customHeight="false" outlineLevel="0" collapsed="false">
      <c r="A4" s="55" t="n">
        <v>39178027</v>
      </c>
      <c r="B4" s="55" t="s">
        <v>378</v>
      </c>
      <c r="C4" s="55" t="s">
        <v>379</v>
      </c>
      <c r="D4" s="55" t="s">
        <v>380</v>
      </c>
      <c r="E4" s="55" t="n">
        <v>2024</v>
      </c>
      <c r="F4" s="55" t="s">
        <v>381</v>
      </c>
      <c r="G4" s="55" t="n">
        <v>1</v>
      </c>
      <c r="H4" s="31" t="s">
        <v>55</v>
      </c>
      <c r="I4" s="55" t="s">
        <v>34</v>
      </c>
      <c r="J4" s="32" t="n">
        <v>10</v>
      </c>
      <c r="K4" s="31" t="n">
        <v>60</v>
      </c>
      <c r="L4" s="31" t="n">
        <v>1</v>
      </c>
      <c r="M4" s="33" t="n">
        <v>28</v>
      </c>
      <c r="N4" s="33" t="n">
        <f aca="false">M4*K4</f>
        <v>1680</v>
      </c>
      <c r="P4" s="31" t="n">
        <v>5</v>
      </c>
      <c r="Q4" s="31" t="s">
        <v>190</v>
      </c>
      <c r="R4" s="35" t="n">
        <v>2.4</v>
      </c>
      <c r="S4" s="35" t="s">
        <v>48</v>
      </c>
      <c r="T4" s="36" t="n">
        <v>9</v>
      </c>
      <c r="V4" s="35" t="n">
        <v>3.8</v>
      </c>
      <c r="X4" s="35" t="n">
        <v>28.1</v>
      </c>
      <c r="Y4" s="35" t="s">
        <v>48</v>
      </c>
      <c r="Z4" s="36" t="n">
        <v>8</v>
      </c>
      <c r="AB4" s="35" t="n">
        <v>24</v>
      </c>
      <c r="AD4" s="35" t="n">
        <v>2.4</v>
      </c>
      <c r="AE4" s="58" t="n">
        <v>3.8</v>
      </c>
      <c r="AF4" s="35" t="n">
        <v>28.1</v>
      </c>
      <c r="AG4" s="58" t="n">
        <v>24</v>
      </c>
      <c r="AH4" s="66" t="n">
        <v>1.49</v>
      </c>
      <c r="AI4" s="66" t="s">
        <v>167</v>
      </c>
    </row>
    <row r="5" customFormat="false" ht="15" hidden="false" customHeight="false" outlineLevel="0" collapsed="false">
      <c r="A5" s="55" t="n">
        <v>39178027</v>
      </c>
      <c r="B5" s="55" t="s">
        <v>378</v>
      </c>
      <c r="C5" s="55" t="s">
        <v>379</v>
      </c>
      <c r="D5" s="55" t="s">
        <v>380</v>
      </c>
      <c r="E5" s="55" t="n">
        <v>2024</v>
      </c>
      <c r="F5" s="55" t="s">
        <v>381</v>
      </c>
      <c r="G5" s="55" t="n">
        <v>1</v>
      </c>
      <c r="H5" s="31" t="s">
        <v>55</v>
      </c>
      <c r="I5" s="55" t="s">
        <v>99</v>
      </c>
      <c r="J5" s="32" t="n">
        <v>10</v>
      </c>
      <c r="K5" s="31" t="n">
        <v>60</v>
      </c>
      <c r="L5" s="31" t="n">
        <v>1</v>
      </c>
      <c r="M5" s="33" t="n">
        <v>28</v>
      </c>
      <c r="N5" s="33" t="n">
        <f aca="false">M5*K5</f>
        <v>1680</v>
      </c>
      <c r="P5" s="31" t="n">
        <v>5</v>
      </c>
      <c r="Q5" s="31" t="s">
        <v>190</v>
      </c>
      <c r="R5" s="35" t="n">
        <v>37.6</v>
      </c>
      <c r="S5" s="35" t="s">
        <v>48</v>
      </c>
      <c r="T5" s="36" t="n">
        <v>9</v>
      </c>
      <c r="V5" s="35" t="n">
        <v>25.2</v>
      </c>
      <c r="X5" s="35" t="n">
        <v>39</v>
      </c>
      <c r="Y5" s="35" t="s">
        <v>48</v>
      </c>
      <c r="Z5" s="36" t="n">
        <v>9</v>
      </c>
      <c r="AB5" s="35" t="n">
        <v>29.6</v>
      </c>
      <c r="AD5" s="35" t="n">
        <v>37.6</v>
      </c>
      <c r="AE5" s="58" t="n">
        <v>25.2</v>
      </c>
      <c r="AF5" s="35" t="n">
        <v>39</v>
      </c>
      <c r="AG5" s="58" t="n">
        <v>29.6</v>
      </c>
      <c r="AH5" s="33" t="n">
        <v>0.05</v>
      </c>
    </row>
    <row r="6" customFormat="false" ht="15" hidden="false" customHeight="false" outlineLevel="0" collapsed="false">
      <c r="A6" s="31" t="n">
        <v>38882046</v>
      </c>
      <c r="B6" s="31" t="s">
        <v>43</v>
      </c>
      <c r="C6" s="31" t="s">
        <v>44</v>
      </c>
      <c r="D6" s="31" t="s">
        <v>45</v>
      </c>
      <c r="E6" s="31" t="n">
        <v>2024</v>
      </c>
      <c r="F6" s="31" t="s">
        <v>46</v>
      </c>
      <c r="G6" s="31" t="n">
        <v>1</v>
      </c>
      <c r="H6" s="31" t="s">
        <v>27</v>
      </c>
      <c r="I6" s="31" t="s">
        <v>34</v>
      </c>
      <c r="K6" s="31" t="n">
        <v>180</v>
      </c>
      <c r="L6" s="31" t="n">
        <v>1</v>
      </c>
      <c r="M6" s="33" t="n">
        <v>28</v>
      </c>
      <c r="N6" s="33" t="n">
        <f aca="false">M6*K6</f>
        <v>5040</v>
      </c>
      <c r="P6" s="31" t="n">
        <v>5</v>
      </c>
      <c r="Q6" s="31" t="s">
        <v>318</v>
      </c>
      <c r="R6" s="35" t="n">
        <v>27</v>
      </c>
      <c r="S6" s="35" t="s">
        <v>48</v>
      </c>
      <c r="T6" s="36" t="n">
        <v>6</v>
      </c>
      <c r="V6" s="35" t="n">
        <v>5.5</v>
      </c>
      <c r="X6" s="35" t="n">
        <v>20</v>
      </c>
      <c r="Y6" s="35" t="s">
        <v>48</v>
      </c>
      <c r="Z6" s="36" t="n">
        <v>6</v>
      </c>
      <c r="AB6" s="35" t="n">
        <v>2.7</v>
      </c>
      <c r="AD6" s="35" t="n">
        <v>27</v>
      </c>
      <c r="AE6" s="58" t="n">
        <v>5.5</v>
      </c>
      <c r="AF6" s="35" t="n">
        <v>20</v>
      </c>
      <c r="AG6" s="58" t="n">
        <v>2.7</v>
      </c>
      <c r="AH6" s="33" t="n">
        <v>1.62</v>
      </c>
    </row>
    <row r="7" customFormat="false" ht="15" hidden="false" customHeight="false" outlineLevel="0" collapsed="false">
      <c r="A7" s="31" t="n">
        <v>38703343</v>
      </c>
      <c r="B7" s="31" t="s">
        <v>51</v>
      </c>
      <c r="C7" s="31" t="s">
        <v>52</v>
      </c>
      <c r="D7" s="31" t="s">
        <v>53</v>
      </c>
      <c r="E7" s="31" t="n">
        <v>2024</v>
      </c>
      <c r="F7" s="31" t="s">
        <v>54</v>
      </c>
      <c r="G7" s="31" t="n">
        <v>1</v>
      </c>
      <c r="H7" s="31" t="s">
        <v>55</v>
      </c>
      <c r="I7" s="31" t="s">
        <v>34</v>
      </c>
      <c r="J7" s="32" t="s">
        <v>56</v>
      </c>
      <c r="K7" s="31" t="n">
        <v>360</v>
      </c>
      <c r="L7" s="31" t="n">
        <v>1</v>
      </c>
      <c r="M7" s="33" t="n">
        <v>21</v>
      </c>
      <c r="N7" s="33" t="n">
        <f aca="false">M7*K7</f>
        <v>7560</v>
      </c>
      <c r="P7" s="31" t="n">
        <v>5</v>
      </c>
      <c r="Q7" s="31" t="s">
        <v>382</v>
      </c>
      <c r="R7" s="56" t="s">
        <v>383</v>
      </c>
      <c r="S7" s="56"/>
      <c r="T7" s="56"/>
      <c r="U7" s="56"/>
      <c r="V7" s="56"/>
      <c r="X7" s="56" t="s">
        <v>383</v>
      </c>
      <c r="Y7" s="56"/>
      <c r="Z7" s="56"/>
      <c r="AA7" s="56"/>
      <c r="AB7" s="56"/>
      <c r="AD7" s="56"/>
      <c r="AE7" s="61"/>
      <c r="AF7" s="56"/>
      <c r="AG7" s="61"/>
      <c r="AH7" s="56"/>
    </row>
    <row r="8" customFormat="false" ht="15" hidden="false" customHeight="false" outlineLevel="0" collapsed="false">
      <c r="A8" s="31" t="n">
        <v>37201894</v>
      </c>
      <c r="B8" s="31" t="s">
        <v>72</v>
      </c>
      <c r="C8" s="31" t="s">
        <v>73</v>
      </c>
      <c r="D8" s="31" t="s">
        <v>74</v>
      </c>
      <c r="E8" s="31" t="n">
        <v>2023</v>
      </c>
      <c r="F8" s="31" t="s">
        <v>75</v>
      </c>
      <c r="G8" s="31" t="n">
        <v>1</v>
      </c>
      <c r="H8" s="31" t="s">
        <v>27</v>
      </c>
      <c r="I8" s="31" t="s">
        <v>34</v>
      </c>
      <c r="J8" s="32" t="s">
        <v>76</v>
      </c>
      <c r="K8" s="31" t="n">
        <v>240</v>
      </c>
      <c r="L8" s="31" t="n">
        <v>1</v>
      </c>
      <c r="M8" s="33" t="n">
        <v>35</v>
      </c>
      <c r="N8" s="33" t="n">
        <f aca="false">M8*K8</f>
        <v>8400</v>
      </c>
      <c r="P8" s="31" t="n">
        <v>5</v>
      </c>
      <c r="Q8" s="31" t="s">
        <v>127</v>
      </c>
      <c r="R8" s="35" t="n">
        <v>40</v>
      </c>
      <c r="S8" s="35" t="s">
        <v>48</v>
      </c>
      <c r="T8" s="36" t="n">
        <v>11</v>
      </c>
      <c r="V8" s="35" t="n">
        <v>31</v>
      </c>
      <c r="X8" s="35" t="n">
        <v>15</v>
      </c>
      <c r="Y8" s="35" t="s">
        <v>48</v>
      </c>
      <c r="Z8" s="36" t="n">
        <v>10</v>
      </c>
      <c r="AB8" s="35" t="n">
        <v>21</v>
      </c>
      <c r="AD8" s="35" t="n">
        <v>40</v>
      </c>
      <c r="AE8" s="58" t="n">
        <v>31</v>
      </c>
      <c r="AF8" s="35" t="n">
        <v>15</v>
      </c>
      <c r="AG8" s="58" t="n">
        <v>21</v>
      </c>
      <c r="AH8" s="66" t="n">
        <v>0.94</v>
      </c>
      <c r="AI8" s="66" t="s">
        <v>167</v>
      </c>
      <c r="AJ8" s="31" t="s">
        <v>384</v>
      </c>
    </row>
    <row r="9" customFormat="false" ht="15" hidden="false" customHeight="false" outlineLevel="0" collapsed="false">
      <c r="A9" s="31" t="n">
        <v>37152003</v>
      </c>
      <c r="B9" s="31" t="s">
        <v>385</v>
      </c>
      <c r="C9" s="31" t="s">
        <v>386</v>
      </c>
      <c r="D9" s="31" t="s">
        <v>387</v>
      </c>
      <c r="E9" s="31" t="n">
        <v>2023</v>
      </c>
      <c r="F9" s="31" t="s">
        <v>388</v>
      </c>
      <c r="G9" s="31" t="n">
        <v>1</v>
      </c>
      <c r="H9" s="31" t="s">
        <v>55</v>
      </c>
      <c r="I9" s="31" t="s">
        <v>34</v>
      </c>
      <c r="K9" s="31" t="n">
        <v>120</v>
      </c>
      <c r="L9" s="31" t="n">
        <v>1</v>
      </c>
      <c r="M9" s="33" t="n">
        <v>14</v>
      </c>
      <c r="N9" s="33" t="n">
        <f aca="false">M9*K9</f>
        <v>1680</v>
      </c>
      <c r="P9" s="31" t="n">
        <v>5</v>
      </c>
      <c r="Q9" s="31" t="s">
        <v>237</v>
      </c>
      <c r="R9" s="35" t="n">
        <v>43</v>
      </c>
      <c r="S9" s="35" t="n">
        <v>3</v>
      </c>
      <c r="T9" s="36" t="n">
        <v>8</v>
      </c>
      <c r="U9" s="36" t="n">
        <v>8</v>
      </c>
      <c r="V9" s="57" t="n">
        <f aca="false">S9*(SQRT(U9))</f>
        <v>8.48528137423857</v>
      </c>
      <c r="X9" s="35" t="n">
        <v>20</v>
      </c>
      <c r="Y9" s="35" t="n">
        <v>5</v>
      </c>
      <c r="Z9" s="36" t="n">
        <v>8</v>
      </c>
      <c r="AA9" s="36" t="n">
        <v>8</v>
      </c>
      <c r="AB9" s="57" t="n">
        <f aca="false">Y9*(SQRT(AA9))</f>
        <v>14.142135623731</v>
      </c>
      <c r="AD9" s="35" t="n">
        <v>43</v>
      </c>
      <c r="AE9" s="58" t="n">
        <v>8.48528137423857</v>
      </c>
      <c r="AF9" s="35" t="n">
        <v>20</v>
      </c>
      <c r="AG9" s="58" t="n">
        <v>14.142135623731</v>
      </c>
      <c r="AH9" s="33" t="n">
        <v>1.98</v>
      </c>
    </row>
    <row r="10" customFormat="false" ht="15" hidden="false" customHeight="false" outlineLevel="0" collapsed="false">
      <c r="A10" s="55" t="n">
        <v>36921909</v>
      </c>
      <c r="B10" s="55" t="s">
        <v>307</v>
      </c>
      <c r="C10" s="55" t="s">
        <v>308</v>
      </c>
      <c r="D10" s="55" t="s">
        <v>309</v>
      </c>
      <c r="E10" s="55" t="n">
        <v>2023</v>
      </c>
      <c r="F10" s="55" t="s">
        <v>310</v>
      </c>
      <c r="G10" s="55" t="n">
        <v>1</v>
      </c>
      <c r="H10" s="31" t="s">
        <v>55</v>
      </c>
      <c r="I10" s="55" t="s">
        <v>34</v>
      </c>
      <c r="K10" s="31" t="n">
        <v>360</v>
      </c>
      <c r="L10" s="31" t="n">
        <v>1</v>
      </c>
      <c r="M10" s="62" t="n">
        <v>11</v>
      </c>
      <c r="N10" s="33" t="n">
        <f aca="false">M10*K10</f>
        <v>3960</v>
      </c>
      <c r="P10" s="31" t="n">
        <v>5</v>
      </c>
      <c r="Q10" s="34" t="n">
        <v>3</v>
      </c>
      <c r="R10" s="35" t="n">
        <v>24</v>
      </c>
      <c r="S10" s="35" t="n">
        <v>6</v>
      </c>
      <c r="T10" s="36" t="n">
        <v>10</v>
      </c>
      <c r="U10" s="36" t="n">
        <v>10</v>
      </c>
      <c r="V10" s="57" t="n">
        <f aca="false">S10*(SQRT(U10))</f>
        <v>18.9736659610103</v>
      </c>
      <c r="X10" s="35" t="n">
        <v>14</v>
      </c>
      <c r="Y10" s="35" t="n">
        <v>3</v>
      </c>
      <c r="Z10" s="36" t="n">
        <v>10</v>
      </c>
      <c r="AA10" s="36" t="n">
        <v>10</v>
      </c>
      <c r="AB10" s="57" t="n">
        <f aca="false">Y10*(SQRT(AA10))</f>
        <v>9.48683298050514</v>
      </c>
      <c r="AD10" s="35" t="n">
        <v>24</v>
      </c>
      <c r="AE10" s="58" t="n">
        <v>18.9736659610103</v>
      </c>
      <c r="AF10" s="35" t="n">
        <v>14</v>
      </c>
      <c r="AG10" s="58" t="n">
        <v>9.48683298050514</v>
      </c>
      <c r="AH10" s="33" t="n">
        <v>0.67</v>
      </c>
    </row>
    <row r="11" customFormat="false" ht="15" hidden="false" customHeight="false" outlineLevel="0" collapsed="false">
      <c r="A11" s="55" t="n">
        <v>36921909</v>
      </c>
      <c r="B11" s="55" t="s">
        <v>307</v>
      </c>
      <c r="C11" s="55" t="s">
        <v>308</v>
      </c>
      <c r="D11" s="55" t="s">
        <v>309</v>
      </c>
      <c r="E11" s="55" t="n">
        <v>2023</v>
      </c>
      <c r="F11" s="55" t="s">
        <v>310</v>
      </c>
      <c r="G11" s="55" t="n">
        <v>1</v>
      </c>
      <c r="H11" s="31" t="s">
        <v>55</v>
      </c>
      <c r="I11" s="55" t="s">
        <v>99</v>
      </c>
      <c r="K11" s="31" t="n">
        <v>360</v>
      </c>
      <c r="L11" s="31" t="n">
        <v>1</v>
      </c>
      <c r="M11" s="62" t="n">
        <v>11</v>
      </c>
      <c r="N11" s="33" t="n">
        <f aca="false">M11*K11</f>
        <v>3960</v>
      </c>
      <c r="P11" s="31" t="n">
        <v>5</v>
      </c>
      <c r="Q11" s="34" t="n">
        <v>3</v>
      </c>
      <c r="R11" s="35" t="n">
        <v>31</v>
      </c>
      <c r="S11" s="35" t="n">
        <v>4</v>
      </c>
      <c r="T11" s="36" t="n">
        <v>10</v>
      </c>
      <c r="U11" s="36" t="n">
        <v>10</v>
      </c>
      <c r="V11" s="57" t="n">
        <f aca="false">S11*(SQRT(U11))</f>
        <v>12.6491106406735</v>
      </c>
      <c r="X11" s="35" t="n">
        <v>31</v>
      </c>
      <c r="Y11" s="35" t="n">
        <v>7</v>
      </c>
      <c r="Z11" s="36" t="n">
        <v>10</v>
      </c>
      <c r="AA11" s="36" t="n">
        <v>10</v>
      </c>
      <c r="AB11" s="57" t="n">
        <f aca="false">Y11*(SQRT(AA11))</f>
        <v>22.1359436211787</v>
      </c>
      <c r="AD11" s="35" t="n">
        <v>31</v>
      </c>
      <c r="AE11" s="58" t="n">
        <v>12.6491106406735</v>
      </c>
      <c r="AF11" s="35" t="n">
        <v>31</v>
      </c>
      <c r="AG11" s="58" t="n">
        <v>22.1359436211787</v>
      </c>
      <c r="AH11" s="33" t="n">
        <v>0</v>
      </c>
    </row>
    <row r="12" customFormat="false" ht="15" hidden="false" customHeight="false" outlineLevel="0" collapsed="false">
      <c r="A12" s="55" t="n">
        <v>36921909</v>
      </c>
      <c r="B12" s="55" t="s">
        <v>307</v>
      </c>
      <c r="C12" s="55" t="s">
        <v>308</v>
      </c>
      <c r="D12" s="55" t="s">
        <v>309</v>
      </c>
      <c r="E12" s="55" t="n">
        <v>2023</v>
      </c>
      <c r="F12" s="55" t="s">
        <v>310</v>
      </c>
      <c r="G12" s="55" t="n">
        <v>1</v>
      </c>
      <c r="H12" s="31" t="s">
        <v>55</v>
      </c>
      <c r="I12" s="55" t="s">
        <v>34</v>
      </c>
      <c r="K12" s="31" t="n">
        <v>360</v>
      </c>
      <c r="L12" s="31" t="n">
        <v>1</v>
      </c>
      <c r="M12" s="62" t="n">
        <v>22</v>
      </c>
      <c r="N12" s="33" t="n">
        <f aca="false">M12*K12</f>
        <v>7920</v>
      </c>
      <c r="P12" s="31" t="n">
        <v>5</v>
      </c>
      <c r="Q12" s="34" t="n">
        <v>3</v>
      </c>
      <c r="R12" s="35" t="n">
        <v>29</v>
      </c>
      <c r="S12" s="35" t="n">
        <v>7</v>
      </c>
      <c r="T12" s="36" t="n">
        <v>10</v>
      </c>
      <c r="U12" s="36" t="n">
        <v>10</v>
      </c>
      <c r="V12" s="57" t="n">
        <f aca="false">S12*(SQRT(U12))</f>
        <v>22.1359436211787</v>
      </c>
      <c r="X12" s="35" t="n">
        <v>36</v>
      </c>
      <c r="Y12" s="35" t="n">
        <v>2</v>
      </c>
      <c r="Z12" s="36" t="n">
        <v>10</v>
      </c>
      <c r="AA12" s="36" t="n">
        <v>10</v>
      </c>
      <c r="AB12" s="57" t="n">
        <f aca="false">Y12*(SQRT(AA12))</f>
        <v>6.32455532033676</v>
      </c>
      <c r="AD12" s="35" t="n">
        <v>29</v>
      </c>
      <c r="AE12" s="58" t="n">
        <v>22.1359436211787</v>
      </c>
      <c r="AF12" s="35" t="n">
        <v>36</v>
      </c>
      <c r="AG12" s="58" t="n">
        <v>6.32455532033676</v>
      </c>
      <c r="AH12" s="33" t="n">
        <v>-0.43</v>
      </c>
      <c r="AI12" s="63" t="s">
        <v>50</v>
      </c>
    </row>
    <row r="13" customFormat="false" ht="15" hidden="false" customHeight="false" outlineLevel="0" collapsed="false">
      <c r="A13" s="55" t="n">
        <v>36921909</v>
      </c>
      <c r="B13" s="55" t="s">
        <v>307</v>
      </c>
      <c r="C13" s="55" t="s">
        <v>308</v>
      </c>
      <c r="D13" s="55" t="s">
        <v>309</v>
      </c>
      <c r="E13" s="55" t="n">
        <v>2023</v>
      </c>
      <c r="F13" s="55" t="s">
        <v>310</v>
      </c>
      <c r="G13" s="55" t="n">
        <v>1</v>
      </c>
      <c r="H13" s="31" t="s">
        <v>55</v>
      </c>
      <c r="I13" s="55" t="s">
        <v>99</v>
      </c>
      <c r="K13" s="31" t="n">
        <v>360</v>
      </c>
      <c r="L13" s="31" t="n">
        <v>1</v>
      </c>
      <c r="M13" s="62" t="n">
        <v>22</v>
      </c>
      <c r="N13" s="33" t="n">
        <f aca="false">M13*K13</f>
        <v>7920</v>
      </c>
      <c r="P13" s="31" t="n">
        <v>5</v>
      </c>
      <c r="Q13" s="34" t="n">
        <v>3</v>
      </c>
      <c r="R13" s="35" t="n">
        <v>35</v>
      </c>
      <c r="S13" s="35" t="n">
        <v>3</v>
      </c>
      <c r="T13" s="36" t="n">
        <v>10</v>
      </c>
      <c r="U13" s="36" t="n">
        <v>10</v>
      </c>
      <c r="V13" s="57" t="n">
        <f aca="false">S13*(SQRT(U13))</f>
        <v>9.48683298050514</v>
      </c>
      <c r="X13" s="35" t="n">
        <v>24</v>
      </c>
      <c r="Y13" s="35" t="n">
        <v>4</v>
      </c>
      <c r="Z13" s="36" t="n">
        <v>10</v>
      </c>
      <c r="AA13" s="36" t="n">
        <v>10</v>
      </c>
      <c r="AB13" s="57" t="n">
        <f aca="false">Y13*(SQRT(AA13))</f>
        <v>12.6491106406735</v>
      </c>
      <c r="AD13" s="35" t="n">
        <v>35</v>
      </c>
      <c r="AE13" s="58" t="n">
        <v>9.48683298050514</v>
      </c>
      <c r="AF13" s="35" t="n">
        <v>24</v>
      </c>
      <c r="AG13" s="58" t="n">
        <v>12.6491106406735</v>
      </c>
      <c r="AH13" s="33" t="n">
        <v>0.99</v>
      </c>
    </row>
    <row r="14" customFormat="false" ht="15" hidden="false" customHeight="false" outlineLevel="0" collapsed="false">
      <c r="A14" s="31" t="n">
        <v>35873784</v>
      </c>
      <c r="B14" s="31" t="s">
        <v>327</v>
      </c>
      <c r="C14" s="31" t="s">
        <v>328</v>
      </c>
      <c r="D14" s="31" t="s">
        <v>329</v>
      </c>
      <c r="E14" s="31" t="n">
        <v>2022</v>
      </c>
      <c r="F14" s="31" t="s">
        <v>330</v>
      </c>
      <c r="G14" s="31" t="n">
        <v>1</v>
      </c>
      <c r="H14" s="31" t="s">
        <v>27</v>
      </c>
      <c r="I14" s="31" t="s">
        <v>34</v>
      </c>
      <c r="K14" s="31" t="n">
        <v>180</v>
      </c>
      <c r="L14" s="31" t="n">
        <v>1</v>
      </c>
      <c r="M14" s="33" t="n">
        <v>21</v>
      </c>
      <c r="N14" s="33" t="n">
        <f aca="false">M14*K14</f>
        <v>3780</v>
      </c>
      <c r="P14" s="31" t="n">
        <v>5</v>
      </c>
      <c r="Q14" s="31" t="s">
        <v>389</v>
      </c>
      <c r="R14" s="35" t="n">
        <v>26</v>
      </c>
      <c r="S14" s="35" t="s">
        <v>48</v>
      </c>
      <c r="T14" s="36" t="n">
        <v>8</v>
      </c>
      <c r="V14" s="35" t="n">
        <v>17</v>
      </c>
      <c r="X14" s="35" t="n">
        <v>6</v>
      </c>
      <c r="Y14" s="35" t="s">
        <v>48</v>
      </c>
      <c r="Z14" s="36" t="n">
        <v>8</v>
      </c>
      <c r="AB14" s="35" t="n">
        <v>7</v>
      </c>
      <c r="AD14" s="35" t="n">
        <v>26</v>
      </c>
      <c r="AE14" s="58" t="n">
        <v>17</v>
      </c>
      <c r="AF14" s="35" t="n">
        <v>6</v>
      </c>
      <c r="AG14" s="58" t="n">
        <v>7</v>
      </c>
      <c r="AH14" s="33" t="n">
        <v>1.54</v>
      </c>
    </row>
    <row r="15" customFormat="false" ht="15" hidden="false" customHeight="false" outlineLevel="0" collapsed="false">
      <c r="A15" s="31" t="n">
        <v>35814204</v>
      </c>
      <c r="B15" s="31" t="s">
        <v>112</v>
      </c>
      <c r="C15" s="31" t="s">
        <v>113</v>
      </c>
      <c r="D15" s="31" t="s">
        <v>114</v>
      </c>
      <c r="E15" s="31" t="n">
        <v>2022</v>
      </c>
      <c r="F15" s="31" t="s">
        <v>115</v>
      </c>
      <c r="G15" s="31" t="n">
        <v>1</v>
      </c>
      <c r="H15" s="31" t="s">
        <v>27</v>
      </c>
      <c r="I15" s="31" t="s">
        <v>34</v>
      </c>
      <c r="J15" s="32" t="s">
        <v>96</v>
      </c>
      <c r="K15" s="31" t="n">
        <v>180</v>
      </c>
      <c r="L15" s="31" t="n">
        <v>1</v>
      </c>
      <c r="M15" s="33" t="n">
        <v>21</v>
      </c>
      <c r="N15" s="33" t="n">
        <f aca="false">M15*K15</f>
        <v>3780</v>
      </c>
      <c r="P15" s="31" t="n">
        <v>5</v>
      </c>
      <c r="Q15" s="31" t="s">
        <v>390</v>
      </c>
      <c r="R15" s="35" t="n">
        <v>38</v>
      </c>
      <c r="S15" s="35" t="n">
        <v>4</v>
      </c>
      <c r="T15" s="36" t="n">
        <v>12</v>
      </c>
      <c r="U15" s="36" t="n">
        <v>12</v>
      </c>
      <c r="V15" s="57" t="n">
        <f aca="false">S15*(SQRT(U15))</f>
        <v>13.856406460551</v>
      </c>
      <c r="X15" s="35" t="n">
        <v>24</v>
      </c>
      <c r="Y15" s="35" t="n">
        <v>4</v>
      </c>
      <c r="Z15" s="36" t="n">
        <v>12</v>
      </c>
      <c r="AA15" s="36" t="n">
        <v>12</v>
      </c>
      <c r="AB15" s="57" t="n">
        <f aca="false">Y15*(SQRT(AA15))</f>
        <v>13.856406460551</v>
      </c>
      <c r="AD15" s="35" t="n">
        <v>38</v>
      </c>
      <c r="AE15" s="58" t="n">
        <v>13.856406460551</v>
      </c>
      <c r="AF15" s="35" t="n">
        <v>24</v>
      </c>
      <c r="AG15" s="58" t="n">
        <v>13.856406460551</v>
      </c>
      <c r="AH15" s="33" t="n">
        <v>1</v>
      </c>
    </row>
    <row r="16" customFormat="false" ht="15" hidden="false" customHeight="false" outlineLevel="0" collapsed="false">
      <c r="A16" s="31" t="n">
        <v>35780963</v>
      </c>
      <c r="B16" s="31" t="s">
        <v>331</v>
      </c>
      <c r="C16" s="31" t="s">
        <v>332</v>
      </c>
      <c r="D16" s="31" t="s">
        <v>81</v>
      </c>
      <c r="E16" s="31" t="n">
        <v>2022</v>
      </c>
      <c r="F16" s="31" t="s">
        <v>333</v>
      </c>
      <c r="G16" s="31" t="n">
        <v>1</v>
      </c>
      <c r="H16" s="31" t="s">
        <v>27</v>
      </c>
      <c r="I16" s="31" t="s">
        <v>34</v>
      </c>
      <c r="K16" s="31" t="n">
        <v>360</v>
      </c>
      <c r="L16" s="31" t="n">
        <v>1</v>
      </c>
      <c r="M16" s="33" t="n">
        <v>21</v>
      </c>
      <c r="N16" s="33" t="n">
        <f aca="false">M16*K16</f>
        <v>7560</v>
      </c>
      <c r="P16" s="31" t="n">
        <v>5</v>
      </c>
      <c r="Q16" s="31" t="s">
        <v>391</v>
      </c>
      <c r="R16" s="35" t="n">
        <v>21</v>
      </c>
      <c r="S16" s="35" t="n">
        <v>7</v>
      </c>
      <c r="T16" s="36" t="n">
        <v>10</v>
      </c>
      <c r="U16" s="36" t="n">
        <v>10</v>
      </c>
      <c r="V16" s="57" t="n">
        <f aca="false">S16*(SQRT(U16))</f>
        <v>22.1359436211787</v>
      </c>
      <c r="X16" s="35" t="n">
        <v>21</v>
      </c>
      <c r="Y16" s="35" t="n">
        <v>10</v>
      </c>
      <c r="Z16" s="36" t="n">
        <v>12</v>
      </c>
      <c r="AA16" s="36" t="n">
        <v>12</v>
      </c>
      <c r="AB16" s="57" t="n">
        <f aca="false">Y16*(SQRT(AA16))</f>
        <v>34.6410161513775</v>
      </c>
      <c r="AD16" s="35" t="n">
        <v>21</v>
      </c>
      <c r="AE16" s="58" t="n">
        <v>22.1359436211787</v>
      </c>
      <c r="AF16" s="35" t="n">
        <v>21</v>
      </c>
      <c r="AG16" s="58" t="n">
        <v>34.6410161513775</v>
      </c>
      <c r="AH16" s="66" t="n">
        <v>0</v>
      </c>
      <c r="AI16" s="66" t="s">
        <v>167</v>
      </c>
    </row>
    <row r="17" customFormat="false" ht="15" hidden="false" customHeight="false" outlineLevel="0" collapsed="false">
      <c r="A17" s="31" t="n">
        <v>34780859</v>
      </c>
      <c r="B17" s="31" t="s">
        <v>392</v>
      </c>
      <c r="C17" s="31" t="s">
        <v>393</v>
      </c>
      <c r="D17" s="31" t="s">
        <v>74</v>
      </c>
      <c r="E17" s="31" t="n">
        <v>2022</v>
      </c>
      <c r="F17" s="31" t="s">
        <v>394</v>
      </c>
      <c r="G17" s="31" t="n">
        <v>1</v>
      </c>
      <c r="H17" s="31" t="s">
        <v>395</v>
      </c>
      <c r="I17" s="31" t="s">
        <v>34</v>
      </c>
      <c r="J17" s="32" t="n">
        <v>24</v>
      </c>
      <c r="K17" s="31" t="n">
        <v>60</v>
      </c>
      <c r="L17" s="31" t="n">
        <v>1</v>
      </c>
      <c r="M17" s="33" t="n">
        <v>14</v>
      </c>
      <c r="N17" s="33" t="n">
        <f aca="false">M17*K17</f>
        <v>840</v>
      </c>
      <c r="P17" s="31" t="n">
        <v>5</v>
      </c>
      <c r="Q17" s="31" t="s">
        <v>142</v>
      </c>
      <c r="R17" s="35" t="n">
        <v>126</v>
      </c>
      <c r="S17" s="35" t="n">
        <v>20</v>
      </c>
      <c r="T17" s="36" t="n">
        <v>14</v>
      </c>
      <c r="U17" s="36" t="n">
        <v>14</v>
      </c>
      <c r="V17" s="57" t="n">
        <f aca="false">S17*(SQRT(U17))</f>
        <v>74.8331477354788</v>
      </c>
      <c r="X17" s="35" t="n">
        <v>61</v>
      </c>
      <c r="Y17" s="35" t="n">
        <v>9</v>
      </c>
      <c r="Z17" s="36" t="n">
        <v>15</v>
      </c>
      <c r="AA17" s="36" t="n">
        <v>15</v>
      </c>
      <c r="AB17" s="57" t="n">
        <f aca="false">Y17*(SQRT(AA17))</f>
        <v>34.8568501158668</v>
      </c>
      <c r="AD17" s="35" t="n">
        <v>126</v>
      </c>
      <c r="AE17" s="58" t="n">
        <v>74.8331477354788</v>
      </c>
      <c r="AF17" s="35" t="n">
        <v>61</v>
      </c>
      <c r="AG17" s="58" t="n">
        <v>34.8568501158668</v>
      </c>
      <c r="AH17" s="66" t="n">
        <v>1.11</v>
      </c>
      <c r="AI17" s="66" t="s">
        <v>167</v>
      </c>
    </row>
    <row r="18" customFormat="false" ht="15" hidden="false" customHeight="false" outlineLevel="0" collapsed="false">
      <c r="A18" s="31" t="n">
        <v>34646421</v>
      </c>
      <c r="B18" s="31" t="s">
        <v>396</v>
      </c>
      <c r="C18" s="31" t="s">
        <v>397</v>
      </c>
      <c r="D18" s="31" t="s">
        <v>398</v>
      </c>
      <c r="E18" s="31" t="n">
        <v>2021</v>
      </c>
      <c r="F18" s="31" t="s">
        <v>399</v>
      </c>
      <c r="G18" s="31" t="n">
        <v>1</v>
      </c>
      <c r="H18" s="31" t="s">
        <v>55</v>
      </c>
      <c r="I18" s="31" t="s">
        <v>34</v>
      </c>
      <c r="J18" s="32" t="s">
        <v>400</v>
      </c>
      <c r="K18" s="31" t="n">
        <v>360</v>
      </c>
      <c r="L18" s="31" t="n">
        <v>1</v>
      </c>
      <c r="M18" s="33" t="n">
        <v>21</v>
      </c>
      <c r="N18" s="33" t="n">
        <f aca="false">M18*K18</f>
        <v>7560</v>
      </c>
      <c r="P18" s="31" t="n">
        <v>5</v>
      </c>
      <c r="Q18" s="31" t="s">
        <v>158</v>
      </c>
      <c r="R18" s="35" t="n">
        <v>40</v>
      </c>
      <c r="S18" s="35" t="n">
        <v>3</v>
      </c>
      <c r="T18" s="36" t="n">
        <v>10</v>
      </c>
      <c r="U18" s="36" t="n">
        <v>10</v>
      </c>
      <c r="V18" s="57" t="n">
        <f aca="false">S18*(SQRT(U18))</f>
        <v>9.48683298050514</v>
      </c>
      <c r="X18" s="35" t="n">
        <v>24</v>
      </c>
      <c r="Y18" s="35" t="n">
        <v>3</v>
      </c>
      <c r="Z18" s="36" t="n">
        <v>7</v>
      </c>
      <c r="AA18" s="36" t="n">
        <v>7</v>
      </c>
      <c r="AB18" s="57" t="n">
        <f aca="false">Y18*(SQRT(AA18))</f>
        <v>7.93725393319377</v>
      </c>
      <c r="AD18" s="35" t="n">
        <v>40</v>
      </c>
      <c r="AE18" s="58" t="n">
        <v>9.48683298050514</v>
      </c>
      <c r="AF18" s="35" t="n">
        <v>24</v>
      </c>
      <c r="AG18" s="58" t="n">
        <v>7.93725393319377</v>
      </c>
      <c r="AH18" s="66" t="n">
        <v>1.83</v>
      </c>
      <c r="AI18" s="66" t="s">
        <v>167</v>
      </c>
    </row>
    <row r="19" customFormat="false" ht="15" hidden="false" customHeight="false" outlineLevel="0" collapsed="false">
      <c r="A19" s="31" t="n">
        <v>34167364</v>
      </c>
      <c r="B19" s="31" t="s">
        <v>350</v>
      </c>
      <c r="C19" s="31" t="s">
        <v>351</v>
      </c>
      <c r="D19" s="31" t="s">
        <v>352</v>
      </c>
      <c r="E19" s="31" t="n">
        <v>2021</v>
      </c>
      <c r="F19" s="31" t="s">
        <v>353</v>
      </c>
      <c r="G19" s="31" t="n">
        <v>1</v>
      </c>
      <c r="H19" s="31" t="s">
        <v>55</v>
      </c>
      <c r="I19" s="31" t="s">
        <v>34</v>
      </c>
      <c r="K19" s="31" t="n">
        <v>120</v>
      </c>
      <c r="L19" s="31" t="n">
        <v>1</v>
      </c>
      <c r="M19" s="33" t="n">
        <v>21</v>
      </c>
      <c r="N19" s="33" t="n">
        <f aca="false">M19*K19</f>
        <v>2520</v>
      </c>
      <c r="P19" s="31" t="n">
        <v>5</v>
      </c>
      <c r="Q19" s="31" t="s">
        <v>389</v>
      </c>
      <c r="R19" s="35" t="n">
        <v>32</v>
      </c>
      <c r="S19" s="35" t="n">
        <v>1.5</v>
      </c>
      <c r="T19" s="36" t="n">
        <v>7</v>
      </c>
      <c r="U19" s="36" t="n">
        <v>7</v>
      </c>
      <c r="V19" s="57" t="n">
        <f aca="false">S19*(SQRT(U19))</f>
        <v>3.96862696659689</v>
      </c>
      <c r="X19" s="35" t="n">
        <v>11</v>
      </c>
      <c r="Y19" s="35" t="n">
        <v>1.3</v>
      </c>
      <c r="Z19" s="36" t="n">
        <v>7</v>
      </c>
      <c r="AA19" s="36" t="n">
        <v>7</v>
      </c>
      <c r="AB19" s="57" t="n">
        <f aca="false">Y19*(SQRT(AA19))</f>
        <v>3.43947670438397</v>
      </c>
      <c r="AD19" s="35" t="n">
        <v>32</v>
      </c>
      <c r="AE19" s="58" t="n">
        <v>3.96862696659689</v>
      </c>
      <c r="AF19" s="35" t="n">
        <v>11</v>
      </c>
      <c r="AG19" s="58" t="n">
        <v>3.43947670438397</v>
      </c>
      <c r="AH19" s="33" t="n">
        <v>5.65</v>
      </c>
    </row>
    <row r="20" customFormat="false" ht="15" hidden="false" customHeight="false" outlineLevel="0" collapsed="false">
      <c r="A20" s="31" t="n">
        <v>34025340</v>
      </c>
      <c r="B20" s="31" t="s">
        <v>401</v>
      </c>
      <c r="C20" s="31" t="s">
        <v>402</v>
      </c>
      <c r="D20" s="31" t="s">
        <v>244</v>
      </c>
      <c r="E20" s="31" t="n">
        <v>2021</v>
      </c>
      <c r="F20" s="31" t="s">
        <v>403</v>
      </c>
      <c r="G20" s="31" t="n">
        <v>1</v>
      </c>
      <c r="H20" s="31" t="s">
        <v>27</v>
      </c>
      <c r="I20" s="31" t="s">
        <v>34</v>
      </c>
      <c r="K20" s="31" t="n">
        <v>360</v>
      </c>
      <c r="L20" s="31" t="n">
        <v>1</v>
      </c>
      <c r="M20" s="33" t="n">
        <v>14</v>
      </c>
      <c r="N20" s="33" t="n">
        <f aca="false">M20*K20</f>
        <v>5040</v>
      </c>
      <c r="P20" s="56"/>
      <c r="Q20" s="56"/>
      <c r="R20" s="56"/>
      <c r="S20" s="56"/>
      <c r="T20" s="56"/>
      <c r="U20" s="56"/>
      <c r="V20" s="56"/>
      <c r="X20" s="56"/>
      <c r="Y20" s="56"/>
      <c r="Z20" s="56"/>
      <c r="AA20" s="56"/>
      <c r="AB20" s="56"/>
      <c r="AD20" s="56"/>
      <c r="AE20" s="61"/>
      <c r="AF20" s="56"/>
      <c r="AG20" s="61"/>
      <c r="AH20" s="56"/>
      <c r="AI20" s="31" t="s">
        <v>404</v>
      </c>
    </row>
    <row r="21" customFormat="false" ht="15" hidden="false" customHeight="false" outlineLevel="0" collapsed="false">
      <c r="A21" s="31" t="n">
        <v>33276022</v>
      </c>
      <c r="B21" s="31" t="s">
        <v>164</v>
      </c>
      <c r="C21" s="31" t="s">
        <v>165</v>
      </c>
      <c r="D21" s="31" t="s">
        <v>145</v>
      </c>
      <c r="E21" s="31" t="n">
        <v>2021</v>
      </c>
      <c r="F21" s="31" t="s">
        <v>166</v>
      </c>
      <c r="G21" s="31" t="n">
        <v>1</v>
      </c>
      <c r="H21" s="31" t="s">
        <v>27</v>
      </c>
      <c r="I21" s="31" t="s">
        <v>34</v>
      </c>
      <c r="J21" s="32" t="n">
        <v>12</v>
      </c>
      <c r="K21" s="31" t="n">
        <v>390</v>
      </c>
      <c r="L21" s="31" t="n">
        <v>1</v>
      </c>
      <c r="M21" s="33" t="n">
        <v>21</v>
      </c>
      <c r="N21" s="33" t="n">
        <f aca="false">M21*K21</f>
        <v>8190</v>
      </c>
      <c r="P21" s="31" t="n">
        <v>5</v>
      </c>
      <c r="Q21" s="31" t="s">
        <v>405</v>
      </c>
      <c r="R21" s="35" t="n">
        <v>69</v>
      </c>
      <c r="S21" s="35" t="n">
        <v>23</v>
      </c>
      <c r="T21" s="36" t="n">
        <v>5</v>
      </c>
      <c r="U21" s="36" t="n">
        <v>5</v>
      </c>
      <c r="V21" s="57" t="n">
        <f aca="false">S21*(SQRT(U21))</f>
        <v>51.4295634824952</v>
      </c>
      <c r="X21" s="35" t="n">
        <v>7</v>
      </c>
      <c r="Y21" s="35" t="n">
        <v>2</v>
      </c>
      <c r="Z21" s="36" t="n">
        <v>6</v>
      </c>
      <c r="AA21" s="36" t="n">
        <v>6</v>
      </c>
      <c r="AB21" s="57" t="n">
        <f aca="false">Y21*(SQRT(AA21))</f>
        <v>4.89897948556636</v>
      </c>
      <c r="AD21" s="35" t="n">
        <v>69</v>
      </c>
      <c r="AE21" s="58" t="n">
        <v>51.4295634824952</v>
      </c>
      <c r="AF21" s="35" t="n">
        <v>7</v>
      </c>
      <c r="AG21" s="58" t="n">
        <v>4.89897948556636</v>
      </c>
      <c r="AH21" s="66" t="n">
        <v>1.69</v>
      </c>
      <c r="AI21" s="66" t="s">
        <v>167</v>
      </c>
    </row>
    <row r="22" customFormat="false" ht="15" hidden="false" customHeight="false" outlineLevel="0" collapsed="false">
      <c r="A22" s="31" t="n">
        <v>32813905</v>
      </c>
      <c r="B22" s="31" t="s">
        <v>406</v>
      </c>
      <c r="C22" s="31" t="s">
        <v>407</v>
      </c>
      <c r="D22" s="31" t="s">
        <v>174</v>
      </c>
      <c r="E22" s="31" t="n">
        <v>2022</v>
      </c>
      <c r="F22" s="31" t="s">
        <v>408</v>
      </c>
      <c r="G22" s="31" t="n">
        <v>1</v>
      </c>
      <c r="H22" s="31" t="s">
        <v>409</v>
      </c>
      <c r="I22" s="31" t="s">
        <v>34</v>
      </c>
      <c r="J22" s="32" t="n">
        <v>8</v>
      </c>
      <c r="K22" s="31" t="n">
        <v>240</v>
      </c>
      <c r="L22" s="31" t="n">
        <v>1</v>
      </c>
      <c r="M22" s="33" t="n">
        <v>15</v>
      </c>
      <c r="N22" s="33" t="n">
        <f aca="false">M22*K22</f>
        <v>3600</v>
      </c>
      <c r="P22" s="31" t="n">
        <v>8</v>
      </c>
      <c r="Q22" s="31" t="s">
        <v>410</v>
      </c>
      <c r="R22" s="35" t="n">
        <v>132</v>
      </c>
      <c r="S22" s="35" t="n">
        <v>11</v>
      </c>
      <c r="T22" s="36" t="n">
        <v>10</v>
      </c>
      <c r="U22" s="36" t="n">
        <v>10</v>
      </c>
      <c r="V22" s="57" t="n">
        <f aca="false">S22*(SQRT(U22))</f>
        <v>34.7850542618522</v>
      </c>
      <c r="X22" s="35" t="n">
        <v>100</v>
      </c>
      <c r="Y22" s="35" t="n">
        <v>11</v>
      </c>
      <c r="Z22" s="36" t="n">
        <v>10</v>
      </c>
      <c r="AA22" s="36" t="n">
        <v>10</v>
      </c>
      <c r="AB22" s="57" t="n">
        <f aca="false">Y22*(SQRT(AA22))</f>
        <v>34.7850542618522</v>
      </c>
      <c r="AD22" s="35" t="n">
        <v>132</v>
      </c>
      <c r="AE22" s="58" t="n">
        <v>34.7850542618522</v>
      </c>
      <c r="AF22" s="35" t="n">
        <v>100</v>
      </c>
      <c r="AG22" s="58" t="n">
        <v>34.7850542618522</v>
      </c>
      <c r="AH22" s="33" t="n">
        <v>0.91</v>
      </c>
    </row>
    <row r="23" customFormat="false" ht="15" hidden="false" customHeight="false" outlineLevel="0" collapsed="false">
      <c r="A23" s="55" t="n">
        <v>32768618</v>
      </c>
      <c r="B23" s="55" t="s">
        <v>411</v>
      </c>
      <c r="C23" s="55" t="s">
        <v>412</v>
      </c>
      <c r="D23" s="55" t="s">
        <v>413</v>
      </c>
      <c r="E23" s="55" t="n">
        <v>2020</v>
      </c>
      <c r="F23" s="55" t="s">
        <v>414</v>
      </c>
      <c r="G23" s="55" t="n">
        <v>1</v>
      </c>
      <c r="H23" s="55" t="s">
        <v>324</v>
      </c>
      <c r="I23" s="31" t="s">
        <v>34</v>
      </c>
      <c r="J23" s="32" t="s">
        <v>191</v>
      </c>
      <c r="K23" s="31" t="n">
        <v>120</v>
      </c>
      <c r="L23" s="31" t="n">
        <v>1</v>
      </c>
      <c r="M23" s="33" t="n">
        <v>14</v>
      </c>
      <c r="N23" s="33" t="n">
        <f aca="false">M23*K23</f>
        <v>1680</v>
      </c>
      <c r="P23" s="31" t="n">
        <v>5</v>
      </c>
      <c r="Q23" s="56"/>
      <c r="R23" s="56"/>
      <c r="S23" s="56"/>
      <c r="T23" s="56"/>
      <c r="U23" s="56"/>
      <c r="V23" s="56"/>
      <c r="X23" s="56"/>
      <c r="Y23" s="56"/>
      <c r="Z23" s="56"/>
      <c r="AA23" s="56"/>
      <c r="AB23" s="56"/>
      <c r="AD23" s="56"/>
      <c r="AE23" s="61"/>
      <c r="AF23" s="56"/>
      <c r="AG23" s="61"/>
      <c r="AH23" s="56"/>
      <c r="AI23" s="31" t="s">
        <v>415</v>
      </c>
    </row>
    <row r="24" customFormat="false" ht="15" hidden="false" customHeight="false" outlineLevel="0" collapsed="false">
      <c r="A24" s="55" t="n">
        <v>32768618</v>
      </c>
      <c r="B24" s="55" t="s">
        <v>411</v>
      </c>
      <c r="C24" s="55" t="s">
        <v>412</v>
      </c>
      <c r="D24" s="55" t="s">
        <v>413</v>
      </c>
      <c r="E24" s="55" t="n">
        <v>2020</v>
      </c>
      <c r="F24" s="55" t="s">
        <v>414</v>
      </c>
      <c r="G24" s="55" t="n">
        <v>1</v>
      </c>
      <c r="H24" s="55" t="s">
        <v>416</v>
      </c>
      <c r="I24" s="31" t="s">
        <v>34</v>
      </c>
      <c r="J24" s="32" t="s">
        <v>191</v>
      </c>
      <c r="K24" s="31" t="n">
        <v>120</v>
      </c>
      <c r="L24" s="31" t="n">
        <v>1</v>
      </c>
      <c r="M24" s="33" t="n">
        <v>14</v>
      </c>
      <c r="N24" s="33" t="n">
        <f aca="false">M24*K24</f>
        <v>1680</v>
      </c>
      <c r="P24" s="31" t="n">
        <v>5</v>
      </c>
      <c r="Q24" s="56"/>
      <c r="R24" s="56"/>
      <c r="S24" s="56"/>
      <c r="T24" s="56"/>
      <c r="U24" s="56"/>
      <c r="V24" s="56"/>
      <c r="X24" s="56"/>
      <c r="Y24" s="56"/>
      <c r="Z24" s="56"/>
      <c r="AA24" s="56"/>
      <c r="AB24" s="56"/>
      <c r="AD24" s="56"/>
      <c r="AE24" s="61"/>
      <c r="AF24" s="56"/>
      <c r="AG24" s="61"/>
      <c r="AH24" s="56"/>
      <c r="AI24" s="31" t="s">
        <v>415</v>
      </c>
    </row>
    <row r="25" customFormat="false" ht="15" hidden="false" customHeight="false" outlineLevel="0" collapsed="false">
      <c r="A25" s="31" t="n">
        <v>30740068</v>
      </c>
      <c r="B25" s="31" t="s">
        <v>168</v>
      </c>
      <c r="C25" s="31" t="s">
        <v>169</v>
      </c>
      <c r="D25" s="31" t="s">
        <v>170</v>
      </c>
      <c r="E25" s="31" t="n">
        <v>2019</v>
      </c>
      <c r="F25" s="31" t="s">
        <v>171</v>
      </c>
      <c r="G25" s="31" t="n">
        <v>1</v>
      </c>
      <c r="H25" s="31" t="s">
        <v>27</v>
      </c>
      <c r="I25" s="31" t="s">
        <v>34</v>
      </c>
      <c r="J25" s="32" t="s">
        <v>96</v>
      </c>
      <c r="K25" s="31" t="n">
        <v>240</v>
      </c>
      <c r="L25" s="31" t="n">
        <v>1</v>
      </c>
      <c r="M25" s="33" t="n">
        <v>21</v>
      </c>
      <c r="N25" s="33" t="n">
        <f aca="false">M25*K25</f>
        <v>5040</v>
      </c>
      <c r="P25" s="31" t="n">
        <v>5</v>
      </c>
      <c r="Q25" s="31" t="s">
        <v>78</v>
      </c>
      <c r="R25" s="35" t="n">
        <v>56</v>
      </c>
      <c r="S25" s="35" t="n">
        <v>8</v>
      </c>
      <c r="T25" s="32" t="s">
        <v>417</v>
      </c>
      <c r="U25" s="36" t="n">
        <v>9</v>
      </c>
      <c r="V25" s="57" t="n">
        <f aca="false">S25*(SQRT(U25))</f>
        <v>24</v>
      </c>
      <c r="X25" s="35" t="n">
        <v>20</v>
      </c>
      <c r="Y25" s="35" t="n">
        <v>5</v>
      </c>
      <c r="Z25" s="32" t="s">
        <v>417</v>
      </c>
      <c r="AA25" s="36" t="n">
        <v>9</v>
      </c>
      <c r="AB25" s="57" t="n">
        <f aca="false">Y25*(SQRT(AA25))</f>
        <v>15</v>
      </c>
      <c r="AD25" s="35" t="n">
        <v>56</v>
      </c>
      <c r="AE25" s="58" t="n">
        <v>24</v>
      </c>
      <c r="AF25" s="35" t="n">
        <v>20</v>
      </c>
      <c r="AG25" s="58" t="n">
        <v>15</v>
      </c>
      <c r="AH25" s="33" t="n">
        <v>1.8</v>
      </c>
    </row>
    <row r="26" customFormat="false" ht="15" hidden="false" customHeight="false" outlineLevel="0" collapsed="false">
      <c r="A26" s="55" t="n">
        <v>30464774</v>
      </c>
      <c r="B26" s="55" t="s">
        <v>418</v>
      </c>
      <c r="C26" s="55" t="s">
        <v>419</v>
      </c>
      <c r="D26" s="55" t="s">
        <v>420</v>
      </c>
      <c r="E26" s="55" t="n">
        <v>2018</v>
      </c>
      <c r="F26" s="55" t="s">
        <v>421</v>
      </c>
      <c r="G26" s="55" t="n">
        <v>1</v>
      </c>
      <c r="H26" s="31" t="s">
        <v>55</v>
      </c>
      <c r="I26" s="31" t="s">
        <v>34</v>
      </c>
      <c r="K26" s="31" t="n">
        <v>180</v>
      </c>
      <c r="L26" s="31" t="n">
        <v>1</v>
      </c>
      <c r="M26" s="62" t="n">
        <v>7</v>
      </c>
      <c r="N26" s="33" t="n">
        <f aca="false">M26*K26</f>
        <v>1260</v>
      </c>
      <c r="P26" s="31" t="n">
        <v>5</v>
      </c>
      <c r="Q26" s="31" t="s">
        <v>237</v>
      </c>
      <c r="R26" s="35" t="n">
        <v>8</v>
      </c>
      <c r="S26" s="35" t="n">
        <v>2</v>
      </c>
      <c r="T26" s="36" t="n">
        <v>7</v>
      </c>
      <c r="U26" s="36" t="n">
        <v>7</v>
      </c>
      <c r="V26" s="57" t="n">
        <f aca="false">S26*(SQRT(U26))</f>
        <v>5.29150262212918</v>
      </c>
      <c r="X26" s="35" t="n">
        <v>7</v>
      </c>
      <c r="Y26" s="35" t="n">
        <v>4</v>
      </c>
      <c r="Z26" s="36" t="n">
        <v>7</v>
      </c>
      <c r="AA26" s="36" t="n">
        <v>7</v>
      </c>
      <c r="AB26" s="57" t="n">
        <f aca="false">Y26*(SQRT(AA26))</f>
        <v>10.5830052442584</v>
      </c>
      <c r="AD26" s="35" t="n">
        <v>8</v>
      </c>
      <c r="AE26" s="58" t="n">
        <v>5.29150262212918</v>
      </c>
      <c r="AF26" s="35" t="n">
        <v>7</v>
      </c>
      <c r="AG26" s="58" t="n">
        <v>10.5830052442584</v>
      </c>
      <c r="AH26" s="33" t="n">
        <v>0.11</v>
      </c>
    </row>
    <row r="27" customFormat="false" ht="15" hidden="false" customHeight="false" outlineLevel="0" collapsed="false">
      <c r="A27" s="55" t="n">
        <v>30464774</v>
      </c>
      <c r="B27" s="55" t="s">
        <v>418</v>
      </c>
      <c r="C27" s="55" t="s">
        <v>419</v>
      </c>
      <c r="D27" s="55" t="s">
        <v>420</v>
      </c>
      <c r="E27" s="55" t="n">
        <v>2018</v>
      </c>
      <c r="F27" s="55" t="s">
        <v>421</v>
      </c>
      <c r="G27" s="55" t="n">
        <v>1</v>
      </c>
      <c r="H27" s="31" t="s">
        <v>55</v>
      </c>
      <c r="I27" s="31" t="s">
        <v>34</v>
      </c>
      <c r="K27" s="31" t="n">
        <v>180</v>
      </c>
      <c r="L27" s="31" t="n">
        <v>1</v>
      </c>
      <c r="M27" s="62" t="n">
        <v>28</v>
      </c>
      <c r="N27" s="33" t="n">
        <f aca="false">M27*K27</f>
        <v>5040</v>
      </c>
      <c r="P27" s="31" t="n">
        <v>5</v>
      </c>
      <c r="Q27" s="31" t="s">
        <v>237</v>
      </c>
      <c r="R27" s="35" t="n">
        <v>7</v>
      </c>
      <c r="S27" s="35" t="n">
        <v>2</v>
      </c>
      <c r="T27" s="36" t="n">
        <v>7</v>
      </c>
      <c r="U27" s="36" t="n">
        <v>7</v>
      </c>
      <c r="V27" s="57" t="n">
        <f aca="false">S27*(SQRT(U27))</f>
        <v>5.29150262212918</v>
      </c>
      <c r="X27" s="35" t="n">
        <v>7</v>
      </c>
      <c r="Y27" s="35" t="n">
        <v>2</v>
      </c>
      <c r="Z27" s="36" t="n">
        <v>7</v>
      </c>
      <c r="AA27" s="36" t="n">
        <v>7</v>
      </c>
      <c r="AB27" s="57" t="n">
        <f aca="false">Y27*(SQRT(AA27))</f>
        <v>5.29150262212918</v>
      </c>
      <c r="AD27" s="35" t="n">
        <v>7</v>
      </c>
      <c r="AE27" s="58" t="n">
        <v>5.29150262212918</v>
      </c>
      <c r="AF27" s="35" t="n">
        <v>7</v>
      </c>
      <c r="AG27" s="58" t="n">
        <v>5.29150262212918</v>
      </c>
      <c r="AH27" s="33" t="n">
        <v>0</v>
      </c>
    </row>
    <row r="28" customFormat="false" ht="15" hidden="false" customHeight="false" outlineLevel="0" collapsed="false">
      <c r="A28" s="31" t="n">
        <v>30458283</v>
      </c>
      <c r="B28" s="31" t="s">
        <v>422</v>
      </c>
      <c r="C28" s="31" t="s">
        <v>423</v>
      </c>
      <c r="D28" s="31" t="s">
        <v>424</v>
      </c>
      <c r="E28" s="31" t="n">
        <v>2019</v>
      </c>
      <c r="F28" s="31" t="s">
        <v>425</v>
      </c>
      <c r="G28" s="31" t="n">
        <v>1</v>
      </c>
      <c r="H28" s="31" t="s">
        <v>55</v>
      </c>
      <c r="I28" s="31" t="s">
        <v>34</v>
      </c>
      <c r="K28" s="31" t="n">
        <v>360</v>
      </c>
      <c r="L28" s="31" t="n">
        <v>1</v>
      </c>
      <c r="M28" s="33" t="n">
        <v>10</v>
      </c>
      <c r="N28" s="33" t="n">
        <f aca="false">M28*K28</f>
        <v>3600</v>
      </c>
      <c r="P28" s="31" t="n">
        <v>5</v>
      </c>
      <c r="Q28" s="31" t="s">
        <v>121</v>
      </c>
      <c r="R28" s="35" t="n">
        <v>81</v>
      </c>
      <c r="S28" s="35" t="n">
        <v>11</v>
      </c>
      <c r="T28" s="32" t="s">
        <v>426</v>
      </c>
      <c r="U28" s="36" t="n">
        <v>12</v>
      </c>
      <c r="V28" s="57" t="n">
        <f aca="false">S28*(SQRT(U28))</f>
        <v>38.1051177665153</v>
      </c>
      <c r="X28" s="35" t="n">
        <v>80</v>
      </c>
      <c r="Y28" s="35" t="n">
        <v>12</v>
      </c>
      <c r="Z28" s="32" t="s">
        <v>427</v>
      </c>
      <c r="AA28" s="36" t="n">
        <v>11</v>
      </c>
      <c r="AB28" s="57" t="n">
        <f aca="false">Y28*(SQRT(AA28))</f>
        <v>39.7994974842648</v>
      </c>
      <c r="AD28" s="35" t="n">
        <v>81</v>
      </c>
      <c r="AE28" s="58" t="n">
        <v>38.1051177665153</v>
      </c>
      <c r="AF28" s="35" t="n">
        <v>80</v>
      </c>
      <c r="AG28" s="58" t="n">
        <v>39.7994974842648</v>
      </c>
      <c r="AH28" s="66" t="n">
        <v>0.02</v>
      </c>
      <c r="AI28" s="66" t="s">
        <v>167</v>
      </c>
    </row>
    <row r="29" customFormat="false" ht="15" hidden="false" customHeight="false" outlineLevel="0" collapsed="false">
      <c r="A29" s="31" t="n">
        <v>29317595</v>
      </c>
      <c r="B29" s="31" t="s">
        <v>192</v>
      </c>
      <c r="C29" s="31" t="s">
        <v>193</v>
      </c>
      <c r="D29" s="31" t="s">
        <v>194</v>
      </c>
      <c r="E29" s="31" t="n">
        <v>2018</v>
      </c>
      <c r="F29" s="31" t="s">
        <v>195</v>
      </c>
      <c r="G29" s="31" t="n">
        <v>1</v>
      </c>
      <c r="H29" s="31" t="s">
        <v>27</v>
      </c>
      <c r="I29" s="31" t="s">
        <v>34</v>
      </c>
      <c r="K29" s="31" t="n">
        <v>360</v>
      </c>
      <c r="L29" s="31" t="n">
        <v>1</v>
      </c>
      <c r="M29" s="33" t="n">
        <v>21</v>
      </c>
      <c r="N29" s="33" t="n">
        <f aca="false">M29*K29</f>
        <v>7560</v>
      </c>
      <c r="P29" s="31" t="n">
        <v>5</v>
      </c>
      <c r="Q29" s="31" t="s">
        <v>428</v>
      </c>
      <c r="R29" s="56"/>
      <c r="S29" s="56"/>
      <c r="T29" s="56"/>
      <c r="U29" s="56"/>
      <c r="V29" s="56"/>
      <c r="X29" s="56"/>
      <c r="Y29" s="56"/>
      <c r="Z29" s="56"/>
      <c r="AA29" s="56"/>
      <c r="AB29" s="56"/>
      <c r="AD29" s="56"/>
      <c r="AE29" s="61"/>
      <c r="AF29" s="56"/>
      <c r="AG29" s="61"/>
      <c r="AH29" s="56"/>
    </row>
    <row r="30" customFormat="false" ht="15" hidden="false" customHeight="false" outlineLevel="0" collapsed="false">
      <c r="A30" s="31" t="n">
        <v>28662512</v>
      </c>
      <c r="B30" s="31" t="s">
        <v>429</v>
      </c>
      <c r="C30" s="31" t="s">
        <v>430</v>
      </c>
      <c r="D30" s="31" t="s">
        <v>431</v>
      </c>
      <c r="E30" s="31" t="n">
        <v>2017</v>
      </c>
      <c r="F30" s="31" t="s">
        <v>432</v>
      </c>
      <c r="G30" s="31" t="n">
        <v>1</v>
      </c>
      <c r="H30" s="31" t="s">
        <v>27</v>
      </c>
      <c r="I30" s="31" t="s">
        <v>34</v>
      </c>
      <c r="J30" s="32" t="s">
        <v>400</v>
      </c>
      <c r="K30" s="31" t="n">
        <v>360</v>
      </c>
      <c r="L30" s="31" t="n">
        <v>1</v>
      </c>
      <c r="M30" s="33" t="n">
        <v>21</v>
      </c>
      <c r="N30" s="33" t="n">
        <f aca="false">M30*K30</f>
        <v>7560</v>
      </c>
      <c r="P30" s="31" t="n">
        <v>5</v>
      </c>
      <c r="Q30" s="31" t="s">
        <v>237</v>
      </c>
      <c r="R30" s="35" t="n">
        <v>11</v>
      </c>
      <c r="S30" s="35" t="s">
        <v>48</v>
      </c>
      <c r="T30" s="36" t="n">
        <v>20</v>
      </c>
      <c r="V30" s="35" t="n">
        <v>6</v>
      </c>
      <c r="X30" s="35" t="n">
        <v>3</v>
      </c>
      <c r="Y30" s="35" t="s">
        <v>48</v>
      </c>
      <c r="Z30" s="36" t="n">
        <v>20</v>
      </c>
      <c r="AB30" s="35" t="n">
        <v>1</v>
      </c>
      <c r="AD30" s="35" t="n">
        <v>11</v>
      </c>
      <c r="AE30" s="58" t="n">
        <v>6</v>
      </c>
      <c r="AF30" s="35" t="n">
        <v>3</v>
      </c>
      <c r="AG30" s="58" t="n">
        <v>1</v>
      </c>
      <c r="AH30" s="33" t="n">
        <v>1.86</v>
      </c>
    </row>
    <row r="31" customFormat="false" ht="15" hidden="false" customHeight="false" outlineLevel="0" collapsed="false">
      <c r="A31" s="31" t="n">
        <v>27957715</v>
      </c>
      <c r="B31" s="31" t="s">
        <v>213</v>
      </c>
      <c r="C31" s="31" t="s">
        <v>214</v>
      </c>
      <c r="D31" s="31" t="s">
        <v>94</v>
      </c>
      <c r="E31" s="31" t="n">
        <v>2017</v>
      </c>
      <c r="F31" s="31" t="s">
        <v>215</v>
      </c>
      <c r="G31" s="31" t="n">
        <v>1</v>
      </c>
      <c r="H31" s="31" t="s">
        <v>55</v>
      </c>
      <c r="I31" s="31" t="s">
        <v>99</v>
      </c>
      <c r="J31" s="32" t="s">
        <v>216</v>
      </c>
      <c r="K31" s="31" t="n">
        <v>360</v>
      </c>
      <c r="L31" s="31" t="n">
        <v>1</v>
      </c>
      <c r="M31" s="33" t="n">
        <v>21</v>
      </c>
      <c r="N31" s="33" t="n">
        <f aca="false">M31*K31</f>
        <v>7560</v>
      </c>
      <c r="P31" s="31" t="n">
        <v>5</v>
      </c>
      <c r="Q31" s="31" t="s">
        <v>433</v>
      </c>
      <c r="T31" s="56"/>
      <c r="V31" s="57"/>
      <c r="Z31" s="56"/>
      <c r="AB31" s="57"/>
      <c r="AD31" s="56"/>
      <c r="AE31" s="61"/>
      <c r="AF31" s="56"/>
      <c r="AG31" s="61"/>
      <c r="AH31" s="56"/>
    </row>
    <row r="32" customFormat="false" ht="15" hidden="false" customHeight="false" outlineLevel="0" collapsed="false">
      <c r="A32" s="31" t="n">
        <v>26947756</v>
      </c>
      <c r="B32" s="31" t="s">
        <v>239</v>
      </c>
      <c r="C32" s="31" t="s">
        <v>240</v>
      </c>
      <c r="D32" s="31" t="s">
        <v>74</v>
      </c>
      <c r="E32" s="31" t="n">
        <v>2016</v>
      </c>
      <c r="F32" s="31" t="s">
        <v>241</v>
      </c>
      <c r="G32" s="31" t="n">
        <v>1</v>
      </c>
      <c r="H32" s="31" t="s">
        <v>27</v>
      </c>
      <c r="I32" s="31" t="s">
        <v>34</v>
      </c>
      <c r="K32" s="31" t="n">
        <v>360</v>
      </c>
      <c r="L32" s="31" t="n">
        <v>1</v>
      </c>
      <c r="M32" s="33" t="n">
        <v>21</v>
      </c>
      <c r="N32" s="33" t="n">
        <f aca="false">M32*K32</f>
        <v>7560</v>
      </c>
      <c r="P32" s="31" t="n">
        <v>5</v>
      </c>
      <c r="Q32" s="31" t="s">
        <v>196</v>
      </c>
      <c r="R32" s="35" t="n">
        <v>33</v>
      </c>
      <c r="S32" s="35" t="n">
        <v>12</v>
      </c>
      <c r="T32" s="36" t="n">
        <v>8</v>
      </c>
      <c r="U32" s="36" t="n">
        <v>8</v>
      </c>
      <c r="V32" s="57" t="n">
        <f aca="false">S32*(SQRT(U32))</f>
        <v>33.9411254969543</v>
      </c>
      <c r="X32" s="35" t="n">
        <v>26</v>
      </c>
      <c r="Y32" s="35" t="n">
        <v>16</v>
      </c>
      <c r="Z32" s="36" t="n">
        <v>8</v>
      </c>
      <c r="AA32" s="36" t="n">
        <v>8</v>
      </c>
      <c r="AB32" s="57" t="n">
        <f aca="false">Y32*(SQRT(AA32))</f>
        <v>45.254833995939</v>
      </c>
      <c r="AD32" s="35" t="n">
        <v>33</v>
      </c>
      <c r="AE32" s="58" t="n">
        <v>33.9411254969543</v>
      </c>
      <c r="AF32" s="35" t="n">
        <v>26</v>
      </c>
      <c r="AG32" s="58" t="n">
        <v>45.254833995939</v>
      </c>
      <c r="AH32" s="33" t="n">
        <v>0.18</v>
      </c>
    </row>
    <row r="33" customFormat="false" ht="15" hidden="false" customHeight="false" outlineLevel="0" collapsed="false">
      <c r="A33" s="31" t="n">
        <v>26555398</v>
      </c>
      <c r="B33" s="31" t="s">
        <v>247</v>
      </c>
      <c r="C33" s="31" t="s">
        <v>248</v>
      </c>
      <c r="D33" s="31" t="s">
        <v>249</v>
      </c>
      <c r="E33" s="31" t="n">
        <v>2016</v>
      </c>
      <c r="F33" s="31" t="s">
        <v>250</v>
      </c>
      <c r="G33" s="31" t="n">
        <v>1</v>
      </c>
      <c r="H33" s="31" t="s">
        <v>27</v>
      </c>
      <c r="I33" s="31" t="s">
        <v>34</v>
      </c>
      <c r="K33" s="31" t="n">
        <v>240</v>
      </c>
      <c r="L33" s="31" t="n">
        <v>1</v>
      </c>
      <c r="M33" s="33" t="n">
        <v>5</v>
      </c>
      <c r="N33" s="33" t="n">
        <f aca="false">M33*K33</f>
        <v>1200</v>
      </c>
      <c r="O33" s="31" t="s">
        <v>251</v>
      </c>
      <c r="P33" s="31" t="n">
        <v>5</v>
      </c>
      <c r="Q33" s="31" t="s">
        <v>434</v>
      </c>
      <c r="R33" s="35" t="n">
        <v>27</v>
      </c>
      <c r="S33" s="35" t="n">
        <v>7</v>
      </c>
      <c r="T33" s="32" t="s">
        <v>426</v>
      </c>
      <c r="U33" s="36" t="n">
        <v>12</v>
      </c>
      <c r="V33" s="57" t="n">
        <f aca="false">S33*(SQRT(U33))</f>
        <v>24.2487113059643</v>
      </c>
      <c r="X33" s="35" t="n">
        <v>33</v>
      </c>
      <c r="Y33" s="35" t="n">
        <v>9</v>
      </c>
      <c r="Z33" s="32" t="s">
        <v>426</v>
      </c>
      <c r="AA33" s="36" t="n">
        <v>12</v>
      </c>
      <c r="AB33" s="57" t="n">
        <f aca="false">Y33*(SQRT(AA33))</f>
        <v>31.1769145362398</v>
      </c>
      <c r="AD33" s="35" t="n">
        <v>27</v>
      </c>
      <c r="AE33" s="58" t="n">
        <v>24.2487113059643</v>
      </c>
      <c r="AF33" s="35" t="n">
        <v>33</v>
      </c>
      <c r="AG33" s="58" t="n">
        <v>31.1769145362398</v>
      </c>
      <c r="AH33" s="33" t="n">
        <v>-0.22</v>
      </c>
      <c r="AI33" s="63" t="s">
        <v>50</v>
      </c>
    </row>
    <row r="34" customFormat="false" ht="15" hidden="false" customHeight="false" outlineLevel="0" collapsed="false">
      <c r="G34" s="37"/>
      <c r="AE34" s="58"/>
    </row>
    <row r="35" customFormat="false" ht="15" hidden="false" customHeight="false" outlineLevel="0" collapsed="false">
      <c r="AE35" s="58"/>
    </row>
    <row r="36" customFormat="false" ht="15" hidden="false" customHeight="false" outlineLevel="0" collapsed="false">
      <c r="AE36" s="58"/>
    </row>
    <row r="37" customFormat="false" ht="15" hidden="false" customHeight="false" outlineLevel="0" collapsed="false">
      <c r="AE37" s="58"/>
    </row>
    <row r="38" customFormat="false" ht="15" hidden="false" customHeight="false" outlineLevel="0" collapsed="false">
      <c r="AE38" s="58"/>
    </row>
    <row r="39" customFormat="false" ht="15" hidden="false" customHeight="false" outlineLevel="0" collapsed="false">
      <c r="AE39" s="58"/>
    </row>
    <row r="40" customFormat="false" ht="15" hidden="false" customHeight="false" outlineLevel="0" collapsed="false">
      <c r="AE40" s="58"/>
    </row>
    <row r="41" customFormat="false" ht="15" hidden="false" customHeight="false" outlineLevel="0" collapsed="false">
      <c r="AE41" s="58"/>
    </row>
    <row r="42" customFormat="false" ht="15" hidden="false" customHeight="false" outlineLevel="0" collapsed="false">
      <c r="AE42" s="58"/>
    </row>
    <row r="43" customFormat="false" ht="15" hidden="false" customHeight="false" outlineLevel="0" collapsed="false">
      <c r="AE43" s="58"/>
    </row>
    <row r="44" customFormat="false" ht="15" hidden="false" customHeight="false" outlineLevel="0" collapsed="false">
      <c r="AE44" s="58"/>
    </row>
    <row r="45" customFormat="false" ht="15" hidden="false" customHeight="false" outlineLevel="0" collapsed="false">
      <c r="AE45" s="58"/>
    </row>
    <row r="46" customFormat="false" ht="15" hidden="false" customHeight="false" outlineLevel="0" collapsed="false">
      <c r="AE46" s="58"/>
    </row>
    <row r="47" customFormat="false" ht="15" hidden="false" customHeight="false" outlineLevel="0" collapsed="false">
      <c r="AE47" s="58"/>
    </row>
    <row r="48" customFormat="false" ht="15" hidden="false" customHeight="false" outlineLevel="0" collapsed="false">
      <c r="AE48" s="58"/>
    </row>
    <row r="49" customFormat="false" ht="15" hidden="false" customHeight="false" outlineLevel="0" collapsed="false">
      <c r="AE49" s="58"/>
    </row>
    <row r="50" customFormat="false" ht="15" hidden="false" customHeight="false" outlineLevel="0" collapsed="false">
      <c r="AE50" s="58"/>
    </row>
    <row r="51" customFormat="false" ht="15" hidden="false" customHeight="false" outlineLevel="0" collapsed="false">
      <c r="AE51" s="58"/>
    </row>
    <row r="52" customFormat="false" ht="15" hidden="false" customHeight="false" outlineLevel="0" collapsed="false">
      <c r="AE52" s="58"/>
    </row>
    <row r="53" customFormat="false" ht="15" hidden="false" customHeight="false" outlineLevel="0" collapsed="false">
      <c r="AE53" s="58"/>
    </row>
    <row r="54" customFormat="false" ht="15" hidden="false" customHeight="false" outlineLevel="0" collapsed="false">
      <c r="AE54" s="5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60"/>
  <sheetViews>
    <sheetView showFormulas="false" showGridLines="true" showRowColHeaders="true" showZeros="true" rightToLeft="false" tabSelected="true" showOutlineSymbols="true" defaultGridColor="true" view="normal" topLeftCell="A26" colorId="64" zoomScale="100" zoomScaleNormal="100" zoomScalePageLayoutView="100" workbookViewId="0">
      <selection pane="topLeft" activeCell="M62" activeCellId="0" sqref="M62"/>
    </sheetView>
  </sheetViews>
  <sheetFormatPr defaultColWidth="8.59765625" defaultRowHeight="15" zeroHeight="false" outlineLevelRow="0" outlineLevelCol="0"/>
  <cols>
    <col collapsed="false" customWidth="true" hidden="false" outlineLevel="0" max="2" min="2" style="31" width="33"/>
    <col collapsed="false" customWidth="true" hidden="false" outlineLevel="0" max="3" min="3" style="31" width="12.14"/>
    <col collapsed="false" customWidth="true" hidden="false" outlineLevel="0" max="4" min="4" style="31" width="15.57"/>
    <col collapsed="false" customWidth="true" hidden="false" outlineLevel="0" max="6" min="6" style="31" width="29.14"/>
    <col collapsed="false" customWidth="true" hidden="false" outlineLevel="0" max="7" min="7" style="31" width="4.57"/>
    <col collapsed="false" customWidth="true" hidden="false" outlineLevel="0" max="9" min="8" style="31" width="5.71"/>
    <col collapsed="false" customWidth="true" hidden="false" outlineLevel="0" max="10" min="10" style="32" width="5.71"/>
    <col collapsed="false" customWidth="true" hidden="false" outlineLevel="0" max="12" min="11" style="31" width="5.71"/>
    <col collapsed="false" customWidth="true" hidden="false" outlineLevel="0" max="14" min="13" style="33" width="7"/>
    <col collapsed="false" customWidth="true" hidden="false" outlineLevel="0" max="15" min="15" style="31" width="7"/>
    <col collapsed="false" customWidth="true" hidden="false" outlineLevel="0" max="16" min="16" style="31" width="19.15"/>
    <col collapsed="false" customWidth="true" hidden="false" outlineLevel="0" max="17" min="17" style="31" width="9.3"/>
    <col collapsed="false" customWidth="true" hidden="false" outlineLevel="0" max="18" min="18" style="35" width="14"/>
    <col collapsed="false" customWidth="true" hidden="false" outlineLevel="0" max="19" min="19" style="35" width="11.86"/>
    <col collapsed="false" customWidth="true" hidden="false" outlineLevel="0" max="21" min="20" style="36" width="8.86"/>
    <col collapsed="false" customWidth="true" hidden="false" outlineLevel="0" max="22" min="22" style="35" width="18.86"/>
    <col collapsed="false" customWidth="true" hidden="false" outlineLevel="0" max="23" min="23" style="35" width="2.7"/>
    <col collapsed="false" customWidth="true" hidden="false" outlineLevel="0" max="24" min="24" style="35" width="14.14"/>
    <col collapsed="false" customWidth="true" hidden="false" outlineLevel="0" max="25" min="25" style="35" width="11.86"/>
    <col collapsed="false" customWidth="false" hidden="false" outlineLevel="0" max="27" min="26" style="36" width="8.57"/>
    <col collapsed="false" customWidth="true" hidden="false" outlineLevel="0" max="28" min="28" style="35" width="18.86"/>
    <col collapsed="false" customWidth="true" hidden="false" outlineLevel="0" max="29" min="29" style="33" width="3.72"/>
    <col collapsed="false" customWidth="true" hidden="false" outlineLevel="0" max="30" min="30" style="35" width="15"/>
    <col collapsed="false" customWidth="true" hidden="false" outlineLevel="0" max="31" min="31" style="57" width="5.14"/>
    <col collapsed="false" customWidth="true" hidden="false" outlineLevel="0" max="32" min="32" style="35" width="12.43"/>
    <col collapsed="false" customWidth="true" hidden="false" outlineLevel="0" max="33" min="33" style="35" width="5.14"/>
    <col collapsed="false" customWidth="true" hidden="false" outlineLevel="0" max="34" min="34" style="33" width="11.57"/>
    <col collapsed="false" customWidth="true" hidden="false" outlineLevel="0" max="35" min="35" style="31" width="42.7"/>
    <col collapsed="false" customWidth="true" hidden="false" outlineLevel="0" max="36" min="36" style="31" width="18.14"/>
  </cols>
  <sheetData>
    <row r="1" customFormat="false" ht="15" hidden="false" customHeight="false" outlineLevel="0" collapsed="false">
      <c r="R1" s="39" t="s">
        <v>435</v>
      </c>
      <c r="S1" s="40"/>
      <c r="T1" s="41"/>
      <c r="U1" s="41"/>
      <c r="V1" s="40"/>
      <c r="W1" s="38"/>
      <c r="X1" s="42" t="s">
        <v>436</v>
      </c>
      <c r="Y1" s="43"/>
      <c r="Z1" s="44"/>
      <c r="AA1" s="44"/>
      <c r="AB1" s="43"/>
      <c r="AC1" s="38"/>
      <c r="AD1" s="38"/>
      <c r="AE1" s="67"/>
      <c r="AF1" s="38"/>
      <c r="AG1" s="38"/>
      <c r="AH1" s="38"/>
    </row>
    <row r="2" s="37" customFormat="true" ht="15" hidden="false" customHeight="false" outlineLevel="0" collapsed="false">
      <c r="A2" s="37" t="s">
        <v>2</v>
      </c>
      <c r="B2" s="37" t="s">
        <v>3</v>
      </c>
      <c r="C2" s="37" t="s">
        <v>4</v>
      </c>
      <c r="D2" s="37" t="s">
        <v>5</v>
      </c>
      <c r="E2" s="37" t="s">
        <v>6</v>
      </c>
      <c r="F2" s="37" t="s">
        <v>7</v>
      </c>
      <c r="G2" s="37" t="s">
        <v>437</v>
      </c>
      <c r="H2" s="37" t="s">
        <v>9</v>
      </c>
      <c r="I2" s="37" t="s">
        <v>10</v>
      </c>
      <c r="J2" s="45" t="s">
        <v>11</v>
      </c>
      <c r="K2" s="37" t="s">
        <v>12</v>
      </c>
      <c r="L2" s="37" t="s">
        <v>13</v>
      </c>
      <c r="M2" s="46" t="s">
        <v>14</v>
      </c>
      <c r="N2" s="46" t="s">
        <v>15</v>
      </c>
      <c r="O2" s="37" t="s">
        <v>16</v>
      </c>
      <c r="P2" s="37" t="s">
        <v>438</v>
      </c>
      <c r="Q2" s="37" t="s">
        <v>19</v>
      </c>
      <c r="R2" s="48" t="s">
        <v>20</v>
      </c>
      <c r="S2" s="49" t="s">
        <v>283</v>
      </c>
      <c r="T2" s="50" t="s">
        <v>22</v>
      </c>
      <c r="U2" s="50" t="s">
        <v>23</v>
      </c>
      <c r="V2" s="49" t="s">
        <v>24</v>
      </c>
      <c r="W2" s="35"/>
      <c r="X2" s="51" t="s">
        <v>25</v>
      </c>
      <c r="Y2" s="52" t="s">
        <v>284</v>
      </c>
      <c r="Z2" s="53" t="s">
        <v>22</v>
      </c>
      <c r="AA2" s="53" t="s">
        <v>23</v>
      </c>
      <c r="AB2" s="52" t="s">
        <v>24</v>
      </c>
      <c r="AC2" s="33"/>
      <c r="AD2" s="54" t="s">
        <v>20</v>
      </c>
      <c r="AE2" s="68" t="s">
        <v>27</v>
      </c>
      <c r="AF2" s="54" t="s">
        <v>28</v>
      </c>
      <c r="AG2" s="54" t="s">
        <v>27</v>
      </c>
      <c r="AH2" s="54" t="s">
        <v>29</v>
      </c>
    </row>
    <row r="3" customFormat="false" ht="15" hidden="false" customHeight="false" outlineLevel="0" collapsed="false">
      <c r="A3" s="31" t="n">
        <v>39214423</v>
      </c>
      <c r="B3" s="31" t="s">
        <v>375</v>
      </c>
      <c r="C3" s="31" t="s">
        <v>376</v>
      </c>
      <c r="D3" s="31" t="s">
        <v>74</v>
      </c>
      <c r="E3" s="31" t="n">
        <v>2024</v>
      </c>
      <c r="F3" s="31" t="s">
        <v>377</v>
      </c>
      <c r="G3" s="31" t="n">
        <v>1</v>
      </c>
      <c r="H3" s="31" t="s">
        <v>27</v>
      </c>
      <c r="I3" s="31" t="s">
        <v>34</v>
      </c>
      <c r="K3" s="31" t="n">
        <v>360</v>
      </c>
      <c r="L3" s="31" t="n">
        <v>1</v>
      </c>
      <c r="M3" s="33" t="n">
        <v>28</v>
      </c>
      <c r="N3" s="33" t="n">
        <f aca="false">M3*K3</f>
        <v>10080</v>
      </c>
      <c r="P3" s="31" t="n">
        <v>5</v>
      </c>
      <c r="Q3" s="31" t="s">
        <v>266</v>
      </c>
      <c r="R3" s="35" t="n">
        <v>22</v>
      </c>
      <c r="S3" s="35" t="n">
        <v>1.5</v>
      </c>
      <c r="T3" s="36" t="n">
        <v>6</v>
      </c>
      <c r="U3" s="36" t="n">
        <v>6</v>
      </c>
      <c r="V3" s="57" t="n">
        <f aca="false">S3*(SQRT(U3))</f>
        <v>3.67423461417477</v>
      </c>
      <c r="X3" s="35" t="n">
        <v>7.6</v>
      </c>
      <c r="Y3" s="35" t="n">
        <v>1</v>
      </c>
      <c r="Z3" s="36" t="n">
        <v>6</v>
      </c>
      <c r="AA3" s="36" t="n">
        <v>6</v>
      </c>
      <c r="AB3" s="57" t="n">
        <f aca="false">Y3*(SQRT(AA3))</f>
        <v>2.44948974278318</v>
      </c>
      <c r="AD3" s="35" t="n">
        <v>22</v>
      </c>
      <c r="AE3" s="58" t="n">
        <v>3.67423461417477</v>
      </c>
      <c r="AF3" s="35" t="n">
        <v>7.6</v>
      </c>
      <c r="AG3" s="58" t="n">
        <v>2.44948974278318</v>
      </c>
      <c r="AH3" s="33" t="n">
        <v>4.6</v>
      </c>
    </row>
    <row r="4" customFormat="false" ht="15" hidden="false" customHeight="false" outlineLevel="0" collapsed="false">
      <c r="A4" s="31" t="n">
        <v>38882046</v>
      </c>
      <c r="B4" s="31" t="s">
        <v>43</v>
      </c>
      <c r="C4" s="31" t="s">
        <v>44</v>
      </c>
      <c r="D4" s="31" t="s">
        <v>45</v>
      </c>
      <c r="E4" s="31" t="n">
        <v>2024</v>
      </c>
      <c r="F4" s="31" t="s">
        <v>46</v>
      </c>
      <c r="G4" s="31" t="n">
        <v>1</v>
      </c>
      <c r="H4" s="31" t="s">
        <v>27</v>
      </c>
      <c r="I4" s="31" t="s">
        <v>34</v>
      </c>
      <c r="K4" s="31" t="n">
        <v>180</v>
      </c>
      <c r="L4" s="31" t="n">
        <v>1</v>
      </c>
      <c r="M4" s="33" t="n">
        <v>28</v>
      </c>
      <c r="N4" s="33" t="n">
        <f aca="false">M4*K4</f>
        <v>5040</v>
      </c>
      <c r="P4" s="31" t="n">
        <v>4</v>
      </c>
      <c r="R4" s="56"/>
      <c r="S4" s="56"/>
      <c r="T4" s="56"/>
      <c r="U4" s="56"/>
      <c r="V4" s="56"/>
      <c r="X4" s="56"/>
      <c r="Y4" s="56"/>
      <c r="Z4" s="56"/>
      <c r="AA4" s="56"/>
      <c r="AB4" s="56"/>
      <c r="AD4" s="56"/>
      <c r="AE4" s="56"/>
      <c r="AF4" s="56"/>
      <c r="AG4" s="56"/>
      <c r="AH4" s="56"/>
      <c r="AI4" s="31" t="s">
        <v>439</v>
      </c>
    </row>
    <row r="5" customFormat="false" ht="15" hidden="false" customHeight="false" outlineLevel="0" collapsed="false">
      <c r="A5" s="31" t="n">
        <v>38703343</v>
      </c>
      <c r="B5" s="31" t="s">
        <v>51</v>
      </c>
      <c r="C5" s="31" t="s">
        <v>52</v>
      </c>
      <c r="D5" s="31" t="s">
        <v>53</v>
      </c>
      <c r="E5" s="31" t="n">
        <v>2024</v>
      </c>
      <c r="F5" s="31" t="s">
        <v>54</v>
      </c>
      <c r="G5" s="31" t="n">
        <v>1</v>
      </c>
      <c r="H5" s="31" t="s">
        <v>55</v>
      </c>
      <c r="I5" s="31" t="s">
        <v>34</v>
      </c>
      <c r="J5" s="32" t="s">
        <v>56</v>
      </c>
      <c r="K5" s="31" t="n">
        <v>360</v>
      </c>
      <c r="L5" s="31" t="n">
        <v>1</v>
      </c>
      <c r="M5" s="33" t="n">
        <v>21</v>
      </c>
      <c r="N5" s="33" t="n">
        <f aca="false">M5*K5</f>
        <v>7560</v>
      </c>
      <c r="P5" s="31" t="n">
        <v>5</v>
      </c>
      <c r="R5" s="56"/>
      <c r="S5" s="56"/>
      <c r="T5" s="56"/>
      <c r="U5" s="56"/>
      <c r="V5" s="56"/>
      <c r="X5" s="56"/>
      <c r="Y5" s="56"/>
      <c r="Z5" s="56"/>
      <c r="AA5" s="56"/>
      <c r="AB5" s="56"/>
      <c r="AD5" s="56"/>
      <c r="AE5" s="56"/>
      <c r="AF5" s="56"/>
      <c r="AG5" s="56"/>
      <c r="AH5" s="56"/>
      <c r="AI5" s="31" t="s">
        <v>439</v>
      </c>
    </row>
    <row r="6" customFormat="false" ht="15" hidden="false" customHeight="false" outlineLevel="0" collapsed="false">
      <c r="A6" s="55" t="n">
        <v>38655362</v>
      </c>
      <c r="B6" s="55" t="s">
        <v>299</v>
      </c>
      <c r="C6" s="55" t="s">
        <v>300</v>
      </c>
      <c r="D6" s="55" t="s">
        <v>301</v>
      </c>
      <c r="E6" s="55" t="n">
        <v>2024</v>
      </c>
      <c r="F6" s="55" t="s">
        <v>302</v>
      </c>
      <c r="G6" s="55" t="n">
        <v>1</v>
      </c>
      <c r="H6" s="31" t="s">
        <v>27</v>
      </c>
      <c r="I6" s="31" t="s">
        <v>34</v>
      </c>
      <c r="K6" s="31" t="n">
        <v>360</v>
      </c>
      <c r="L6" s="31" t="n">
        <v>1</v>
      </c>
      <c r="M6" s="62" t="n">
        <v>7</v>
      </c>
      <c r="N6" s="33" t="n">
        <f aca="false">M6*K6</f>
        <v>2520</v>
      </c>
      <c r="O6" s="31" t="s">
        <v>440</v>
      </c>
      <c r="P6" s="31" t="n">
        <v>3</v>
      </c>
      <c r="Q6" s="31" t="s">
        <v>111</v>
      </c>
      <c r="R6" s="35" t="n">
        <v>5</v>
      </c>
      <c r="S6" s="35" t="s">
        <v>48</v>
      </c>
      <c r="T6" s="36" t="n">
        <v>11</v>
      </c>
      <c r="U6" s="36" t="n">
        <v>11</v>
      </c>
      <c r="V6" s="35" t="n">
        <v>3.4</v>
      </c>
      <c r="X6" s="35" t="n">
        <v>2.9</v>
      </c>
      <c r="Y6" s="35" t="s">
        <v>48</v>
      </c>
      <c r="Z6" s="36" t="n">
        <v>11</v>
      </c>
      <c r="AA6" s="36" t="n">
        <v>11</v>
      </c>
      <c r="AB6" s="35" t="n">
        <v>1.5</v>
      </c>
      <c r="AD6" s="35" t="n">
        <v>5</v>
      </c>
      <c r="AE6" s="57" t="n">
        <v>3.4</v>
      </c>
      <c r="AF6" s="35" t="n">
        <v>2.9</v>
      </c>
      <c r="AG6" s="35" t="n">
        <v>1.5</v>
      </c>
      <c r="AH6" s="33" t="n">
        <v>0.8</v>
      </c>
    </row>
    <row r="7" customFormat="false" ht="15" hidden="false" customHeight="false" outlineLevel="0" collapsed="false">
      <c r="A7" s="55" t="n">
        <v>38655362</v>
      </c>
      <c r="B7" s="55" t="s">
        <v>299</v>
      </c>
      <c r="C7" s="55" t="s">
        <v>300</v>
      </c>
      <c r="D7" s="55" t="s">
        <v>301</v>
      </c>
      <c r="E7" s="55" t="n">
        <v>2024</v>
      </c>
      <c r="F7" s="55" t="s">
        <v>302</v>
      </c>
      <c r="G7" s="55" t="n">
        <v>1</v>
      </c>
      <c r="H7" s="31" t="s">
        <v>27</v>
      </c>
      <c r="I7" s="31" t="s">
        <v>34</v>
      </c>
      <c r="K7" s="31" t="n">
        <v>360</v>
      </c>
      <c r="L7" s="31" t="n">
        <v>1</v>
      </c>
      <c r="M7" s="62" t="n">
        <v>14</v>
      </c>
      <c r="N7" s="33" t="n">
        <f aca="false">M7*K7</f>
        <v>5040</v>
      </c>
      <c r="O7" s="31" t="s">
        <v>440</v>
      </c>
      <c r="P7" s="31" t="n">
        <v>3</v>
      </c>
      <c r="Q7" s="31" t="s">
        <v>111</v>
      </c>
      <c r="R7" s="35" t="n">
        <v>5</v>
      </c>
      <c r="S7" s="35" t="s">
        <v>48</v>
      </c>
      <c r="T7" s="36" t="n">
        <v>11</v>
      </c>
      <c r="U7" s="36" t="n">
        <v>11</v>
      </c>
      <c r="V7" s="35" t="n">
        <v>3.4</v>
      </c>
      <c r="X7" s="35" t="n">
        <v>1.4</v>
      </c>
      <c r="Y7" s="35" t="s">
        <v>48</v>
      </c>
      <c r="Z7" s="36" t="n">
        <v>11</v>
      </c>
      <c r="AA7" s="36" t="n">
        <v>11</v>
      </c>
      <c r="AB7" s="35" t="n">
        <v>0.6</v>
      </c>
      <c r="AD7" s="35" t="n">
        <v>5</v>
      </c>
      <c r="AE7" s="57" t="n">
        <v>3.4</v>
      </c>
      <c r="AF7" s="35" t="n">
        <v>1.4</v>
      </c>
      <c r="AG7" s="35" t="n">
        <v>0.6</v>
      </c>
      <c r="AH7" s="33" t="n">
        <v>1.95</v>
      </c>
    </row>
    <row r="8" customFormat="false" ht="15" hidden="false" customHeight="false" outlineLevel="0" collapsed="false">
      <c r="A8" s="55" t="n">
        <v>38655362</v>
      </c>
      <c r="B8" s="55" t="s">
        <v>299</v>
      </c>
      <c r="C8" s="55" t="s">
        <v>300</v>
      </c>
      <c r="D8" s="55" t="s">
        <v>301</v>
      </c>
      <c r="E8" s="55" t="n">
        <v>2024</v>
      </c>
      <c r="F8" s="55" t="s">
        <v>302</v>
      </c>
      <c r="G8" s="55" t="n">
        <v>1</v>
      </c>
      <c r="H8" s="31" t="s">
        <v>27</v>
      </c>
      <c r="I8" s="31" t="s">
        <v>34</v>
      </c>
      <c r="K8" s="31" t="n">
        <v>360</v>
      </c>
      <c r="L8" s="31" t="n">
        <v>1</v>
      </c>
      <c r="M8" s="62" t="n">
        <v>21</v>
      </c>
      <c r="N8" s="33" t="n">
        <f aca="false">M8*K8</f>
        <v>7560</v>
      </c>
      <c r="O8" s="31" t="s">
        <v>440</v>
      </c>
      <c r="P8" s="31" t="n">
        <v>3</v>
      </c>
      <c r="Q8" s="31" t="s">
        <v>111</v>
      </c>
      <c r="R8" s="35" t="n">
        <v>5</v>
      </c>
      <c r="S8" s="35" t="s">
        <v>48</v>
      </c>
      <c r="T8" s="36" t="n">
        <v>11</v>
      </c>
      <c r="U8" s="36" t="n">
        <v>11</v>
      </c>
      <c r="V8" s="35" t="n">
        <v>3.4</v>
      </c>
      <c r="X8" s="35" t="n">
        <v>0.2</v>
      </c>
      <c r="Y8" s="35" t="s">
        <v>48</v>
      </c>
      <c r="Z8" s="36" t="n">
        <v>11</v>
      </c>
      <c r="AA8" s="36" t="n">
        <v>11</v>
      </c>
      <c r="AB8" s="35" t="n">
        <v>0.1</v>
      </c>
      <c r="AD8" s="35" t="n">
        <v>5</v>
      </c>
      <c r="AE8" s="57" t="n">
        <v>3.4</v>
      </c>
      <c r="AF8" s="35" t="n">
        <v>0.2</v>
      </c>
      <c r="AG8" s="35" t="n">
        <v>0.1</v>
      </c>
      <c r="AH8" s="33" t="n">
        <v>10.11</v>
      </c>
    </row>
    <row r="9" customFormat="false" ht="15" hidden="false" customHeight="false" outlineLevel="0" collapsed="false">
      <c r="A9" s="31" t="n">
        <v>37315214</v>
      </c>
      <c r="B9" s="31" t="s">
        <v>441</v>
      </c>
      <c r="C9" s="31" t="s">
        <v>442</v>
      </c>
      <c r="D9" s="31" t="s">
        <v>443</v>
      </c>
      <c r="E9" s="31" t="n">
        <v>2023</v>
      </c>
      <c r="F9" s="31" t="s">
        <v>444</v>
      </c>
      <c r="G9" s="31" t="n">
        <v>1</v>
      </c>
      <c r="H9" s="31" t="s">
        <v>55</v>
      </c>
      <c r="I9" s="31" t="s">
        <v>34</v>
      </c>
      <c r="J9" s="32" t="n">
        <v>12</v>
      </c>
      <c r="K9" s="31" t="n">
        <v>120</v>
      </c>
      <c r="L9" s="31" t="n">
        <v>1</v>
      </c>
      <c r="M9" s="33" t="n">
        <v>14</v>
      </c>
      <c r="N9" s="33" t="n">
        <f aca="false">M9*K9</f>
        <v>1680</v>
      </c>
      <c r="P9" s="31" t="n">
        <v>5</v>
      </c>
      <c r="Q9" s="31" t="s">
        <v>71</v>
      </c>
      <c r="R9" s="35" t="n">
        <v>13</v>
      </c>
      <c r="S9" s="35" t="n">
        <v>2</v>
      </c>
      <c r="T9" s="36" t="n">
        <v>8</v>
      </c>
      <c r="U9" s="36" t="n">
        <v>8</v>
      </c>
      <c r="V9" s="57" t="n">
        <f aca="false">S9*(SQRT(U9))</f>
        <v>5.65685424949238</v>
      </c>
      <c r="X9" s="35" t="n">
        <v>4.3</v>
      </c>
      <c r="Y9" s="35" t="n">
        <v>1.8</v>
      </c>
      <c r="Z9" s="36" t="n">
        <v>8</v>
      </c>
      <c r="AA9" s="36" t="n">
        <v>8</v>
      </c>
      <c r="AB9" s="57" t="n">
        <f aca="false">Y9*(SQRT(AA9))</f>
        <v>5.09116882454314</v>
      </c>
      <c r="AD9" s="35" t="n">
        <v>13</v>
      </c>
      <c r="AE9" s="57" t="n">
        <v>5.65685424949238</v>
      </c>
      <c r="AF9" s="35" t="n">
        <v>4.3</v>
      </c>
      <c r="AG9" s="35" t="n">
        <v>5.09116882454314</v>
      </c>
      <c r="AH9" s="33" t="n">
        <v>1.61</v>
      </c>
    </row>
    <row r="10" customFormat="false" ht="15" hidden="false" customHeight="false" outlineLevel="0" collapsed="false">
      <c r="A10" s="31" t="n">
        <v>37259443</v>
      </c>
      <c r="B10" s="31" t="s">
        <v>66</v>
      </c>
      <c r="C10" s="31" t="s">
        <v>67</v>
      </c>
      <c r="D10" s="31" t="s">
        <v>68</v>
      </c>
      <c r="E10" s="31" t="n">
        <v>2023</v>
      </c>
      <c r="F10" s="31" t="s">
        <v>69</v>
      </c>
      <c r="G10" s="31" t="n">
        <v>1</v>
      </c>
      <c r="H10" s="31" t="s">
        <v>55</v>
      </c>
      <c r="I10" s="31" t="s">
        <v>34</v>
      </c>
      <c r="K10" s="31" t="n">
        <v>360</v>
      </c>
      <c r="L10" s="31" t="n">
        <v>1</v>
      </c>
      <c r="M10" s="33" t="n">
        <v>21</v>
      </c>
      <c r="N10" s="33" t="n">
        <f aca="false">M10*K10</f>
        <v>7560</v>
      </c>
      <c r="P10" s="31" t="n">
        <v>3</v>
      </c>
      <c r="R10" s="56"/>
      <c r="S10" s="56"/>
      <c r="T10" s="56"/>
      <c r="U10" s="56"/>
      <c r="V10" s="56"/>
      <c r="X10" s="56"/>
      <c r="Y10" s="56"/>
      <c r="Z10" s="56"/>
      <c r="AA10" s="56"/>
      <c r="AB10" s="56"/>
      <c r="AD10" s="56"/>
      <c r="AE10" s="56"/>
      <c r="AF10" s="56"/>
      <c r="AG10" s="56"/>
      <c r="AH10" s="56"/>
      <c r="AI10" s="31" t="s">
        <v>439</v>
      </c>
    </row>
    <row r="11" customFormat="false" ht="15" hidden="false" customHeight="false" outlineLevel="0" collapsed="false">
      <c r="A11" s="31" t="n">
        <v>37201894</v>
      </c>
      <c r="B11" s="31" t="s">
        <v>72</v>
      </c>
      <c r="C11" s="31" t="s">
        <v>73</v>
      </c>
      <c r="D11" s="31" t="s">
        <v>74</v>
      </c>
      <c r="E11" s="31" t="n">
        <v>2023</v>
      </c>
      <c r="F11" s="31" t="s">
        <v>75</v>
      </c>
      <c r="G11" s="31" t="n">
        <v>1</v>
      </c>
      <c r="H11" s="31" t="s">
        <v>27</v>
      </c>
      <c r="I11" s="31" t="s">
        <v>34</v>
      </c>
      <c r="J11" s="32" t="s">
        <v>76</v>
      </c>
      <c r="K11" s="31" t="n">
        <v>240</v>
      </c>
      <c r="L11" s="31" t="n">
        <v>1</v>
      </c>
      <c r="M11" s="33" t="n">
        <v>35</v>
      </c>
      <c r="N11" s="33" t="n">
        <f aca="false">M11*K11</f>
        <v>8400</v>
      </c>
      <c r="P11" s="31" t="n">
        <v>5</v>
      </c>
      <c r="Q11" s="69" t="s">
        <v>237</v>
      </c>
      <c r="R11" s="35" t="n">
        <v>40</v>
      </c>
      <c r="S11" s="35" t="s">
        <v>48</v>
      </c>
      <c r="V11" s="35" t="n">
        <v>31</v>
      </c>
      <c r="X11" s="35" t="n">
        <v>15</v>
      </c>
      <c r="Y11" s="35" t="s">
        <v>48</v>
      </c>
      <c r="AB11" s="35" t="n">
        <v>21</v>
      </c>
      <c r="AD11" s="35" t="n">
        <v>40</v>
      </c>
      <c r="AE11" s="57" t="n">
        <v>31</v>
      </c>
      <c r="AF11" s="35" t="n">
        <v>15</v>
      </c>
      <c r="AG11" s="35" t="n">
        <v>21</v>
      </c>
      <c r="AH11" s="33" t="n">
        <v>0.98</v>
      </c>
      <c r="AI11" s="31" t="s">
        <v>445</v>
      </c>
    </row>
    <row r="12" customFormat="false" ht="15" hidden="false" customHeight="false" outlineLevel="0" collapsed="false">
      <c r="A12" s="31" t="n">
        <v>36728843</v>
      </c>
      <c r="B12" s="31" t="s">
        <v>85</v>
      </c>
      <c r="C12" s="31" t="s">
        <v>86</v>
      </c>
      <c r="D12" s="31" t="s">
        <v>87</v>
      </c>
      <c r="E12" s="31" t="n">
        <v>2023</v>
      </c>
      <c r="F12" s="31" t="s">
        <v>88</v>
      </c>
      <c r="G12" s="31" t="n">
        <v>1</v>
      </c>
      <c r="H12" s="31" t="s">
        <v>27</v>
      </c>
      <c r="I12" s="31" t="s">
        <v>34</v>
      </c>
      <c r="J12" s="32" t="s">
        <v>89</v>
      </c>
      <c r="K12" s="31" t="n">
        <v>360</v>
      </c>
      <c r="L12" s="31" t="n">
        <v>1</v>
      </c>
      <c r="M12" s="33" t="n">
        <v>28</v>
      </c>
      <c r="N12" s="33" t="n">
        <f aca="false">M12*K12</f>
        <v>10080</v>
      </c>
      <c r="P12" s="31" t="n">
        <v>5</v>
      </c>
      <c r="R12" s="56"/>
      <c r="S12" s="56"/>
      <c r="T12" s="56"/>
      <c r="U12" s="56"/>
      <c r="V12" s="56"/>
      <c r="X12" s="56"/>
      <c r="Y12" s="56"/>
      <c r="Z12" s="56"/>
      <c r="AA12" s="56"/>
      <c r="AB12" s="56"/>
      <c r="AD12" s="56"/>
      <c r="AE12" s="56"/>
      <c r="AF12" s="56"/>
      <c r="AG12" s="56"/>
      <c r="AH12" s="56"/>
      <c r="AI12" s="31" t="s">
        <v>439</v>
      </c>
    </row>
    <row r="13" customFormat="false" ht="15" hidden="false" customHeight="false" outlineLevel="0" collapsed="false">
      <c r="A13" s="31" t="n">
        <v>36345420</v>
      </c>
      <c r="B13" s="31" t="s">
        <v>313</v>
      </c>
      <c r="C13" s="31" t="s">
        <v>314</v>
      </c>
      <c r="D13" s="31" t="s">
        <v>315</v>
      </c>
      <c r="E13" s="31" t="n">
        <v>2022</v>
      </c>
      <c r="F13" s="31" t="s">
        <v>316</v>
      </c>
      <c r="G13" s="31" t="n">
        <v>1</v>
      </c>
      <c r="H13" s="31" t="s">
        <v>27</v>
      </c>
      <c r="I13" s="31" t="s">
        <v>34</v>
      </c>
      <c r="J13" s="32" t="n">
        <v>4</v>
      </c>
      <c r="K13" s="31" t="n">
        <v>240</v>
      </c>
      <c r="L13" s="31" t="n">
        <v>1</v>
      </c>
      <c r="M13" s="33" t="n">
        <v>28</v>
      </c>
      <c r="N13" s="33" t="n">
        <f aca="false">M13*K13</f>
        <v>6720</v>
      </c>
      <c r="O13" s="31" t="s">
        <v>317</v>
      </c>
      <c r="P13" s="31" t="n">
        <v>5</v>
      </c>
      <c r="R13" s="56"/>
      <c r="S13" s="56"/>
      <c r="T13" s="56"/>
      <c r="U13" s="56"/>
      <c r="V13" s="56"/>
      <c r="X13" s="56"/>
      <c r="Y13" s="56"/>
      <c r="Z13" s="56"/>
      <c r="AA13" s="56"/>
      <c r="AB13" s="56"/>
      <c r="AD13" s="56"/>
      <c r="AE13" s="56"/>
      <c r="AF13" s="56"/>
      <c r="AG13" s="56"/>
      <c r="AH13" s="56"/>
      <c r="AI13" s="31" t="s">
        <v>439</v>
      </c>
    </row>
    <row r="14" customFormat="false" ht="15" hidden="false" customHeight="false" outlineLevel="0" collapsed="false">
      <c r="A14" s="31" t="n">
        <v>36162616</v>
      </c>
      <c r="B14" s="31" t="s">
        <v>100</v>
      </c>
      <c r="C14" s="31" t="s">
        <v>101</v>
      </c>
      <c r="D14" s="31" t="s">
        <v>102</v>
      </c>
      <c r="E14" s="31" t="n">
        <v>2022</v>
      </c>
      <c r="F14" s="31" t="s">
        <v>103</v>
      </c>
      <c r="G14" s="31" t="n">
        <v>1</v>
      </c>
      <c r="H14" s="31" t="s">
        <v>55</v>
      </c>
      <c r="I14" s="31" t="s">
        <v>34</v>
      </c>
      <c r="K14" s="31" t="n">
        <v>360</v>
      </c>
      <c r="L14" s="31" t="n">
        <v>1</v>
      </c>
      <c r="M14" s="33" t="n">
        <v>21</v>
      </c>
      <c r="N14" s="33" t="n">
        <f aca="false">M14*K14</f>
        <v>7560</v>
      </c>
      <c r="P14" s="31" t="n">
        <v>3</v>
      </c>
      <c r="R14" s="56"/>
      <c r="S14" s="56"/>
      <c r="T14" s="56"/>
      <c r="U14" s="56"/>
      <c r="V14" s="56"/>
      <c r="X14" s="56"/>
      <c r="Y14" s="56"/>
      <c r="Z14" s="56"/>
      <c r="AA14" s="56"/>
      <c r="AB14" s="56"/>
      <c r="AD14" s="56"/>
      <c r="AE14" s="56"/>
      <c r="AF14" s="56"/>
      <c r="AG14" s="56"/>
      <c r="AH14" s="56"/>
      <c r="AI14" s="31" t="s">
        <v>446</v>
      </c>
    </row>
    <row r="15" customFormat="false" ht="15" hidden="false" customHeight="false" outlineLevel="0" collapsed="false">
      <c r="A15" s="31" t="n">
        <v>36100011</v>
      </c>
      <c r="B15" s="31" t="s">
        <v>108</v>
      </c>
      <c r="C15" s="31" t="s">
        <v>109</v>
      </c>
      <c r="D15" s="31" t="s">
        <v>74</v>
      </c>
      <c r="E15" s="31" t="n">
        <v>2023</v>
      </c>
      <c r="F15" s="31" t="s">
        <v>110</v>
      </c>
      <c r="G15" s="31" t="n">
        <v>1</v>
      </c>
      <c r="H15" s="31" t="s">
        <v>27</v>
      </c>
      <c r="I15" s="31" t="s">
        <v>34</v>
      </c>
      <c r="J15" s="32" t="n">
        <v>6</v>
      </c>
      <c r="K15" s="31" t="n">
        <v>360</v>
      </c>
      <c r="L15" s="31" t="n">
        <v>1</v>
      </c>
      <c r="M15" s="33" t="n">
        <v>21</v>
      </c>
      <c r="N15" s="33" t="n">
        <f aca="false">M15*K15</f>
        <v>7560</v>
      </c>
      <c r="P15" s="31" t="n">
        <v>15</v>
      </c>
      <c r="R15" s="56"/>
      <c r="S15" s="56"/>
      <c r="T15" s="56"/>
      <c r="U15" s="56"/>
      <c r="V15" s="56"/>
      <c r="X15" s="56"/>
      <c r="Y15" s="56"/>
      <c r="Z15" s="56"/>
      <c r="AA15" s="56"/>
      <c r="AB15" s="56"/>
      <c r="AD15" s="56"/>
      <c r="AE15" s="56"/>
      <c r="AF15" s="56"/>
      <c r="AG15" s="56"/>
      <c r="AH15" s="56"/>
      <c r="AI15" s="31" t="s">
        <v>439</v>
      </c>
    </row>
    <row r="16" customFormat="false" ht="15" hidden="false" customHeight="false" outlineLevel="0" collapsed="false">
      <c r="A16" s="31" t="n">
        <v>35925279</v>
      </c>
      <c r="B16" s="31" t="s">
        <v>321</v>
      </c>
      <c r="C16" s="31" t="s">
        <v>322</v>
      </c>
      <c r="D16" s="31" t="s">
        <v>94</v>
      </c>
      <c r="E16" s="31" t="n">
        <v>2022</v>
      </c>
      <c r="F16" s="31" t="s">
        <v>323</v>
      </c>
      <c r="G16" s="31" t="n">
        <v>1</v>
      </c>
      <c r="H16" s="31" t="s">
        <v>324</v>
      </c>
      <c r="I16" s="31" t="s">
        <v>34</v>
      </c>
      <c r="J16" s="32" t="n">
        <v>8</v>
      </c>
      <c r="K16" s="31" t="n">
        <v>360</v>
      </c>
      <c r="L16" s="31" t="n">
        <v>1</v>
      </c>
      <c r="M16" s="33" t="n">
        <v>28</v>
      </c>
      <c r="N16" s="33" t="n">
        <f aca="false">M16*K16</f>
        <v>10080</v>
      </c>
      <c r="P16" s="31" t="n">
        <v>10</v>
      </c>
      <c r="R16" s="56"/>
      <c r="S16" s="56"/>
      <c r="T16" s="56"/>
      <c r="U16" s="56"/>
      <c r="V16" s="56"/>
      <c r="X16" s="56"/>
      <c r="Y16" s="56"/>
      <c r="Z16" s="56"/>
      <c r="AA16" s="56"/>
      <c r="AB16" s="56"/>
      <c r="AD16" s="56"/>
      <c r="AE16" s="56"/>
      <c r="AF16" s="56"/>
      <c r="AG16" s="56"/>
      <c r="AH16" s="56"/>
      <c r="AI16" s="31" t="s">
        <v>439</v>
      </c>
    </row>
    <row r="17" customFormat="false" ht="15" hidden="false" customHeight="false" outlineLevel="0" collapsed="false">
      <c r="A17" s="31" t="n">
        <v>35873784</v>
      </c>
      <c r="B17" s="31" t="s">
        <v>327</v>
      </c>
      <c r="C17" s="31" t="s">
        <v>328</v>
      </c>
      <c r="D17" s="31" t="s">
        <v>329</v>
      </c>
      <c r="E17" s="31" t="n">
        <v>2022</v>
      </c>
      <c r="F17" s="31" t="s">
        <v>330</v>
      </c>
      <c r="G17" s="31" t="n">
        <v>1</v>
      </c>
      <c r="H17" s="31" t="s">
        <v>27</v>
      </c>
      <c r="I17" s="31" t="s">
        <v>34</v>
      </c>
      <c r="K17" s="31" t="n">
        <v>180</v>
      </c>
      <c r="L17" s="31" t="n">
        <v>1</v>
      </c>
      <c r="M17" s="33" t="n">
        <v>21</v>
      </c>
      <c r="N17" s="33" t="n">
        <f aca="false">M17*K17</f>
        <v>3780</v>
      </c>
      <c r="P17" s="31" t="n">
        <v>3</v>
      </c>
      <c r="R17" s="56"/>
      <c r="S17" s="56"/>
      <c r="T17" s="56"/>
      <c r="U17" s="56"/>
      <c r="V17" s="56"/>
      <c r="X17" s="56"/>
      <c r="Y17" s="56"/>
      <c r="Z17" s="56"/>
      <c r="AA17" s="56"/>
      <c r="AB17" s="56"/>
      <c r="AD17" s="56"/>
      <c r="AE17" s="56"/>
      <c r="AF17" s="56"/>
      <c r="AG17" s="56"/>
      <c r="AH17" s="56"/>
      <c r="AI17" s="31" t="s">
        <v>439</v>
      </c>
    </row>
    <row r="18" customFormat="false" ht="15" hidden="false" customHeight="false" outlineLevel="0" collapsed="false">
      <c r="A18" s="31" t="n">
        <v>35814204</v>
      </c>
      <c r="B18" s="31" t="s">
        <v>112</v>
      </c>
      <c r="C18" s="31" t="s">
        <v>113</v>
      </c>
      <c r="D18" s="31" t="s">
        <v>114</v>
      </c>
      <c r="E18" s="31" t="n">
        <v>2022</v>
      </c>
      <c r="F18" s="31" t="s">
        <v>115</v>
      </c>
      <c r="G18" s="31" t="n">
        <v>1</v>
      </c>
      <c r="H18" s="31" t="s">
        <v>27</v>
      </c>
      <c r="I18" s="31" t="s">
        <v>34</v>
      </c>
      <c r="J18" s="32" t="s">
        <v>96</v>
      </c>
      <c r="K18" s="31" t="n">
        <v>180</v>
      </c>
      <c r="L18" s="31" t="n">
        <v>1</v>
      </c>
      <c r="M18" s="33" t="n">
        <v>21</v>
      </c>
      <c r="N18" s="33" t="n">
        <f aca="false">M18*K18</f>
        <v>3780</v>
      </c>
      <c r="P18" s="31" t="n">
        <v>10</v>
      </c>
      <c r="R18" s="56"/>
      <c r="S18" s="56"/>
      <c r="T18" s="56"/>
      <c r="U18" s="56"/>
      <c r="V18" s="56"/>
      <c r="X18" s="56"/>
      <c r="Y18" s="56"/>
      <c r="Z18" s="56"/>
      <c r="AA18" s="56"/>
      <c r="AB18" s="56"/>
      <c r="AD18" s="56"/>
      <c r="AE18" s="56"/>
      <c r="AF18" s="56"/>
      <c r="AG18" s="56"/>
      <c r="AH18" s="56"/>
      <c r="AI18" s="31" t="s">
        <v>439</v>
      </c>
    </row>
    <row r="19" customFormat="false" ht="15" hidden="false" customHeight="false" outlineLevel="0" collapsed="false">
      <c r="A19" s="31" t="n">
        <v>35780963</v>
      </c>
      <c r="B19" s="31" t="s">
        <v>331</v>
      </c>
      <c r="C19" s="31" t="s">
        <v>332</v>
      </c>
      <c r="D19" s="31" t="s">
        <v>81</v>
      </c>
      <c r="E19" s="31" t="n">
        <v>2022</v>
      </c>
      <c r="F19" s="31" t="s">
        <v>333</v>
      </c>
      <c r="G19" s="31" t="n">
        <v>1</v>
      </c>
      <c r="H19" s="31" t="s">
        <v>27</v>
      </c>
      <c r="I19" s="31" t="s">
        <v>34</v>
      </c>
      <c r="K19" s="31" t="n">
        <v>360</v>
      </c>
      <c r="L19" s="31" t="n">
        <v>1</v>
      </c>
      <c r="M19" s="33" t="n">
        <v>21</v>
      </c>
      <c r="N19" s="33" t="n">
        <f aca="false">M19*K19</f>
        <v>7560</v>
      </c>
      <c r="P19" s="31" t="n">
        <v>5</v>
      </c>
      <c r="R19" s="56"/>
      <c r="S19" s="56"/>
      <c r="T19" s="56"/>
      <c r="U19" s="56"/>
      <c r="V19" s="56"/>
      <c r="X19" s="56"/>
      <c r="Y19" s="56"/>
      <c r="Z19" s="56"/>
      <c r="AA19" s="56"/>
      <c r="AB19" s="56"/>
      <c r="AD19" s="56"/>
      <c r="AE19" s="56"/>
      <c r="AF19" s="56"/>
      <c r="AG19" s="56"/>
      <c r="AH19" s="56"/>
      <c r="AI19" s="31" t="s">
        <v>439</v>
      </c>
    </row>
    <row r="20" customFormat="false" ht="15" hidden="false" customHeight="false" outlineLevel="0" collapsed="false">
      <c r="A20" s="31" t="n">
        <v>35727683</v>
      </c>
      <c r="B20" s="31" t="s">
        <v>334</v>
      </c>
      <c r="C20" s="31" t="s">
        <v>335</v>
      </c>
      <c r="D20" s="31" t="s">
        <v>336</v>
      </c>
      <c r="E20" s="31" t="n">
        <v>2022</v>
      </c>
      <c r="F20" s="31" t="s">
        <v>337</v>
      </c>
      <c r="G20" s="31" t="n">
        <v>1</v>
      </c>
      <c r="H20" s="31" t="s">
        <v>27</v>
      </c>
      <c r="I20" s="31" t="s">
        <v>34</v>
      </c>
      <c r="K20" s="31" t="n">
        <v>360</v>
      </c>
      <c r="L20" s="31" t="n">
        <v>1</v>
      </c>
      <c r="M20" s="33" t="s">
        <v>338</v>
      </c>
      <c r="P20" s="31" t="n">
        <v>5</v>
      </c>
      <c r="R20" s="56"/>
      <c r="S20" s="56"/>
      <c r="T20" s="56"/>
      <c r="U20" s="56"/>
      <c r="V20" s="56"/>
      <c r="X20" s="56"/>
      <c r="Y20" s="56"/>
      <c r="Z20" s="56"/>
      <c r="AA20" s="56"/>
      <c r="AB20" s="56"/>
      <c r="AD20" s="56"/>
      <c r="AE20" s="56"/>
      <c r="AF20" s="56"/>
      <c r="AG20" s="56"/>
      <c r="AH20" s="56"/>
      <c r="AI20" s="31" t="s">
        <v>439</v>
      </c>
    </row>
    <row r="21" customFormat="false" ht="15" hidden="false" customHeight="false" outlineLevel="0" collapsed="false">
      <c r="A21" s="31" t="n">
        <v>35615771</v>
      </c>
      <c r="B21" s="31" t="s">
        <v>340</v>
      </c>
      <c r="C21" s="31" t="s">
        <v>341</v>
      </c>
      <c r="D21" s="31" t="s">
        <v>342</v>
      </c>
      <c r="E21" s="31" t="n">
        <v>2022</v>
      </c>
      <c r="F21" s="31" t="s">
        <v>343</v>
      </c>
      <c r="G21" s="31" t="n">
        <v>1</v>
      </c>
      <c r="H21" s="31" t="s">
        <v>27</v>
      </c>
      <c r="I21" s="31" t="s">
        <v>34</v>
      </c>
      <c r="K21" s="31" t="n">
        <v>360</v>
      </c>
      <c r="L21" s="31" t="n">
        <v>1</v>
      </c>
      <c r="M21" s="33" t="s">
        <v>338</v>
      </c>
      <c r="P21" s="31" t="n">
        <v>5</v>
      </c>
      <c r="R21" s="56"/>
      <c r="S21" s="56"/>
      <c r="T21" s="56"/>
      <c r="U21" s="56"/>
      <c r="V21" s="56"/>
      <c r="X21" s="56"/>
      <c r="Y21" s="56"/>
      <c r="Z21" s="56"/>
      <c r="AA21" s="56"/>
      <c r="AB21" s="56"/>
      <c r="AD21" s="56"/>
      <c r="AE21" s="56"/>
      <c r="AF21" s="56"/>
      <c r="AG21" s="56"/>
      <c r="AH21" s="56"/>
      <c r="AI21" s="31" t="s">
        <v>439</v>
      </c>
    </row>
    <row r="22" customFormat="false" ht="15" hidden="false" customHeight="false" outlineLevel="0" collapsed="false">
      <c r="A22" s="31" t="n">
        <v>35569374</v>
      </c>
      <c r="B22" s="31" t="s">
        <v>447</v>
      </c>
      <c r="C22" s="31" t="s">
        <v>448</v>
      </c>
      <c r="D22" s="31" t="s">
        <v>449</v>
      </c>
      <c r="E22" s="31" t="n">
        <v>2022</v>
      </c>
      <c r="F22" s="31" t="s">
        <v>450</v>
      </c>
      <c r="G22" s="31" t="n">
        <v>1</v>
      </c>
      <c r="H22" s="31" t="s">
        <v>55</v>
      </c>
      <c r="I22" s="31" t="s">
        <v>34</v>
      </c>
      <c r="J22" s="32" t="n">
        <v>6</v>
      </c>
      <c r="K22" s="31" t="n">
        <v>360</v>
      </c>
      <c r="L22" s="31" t="n">
        <v>1</v>
      </c>
      <c r="M22" s="33" t="n">
        <v>21</v>
      </c>
      <c r="N22" s="33" t="n">
        <f aca="false">M22*K22</f>
        <v>7560</v>
      </c>
      <c r="O22" s="31" t="s">
        <v>63</v>
      </c>
      <c r="P22" s="31" t="n">
        <v>5</v>
      </c>
      <c r="R22" s="56"/>
      <c r="S22" s="56"/>
      <c r="T22" s="56"/>
      <c r="U22" s="56"/>
      <c r="V22" s="56"/>
      <c r="X22" s="56"/>
      <c r="Y22" s="56"/>
      <c r="Z22" s="56"/>
      <c r="AA22" s="56"/>
      <c r="AB22" s="56"/>
      <c r="AD22" s="56"/>
      <c r="AE22" s="56"/>
      <c r="AF22" s="56"/>
      <c r="AG22" s="56"/>
      <c r="AH22" s="56"/>
      <c r="AI22" s="31" t="s">
        <v>439</v>
      </c>
    </row>
    <row r="23" customFormat="false" ht="15" hidden="false" customHeight="false" outlineLevel="0" collapsed="false">
      <c r="A23" s="31" t="n">
        <v>35528472</v>
      </c>
      <c r="B23" s="31" t="s">
        <v>117</v>
      </c>
      <c r="C23" s="31" t="s">
        <v>118</v>
      </c>
      <c r="D23" s="31" t="s">
        <v>119</v>
      </c>
      <c r="E23" s="31" t="n">
        <v>2021</v>
      </c>
      <c r="F23" s="31" t="s">
        <v>120</v>
      </c>
      <c r="G23" s="31" t="n">
        <v>1</v>
      </c>
      <c r="H23" s="31" t="s">
        <v>55</v>
      </c>
      <c r="I23" s="31" t="s">
        <v>34</v>
      </c>
      <c r="J23" s="32" t="n">
        <v>7</v>
      </c>
      <c r="K23" s="31" t="n">
        <v>360</v>
      </c>
      <c r="L23" s="31" t="n">
        <v>1</v>
      </c>
      <c r="M23" s="33" t="n">
        <v>21</v>
      </c>
      <c r="N23" s="33" t="n">
        <f aca="false">M23*K23</f>
        <v>7560</v>
      </c>
      <c r="P23" s="31" t="n">
        <v>5</v>
      </c>
      <c r="Q23" s="31" t="s">
        <v>451</v>
      </c>
      <c r="R23" s="35" t="n">
        <v>19</v>
      </c>
      <c r="S23" s="35" t="s">
        <v>48</v>
      </c>
      <c r="T23" s="36" t="n">
        <v>5</v>
      </c>
      <c r="U23" s="36" t="n">
        <v>5</v>
      </c>
      <c r="V23" s="35" t="n">
        <v>3</v>
      </c>
      <c r="X23" s="35" t="n">
        <v>2</v>
      </c>
      <c r="Y23" s="35" t="s">
        <v>48</v>
      </c>
      <c r="Z23" s="36" t="n">
        <v>5</v>
      </c>
      <c r="AA23" s="36" t="n">
        <v>5</v>
      </c>
      <c r="AB23" s="35" t="n">
        <v>1</v>
      </c>
      <c r="AD23" s="35" t="n">
        <v>19</v>
      </c>
      <c r="AE23" s="57" t="n">
        <v>3</v>
      </c>
      <c r="AF23" s="35" t="n">
        <v>2</v>
      </c>
      <c r="AG23" s="35" t="n">
        <v>1</v>
      </c>
      <c r="AH23" s="33" t="n">
        <v>7.6</v>
      </c>
    </row>
    <row r="24" customFormat="false" ht="15" hidden="false" customHeight="false" outlineLevel="0" collapsed="false">
      <c r="A24" s="55" t="n">
        <v>35252485</v>
      </c>
      <c r="B24" s="55" t="s">
        <v>345</v>
      </c>
      <c r="C24" s="55" t="s">
        <v>346</v>
      </c>
      <c r="D24" s="55" t="s">
        <v>347</v>
      </c>
      <c r="E24" s="55" t="n">
        <v>2022</v>
      </c>
      <c r="F24" s="55" t="s">
        <v>348</v>
      </c>
      <c r="G24" s="55" t="n">
        <v>1</v>
      </c>
      <c r="H24" s="31" t="s">
        <v>55</v>
      </c>
      <c r="I24" s="55" t="s">
        <v>34</v>
      </c>
      <c r="K24" s="31" t="n">
        <v>150</v>
      </c>
      <c r="L24" s="31" t="n">
        <v>1</v>
      </c>
      <c r="M24" s="33" t="n">
        <v>14</v>
      </c>
      <c r="N24" s="33" t="n">
        <f aca="false">M24*K24</f>
        <v>2100</v>
      </c>
      <c r="P24" s="31" t="n">
        <v>5</v>
      </c>
      <c r="Q24" s="31" t="s">
        <v>452</v>
      </c>
      <c r="R24" s="35" t="n">
        <v>2.9</v>
      </c>
      <c r="S24" s="35" t="n">
        <v>1.8</v>
      </c>
      <c r="T24" s="36" t="s">
        <v>64</v>
      </c>
      <c r="U24" s="36" t="s">
        <v>64</v>
      </c>
      <c r="V24" s="57" t="n">
        <f aca="false">S24*(SQRT(U24))</f>
        <v>5.4</v>
      </c>
      <c r="X24" s="35" t="n">
        <v>1.6</v>
      </c>
      <c r="Y24" s="35" t="n">
        <v>0.9</v>
      </c>
      <c r="Z24" s="36" t="s">
        <v>64</v>
      </c>
      <c r="AA24" s="36" t="s">
        <v>64</v>
      </c>
      <c r="AB24" s="57" t="n">
        <f aca="false">Y24*(SQRT(AA24))</f>
        <v>2.7</v>
      </c>
      <c r="AD24" s="35" t="n">
        <v>2.9</v>
      </c>
      <c r="AE24" s="57" t="n">
        <v>5.4</v>
      </c>
      <c r="AF24" s="35" t="n">
        <v>1.6</v>
      </c>
      <c r="AG24" s="35" t="n">
        <v>2.7</v>
      </c>
      <c r="AH24" s="33" t="n">
        <v>0.3</v>
      </c>
    </row>
    <row r="25" customFormat="false" ht="15" hidden="false" customHeight="false" outlineLevel="0" collapsed="false">
      <c r="A25" s="55" t="n">
        <v>35252485</v>
      </c>
      <c r="B25" s="55" t="s">
        <v>345</v>
      </c>
      <c r="C25" s="55" t="s">
        <v>346</v>
      </c>
      <c r="D25" s="55" t="s">
        <v>347</v>
      </c>
      <c r="E25" s="55" t="n">
        <v>2022</v>
      </c>
      <c r="F25" s="55" t="s">
        <v>348</v>
      </c>
      <c r="G25" s="55" t="n">
        <v>1</v>
      </c>
      <c r="H25" s="31" t="s">
        <v>55</v>
      </c>
      <c r="I25" s="55" t="s">
        <v>99</v>
      </c>
      <c r="K25" s="31" t="n">
        <v>150</v>
      </c>
      <c r="L25" s="31" t="n">
        <v>1</v>
      </c>
      <c r="M25" s="33" t="n">
        <v>14</v>
      </c>
      <c r="P25" s="31" t="n">
        <v>5</v>
      </c>
      <c r="R25" s="35" t="n">
        <v>5.8</v>
      </c>
      <c r="S25" s="35" t="n">
        <v>1.6</v>
      </c>
      <c r="T25" s="36" t="n">
        <v>11</v>
      </c>
      <c r="U25" s="36" t="n">
        <v>11</v>
      </c>
      <c r="V25" s="57" t="n">
        <f aca="false">S25*(SQRT(U25))</f>
        <v>5.30659966456864</v>
      </c>
      <c r="X25" s="35" t="n">
        <v>4.3</v>
      </c>
      <c r="Y25" s="35" t="n">
        <v>1.3</v>
      </c>
      <c r="Z25" s="36" t="n">
        <v>10</v>
      </c>
      <c r="AA25" s="36" t="n">
        <v>10</v>
      </c>
      <c r="AB25" s="57" t="n">
        <f aca="false">Y25*(SQRT(AA25))</f>
        <v>4.11096095821889</v>
      </c>
      <c r="AD25" s="35" t="n">
        <v>5.8</v>
      </c>
      <c r="AE25" s="57" t="n">
        <v>5.30659966456864</v>
      </c>
      <c r="AF25" s="35" t="n">
        <v>4.3</v>
      </c>
      <c r="AG25" s="35" t="n">
        <v>4.11096095821889</v>
      </c>
      <c r="AH25" s="33" t="n">
        <v>0.31</v>
      </c>
      <c r="AI25" s="66" t="s">
        <v>167</v>
      </c>
    </row>
    <row r="26" customFormat="false" ht="15" hidden="false" customHeight="false" outlineLevel="0" collapsed="false">
      <c r="A26" s="31" t="n">
        <v>35230663</v>
      </c>
      <c r="B26" s="31" t="s">
        <v>124</v>
      </c>
      <c r="C26" s="31" t="s">
        <v>125</v>
      </c>
      <c r="D26" s="31" t="s">
        <v>53</v>
      </c>
      <c r="E26" s="31" t="n">
        <v>2022</v>
      </c>
      <c r="F26" s="31" t="s">
        <v>126</v>
      </c>
      <c r="G26" s="31" t="n">
        <v>1</v>
      </c>
      <c r="H26" s="31" t="s">
        <v>27</v>
      </c>
      <c r="I26" s="31" t="s">
        <v>34</v>
      </c>
      <c r="K26" s="31" t="n">
        <v>240</v>
      </c>
      <c r="L26" s="31" t="n">
        <v>1</v>
      </c>
      <c r="M26" s="33" t="n">
        <v>28</v>
      </c>
      <c r="N26" s="33" t="n">
        <f aca="false">M26*K26</f>
        <v>6720</v>
      </c>
      <c r="P26" s="31" t="n">
        <v>5</v>
      </c>
      <c r="R26" s="56"/>
      <c r="S26" s="56"/>
      <c r="T26" s="56"/>
      <c r="U26" s="56"/>
      <c r="V26" s="56"/>
      <c r="X26" s="56"/>
      <c r="Y26" s="56"/>
      <c r="Z26" s="56"/>
      <c r="AA26" s="56"/>
      <c r="AB26" s="56"/>
      <c r="AD26" s="56"/>
      <c r="AE26" s="56"/>
      <c r="AF26" s="56"/>
      <c r="AG26" s="56"/>
      <c r="AH26" s="56"/>
      <c r="AI26" s="31" t="s">
        <v>439</v>
      </c>
    </row>
    <row r="27" customFormat="false" ht="15" hidden="false" customHeight="false" outlineLevel="0" collapsed="false">
      <c r="A27" s="31" t="n">
        <v>34704719</v>
      </c>
      <c r="B27" s="31" t="s">
        <v>130</v>
      </c>
      <c r="C27" s="31" t="s">
        <v>131</v>
      </c>
      <c r="D27" s="31" t="s">
        <v>132</v>
      </c>
      <c r="E27" s="31" t="n">
        <v>2021</v>
      </c>
      <c r="F27" s="31" t="s">
        <v>133</v>
      </c>
      <c r="G27" s="31" t="n">
        <v>1</v>
      </c>
      <c r="H27" s="31" t="s">
        <v>27</v>
      </c>
      <c r="I27" s="31" t="s">
        <v>34</v>
      </c>
      <c r="K27" s="31" t="n">
        <v>360</v>
      </c>
      <c r="L27" s="31" t="n">
        <v>1</v>
      </c>
      <c r="M27" s="33" t="n">
        <v>21</v>
      </c>
      <c r="N27" s="33" t="n">
        <f aca="false">M27*K27</f>
        <v>7560</v>
      </c>
      <c r="P27" s="31" t="n">
        <v>5</v>
      </c>
      <c r="R27" s="56"/>
      <c r="S27" s="56"/>
      <c r="T27" s="56"/>
      <c r="U27" s="56"/>
      <c r="V27" s="56"/>
      <c r="X27" s="56"/>
      <c r="Y27" s="56"/>
      <c r="Z27" s="56"/>
      <c r="AA27" s="56"/>
      <c r="AB27" s="56"/>
      <c r="AD27" s="56"/>
      <c r="AE27" s="56"/>
      <c r="AF27" s="56"/>
      <c r="AG27" s="56"/>
      <c r="AH27" s="56"/>
      <c r="AI27" s="31" t="s">
        <v>439</v>
      </c>
    </row>
    <row r="28" customFormat="false" ht="15" hidden="false" customHeight="false" outlineLevel="0" collapsed="false">
      <c r="A28" s="31" t="n">
        <v>34646421</v>
      </c>
      <c r="B28" s="31" t="s">
        <v>396</v>
      </c>
      <c r="C28" s="31" t="s">
        <v>397</v>
      </c>
      <c r="D28" s="31" t="s">
        <v>398</v>
      </c>
      <c r="E28" s="31" t="n">
        <v>2021</v>
      </c>
      <c r="F28" s="31" t="s">
        <v>399</v>
      </c>
      <c r="G28" s="31" t="n">
        <v>1</v>
      </c>
      <c r="H28" s="31" t="s">
        <v>55</v>
      </c>
      <c r="I28" s="31" t="s">
        <v>34</v>
      </c>
      <c r="J28" s="32" t="s">
        <v>400</v>
      </c>
      <c r="K28" s="31" t="n">
        <v>360</v>
      </c>
      <c r="L28" s="31" t="n">
        <v>1</v>
      </c>
      <c r="M28" s="33" t="n">
        <v>21</v>
      </c>
      <c r="N28" s="33" t="n">
        <f aca="false">M28*K28</f>
        <v>7560</v>
      </c>
      <c r="P28" s="31" t="n">
        <v>5</v>
      </c>
      <c r="Q28" s="31" t="s">
        <v>185</v>
      </c>
      <c r="T28" s="36" t="s">
        <v>83</v>
      </c>
      <c r="V28" s="57" t="n">
        <f aca="false">S28*(SQRT(U28))</f>
        <v>0</v>
      </c>
      <c r="Z28" s="36" t="s">
        <v>83</v>
      </c>
      <c r="AB28" s="57" t="n">
        <f aca="false">Y28*(SQRT(AA28))</f>
        <v>0</v>
      </c>
      <c r="AD28" s="56"/>
      <c r="AE28" s="56" t="n">
        <v>0</v>
      </c>
      <c r="AF28" s="56"/>
      <c r="AG28" s="56" t="n">
        <v>0</v>
      </c>
      <c r="AH28" s="56"/>
    </row>
    <row r="29" customFormat="false" ht="15" hidden="false" customHeight="false" outlineLevel="0" collapsed="false">
      <c r="A29" s="31" t="n">
        <v>34025340</v>
      </c>
      <c r="B29" s="31" t="s">
        <v>401</v>
      </c>
      <c r="C29" s="31" t="s">
        <v>402</v>
      </c>
      <c r="D29" s="31" t="s">
        <v>244</v>
      </c>
      <c r="E29" s="31" t="n">
        <v>2021</v>
      </c>
      <c r="F29" s="31" t="s">
        <v>403</v>
      </c>
      <c r="G29" s="31" t="n">
        <v>1</v>
      </c>
      <c r="H29" s="31" t="s">
        <v>27</v>
      </c>
      <c r="I29" s="31" t="s">
        <v>34</v>
      </c>
      <c r="K29" s="31" t="n">
        <v>360</v>
      </c>
      <c r="L29" s="31" t="n">
        <v>1</v>
      </c>
      <c r="M29" s="33" t="n">
        <v>14</v>
      </c>
      <c r="N29" s="33" t="n">
        <f aca="false">M29*K29</f>
        <v>5040</v>
      </c>
      <c r="P29" s="31" t="n">
        <v>5</v>
      </c>
      <c r="Q29" s="31" t="s">
        <v>71</v>
      </c>
      <c r="R29" s="35" t="n">
        <v>15.2</v>
      </c>
      <c r="S29" s="35" t="n">
        <v>1</v>
      </c>
      <c r="T29" s="36" t="n">
        <v>20</v>
      </c>
      <c r="U29" s="36" t="n">
        <v>20</v>
      </c>
      <c r="V29" s="57" t="n">
        <f aca="false">S29*(SQRT(U29))</f>
        <v>4.47213595499958</v>
      </c>
      <c r="X29" s="35" t="n">
        <v>11.3</v>
      </c>
      <c r="Y29" s="35" t="n">
        <v>0.9</v>
      </c>
      <c r="Z29" s="36" t="n">
        <v>20</v>
      </c>
      <c r="AA29" s="36" t="n">
        <v>20</v>
      </c>
      <c r="AB29" s="57" t="n">
        <f aca="false">Y29*(SQRT(AA29))</f>
        <v>4.02492235949962</v>
      </c>
      <c r="AD29" s="35" t="n">
        <v>15.2</v>
      </c>
      <c r="AE29" s="57" t="n">
        <v>4.47213595499958</v>
      </c>
      <c r="AF29" s="35" t="n">
        <v>11.3</v>
      </c>
      <c r="AG29" s="35" t="n">
        <v>4.02492235949962</v>
      </c>
      <c r="AH29" s="33" t="n">
        <v>0.91</v>
      </c>
    </row>
    <row r="30" customFormat="false" ht="15" hidden="false" customHeight="false" outlineLevel="0" collapsed="false">
      <c r="A30" s="31" t="n">
        <v>33545198</v>
      </c>
      <c r="B30" s="31" t="s">
        <v>453</v>
      </c>
      <c r="C30" s="31" t="s">
        <v>454</v>
      </c>
      <c r="D30" s="31" t="s">
        <v>74</v>
      </c>
      <c r="E30" s="31" t="n">
        <v>2021</v>
      </c>
      <c r="F30" s="31" t="s">
        <v>455</v>
      </c>
      <c r="G30" s="31" t="n">
        <v>1</v>
      </c>
      <c r="H30" s="31" t="s">
        <v>55</v>
      </c>
      <c r="I30" s="31" t="s">
        <v>34</v>
      </c>
      <c r="K30" s="31" t="n">
        <v>360</v>
      </c>
      <c r="L30" s="31" t="n">
        <v>1</v>
      </c>
      <c r="M30" s="33" t="n">
        <v>28</v>
      </c>
      <c r="N30" s="33" t="n">
        <f aca="false">M30*K30</f>
        <v>10080</v>
      </c>
      <c r="P30" s="31" t="n">
        <v>5</v>
      </c>
      <c r="R30" s="56"/>
      <c r="S30" s="56"/>
      <c r="T30" s="56"/>
      <c r="U30" s="56"/>
      <c r="V30" s="56"/>
      <c r="X30" s="56"/>
      <c r="Y30" s="56"/>
      <c r="Z30" s="56"/>
      <c r="AA30" s="56"/>
      <c r="AB30" s="56"/>
      <c r="AD30" s="56"/>
      <c r="AE30" s="56"/>
      <c r="AF30" s="56"/>
      <c r="AG30" s="56"/>
      <c r="AH30" s="56"/>
      <c r="AI30" s="31" t="s">
        <v>439</v>
      </c>
    </row>
    <row r="31" customFormat="false" ht="15" hidden="false" customHeight="false" outlineLevel="0" collapsed="false">
      <c r="A31" s="31" t="n">
        <v>33276022</v>
      </c>
      <c r="B31" s="31" t="s">
        <v>164</v>
      </c>
      <c r="C31" s="31" t="s">
        <v>165</v>
      </c>
      <c r="D31" s="31" t="s">
        <v>145</v>
      </c>
      <c r="E31" s="31" t="n">
        <v>2021</v>
      </c>
      <c r="F31" s="31" t="s">
        <v>166</v>
      </c>
      <c r="G31" s="31" t="n">
        <v>1</v>
      </c>
      <c r="H31" s="31" t="s">
        <v>27</v>
      </c>
      <c r="I31" s="31" t="s">
        <v>34</v>
      </c>
      <c r="J31" s="32" t="n">
        <v>12</v>
      </c>
      <c r="K31" s="31" t="n">
        <v>390</v>
      </c>
      <c r="L31" s="31" t="n">
        <v>1</v>
      </c>
      <c r="M31" s="33" t="n">
        <v>21</v>
      </c>
      <c r="N31" s="33" t="n">
        <f aca="false">M31*K31</f>
        <v>8190</v>
      </c>
      <c r="P31" s="31" t="n">
        <v>5</v>
      </c>
      <c r="Q31" s="31" t="s">
        <v>256</v>
      </c>
      <c r="R31" s="35" t="n">
        <v>2.6</v>
      </c>
      <c r="S31" s="35" t="n">
        <v>1.1</v>
      </c>
      <c r="T31" s="36" t="n">
        <v>5</v>
      </c>
      <c r="U31" s="36" t="n">
        <v>5</v>
      </c>
      <c r="V31" s="57" t="n">
        <f aca="false">S31*(SQRT(U31))</f>
        <v>2.45967477524977</v>
      </c>
      <c r="X31" s="35" t="n">
        <v>0.05</v>
      </c>
      <c r="Y31" s="35" t="n">
        <v>0.05</v>
      </c>
      <c r="Z31" s="36" t="n">
        <v>6</v>
      </c>
      <c r="AA31" s="36" t="n">
        <v>6</v>
      </c>
      <c r="AB31" s="57" t="n">
        <f aca="false">Y31*(SQRT(AA31))</f>
        <v>0.122474487139159</v>
      </c>
      <c r="AD31" s="35" t="n">
        <v>2.6</v>
      </c>
      <c r="AE31" s="57" t="n">
        <v>2.45967477524977</v>
      </c>
      <c r="AF31" s="35" t="n">
        <v>0.05</v>
      </c>
      <c r="AG31" s="35" t="n">
        <v>0.122474487139159</v>
      </c>
      <c r="AH31" s="33" t="n">
        <v>1.44</v>
      </c>
      <c r="AI31" s="66" t="s">
        <v>167</v>
      </c>
    </row>
    <row r="32" customFormat="false" ht="15" hidden="false" customHeight="false" outlineLevel="0" collapsed="false">
      <c r="A32" s="31" t="n">
        <v>33052137</v>
      </c>
      <c r="B32" s="31" t="s">
        <v>456</v>
      </c>
      <c r="C32" s="31" t="s">
        <v>457</v>
      </c>
      <c r="D32" s="31" t="s">
        <v>458</v>
      </c>
      <c r="E32" s="31" t="n">
        <v>2020</v>
      </c>
      <c r="F32" s="31" t="s">
        <v>459</v>
      </c>
      <c r="G32" s="31" t="n">
        <v>1</v>
      </c>
      <c r="H32" s="31" t="s">
        <v>27</v>
      </c>
      <c r="I32" s="31" t="s">
        <v>34</v>
      </c>
      <c r="K32" s="31" t="n">
        <v>180</v>
      </c>
      <c r="L32" s="31" t="n">
        <v>1</v>
      </c>
      <c r="M32" s="33" t="n">
        <v>21</v>
      </c>
      <c r="N32" s="33" t="n">
        <f aca="false">M32*K32</f>
        <v>3780</v>
      </c>
      <c r="P32" s="31" t="n">
        <v>5</v>
      </c>
      <c r="R32" s="56"/>
      <c r="S32" s="56"/>
      <c r="T32" s="56"/>
      <c r="U32" s="56"/>
      <c r="V32" s="56"/>
      <c r="X32" s="56"/>
      <c r="Y32" s="56"/>
      <c r="Z32" s="56"/>
      <c r="AA32" s="56"/>
      <c r="AB32" s="56"/>
      <c r="AD32" s="56"/>
      <c r="AE32" s="56"/>
      <c r="AF32" s="56"/>
      <c r="AG32" s="56"/>
      <c r="AH32" s="56"/>
      <c r="AI32" s="31" t="s">
        <v>439</v>
      </c>
    </row>
    <row r="33" customFormat="false" ht="15" hidden="false" customHeight="false" outlineLevel="0" collapsed="false">
      <c r="A33" s="31" t="n">
        <v>32827575</v>
      </c>
      <c r="B33" s="31" t="s">
        <v>460</v>
      </c>
      <c r="C33" s="31" t="s">
        <v>461</v>
      </c>
      <c r="D33" s="31" t="s">
        <v>199</v>
      </c>
      <c r="E33" s="31" t="n">
        <v>2020</v>
      </c>
      <c r="F33" s="31" t="s">
        <v>462</v>
      </c>
      <c r="G33" s="31" t="n">
        <v>1</v>
      </c>
      <c r="H33" s="31" t="s">
        <v>27</v>
      </c>
      <c r="I33" s="31" t="s">
        <v>99</v>
      </c>
      <c r="J33" s="32" t="n">
        <v>52</v>
      </c>
      <c r="K33" s="31" t="n">
        <v>360</v>
      </c>
      <c r="L33" s="31" t="n">
        <v>1</v>
      </c>
      <c r="M33" s="33" t="n">
        <v>42</v>
      </c>
      <c r="N33" s="33" t="n">
        <f aca="false">M33*K33</f>
        <v>15120</v>
      </c>
      <c r="P33" s="31" t="n">
        <v>5</v>
      </c>
      <c r="R33" s="56"/>
      <c r="S33" s="56"/>
      <c r="T33" s="56"/>
      <c r="U33" s="56"/>
      <c r="V33" s="56"/>
      <c r="X33" s="56"/>
      <c r="Y33" s="56"/>
      <c r="Z33" s="56"/>
      <c r="AA33" s="56"/>
      <c r="AB33" s="56"/>
      <c r="AD33" s="56"/>
      <c r="AE33" s="56"/>
      <c r="AF33" s="56"/>
      <c r="AG33" s="56"/>
      <c r="AH33" s="56"/>
      <c r="AI33" s="31" t="s">
        <v>439</v>
      </c>
    </row>
    <row r="34" customFormat="false" ht="15" hidden="false" customHeight="false" outlineLevel="0" collapsed="false">
      <c r="A34" s="31" t="n">
        <v>32502515</v>
      </c>
      <c r="B34" s="31" t="s">
        <v>463</v>
      </c>
      <c r="C34" s="31" t="s">
        <v>464</v>
      </c>
      <c r="D34" s="31" t="s">
        <v>74</v>
      </c>
      <c r="E34" s="31" t="n">
        <v>2020</v>
      </c>
      <c r="F34" s="31" t="s">
        <v>465</v>
      </c>
      <c r="G34" s="31" t="n">
        <v>1</v>
      </c>
      <c r="H34" s="31" t="s">
        <v>27</v>
      </c>
      <c r="I34" s="31" t="s">
        <v>34</v>
      </c>
      <c r="K34" s="31" t="n">
        <v>480</v>
      </c>
      <c r="L34" s="31" t="n">
        <v>1</v>
      </c>
      <c r="M34" s="33" t="n">
        <v>21</v>
      </c>
      <c r="N34" s="33" t="n">
        <f aca="false">M34*K34</f>
        <v>10080</v>
      </c>
      <c r="P34" s="31" t="n">
        <v>5</v>
      </c>
      <c r="R34" s="56"/>
      <c r="S34" s="56"/>
      <c r="T34" s="56"/>
      <c r="U34" s="56"/>
      <c r="V34" s="56"/>
      <c r="X34" s="56"/>
      <c r="Y34" s="56"/>
      <c r="Z34" s="56"/>
      <c r="AA34" s="56"/>
      <c r="AB34" s="56"/>
      <c r="AD34" s="56"/>
      <c r="AE34" s="56"/>
      <c r="AF34" s="56"/>
      <c r="AG34" s="56"/>
      <c r="AH34" s="56"/>
      <c r="AI34" s="31" t="s">
        <v>439</v>
      </c>
    </row>
    <row r="35" customFormat="false" ht="15" hidden="false" customHeight="false" outlineLevel="0" collapsed="false">
      <c r="A35" s="31" t="n">
        <v>31430442</v>
      </c>
      <c r="B35" s="31" t="s">
        <v>466</v>
      </c>
      <c r="C35" s="31" t="s">
        <v>467</v>
      </c>
      <c r="D35" s="31" t="s">
        <v>468</v>
      </c>
      <c r="E35" s="31" t="n">
        <v>2019</v>
      </c>
      <c r="F35" s="31" t="s">
        <v>469</v>
      </c>
      <c r="G35" s="31" t="n">
        <v>1</v>
      </c>
      <c r="H35" s="31" t="s">
        <v>55</v>
      </c>
      <c r="I35" s="31" t="s">
        <v>34</v>
      </c>
      <c r="K35" s="31" t="n">
        <v>180</v>
      </c>
      <c r="L35" s="31" t="n">
        <v>1</v>
      </c>
      <c r="M35" s="33" t="n">
        <v>28</v>
      </c>
      <c r="N35" s="33" t="n">
        <f aca="false">M35*K35</f>
        <v>5040</v>
      </c>
      <c r="P35" s="31" t="n">
        <v>5</v>
      </c>
      <c r="R35" s="56"/>
      <c r="S35" s="56"/>
      <c r="T35" s="56"/>
      <c r="U35" s="56"/>
      <c r="V35" s="56"/>
      <c r="X35" s="56"/>
      <c r="Y35" s="56"/>
      <c r="Z35" s="56"/>
      <c r="AA35" s="56"/>
      <c r="AB35" s="56"/>
      <c r="AD35" s="56"/>
      <c r="AE35" s="56"/>
      <c r="AF35" s="56"/>
      <c r="AG35" s="56"/>
      <c r="AH35" s="56"/>
      <c r="AI35" s="31" t="s">
        <v>439</v>
      </c>
    </row>
    <row r="36" customFormat="false" ht="15" hidden="false" customHeight="false" outlineLevel="0" collapsed="false">
      <c r="A36" s="31" t="n">
        <v>30740068</v>
      </c>
      <c r="B36" s="31" t="s">
        <v>168</v>
      </c>
      <c r="C36" s="31" t="s">
        <v>169</v>
      </c>
      <c r="D36" s="31" t="s">
        <v>170</v>
      </c>
      <c r="E36" s="31" t="n">
        <v>2019</v>
      </c>
      <c r="F36" s="31" t="s">
        <v>171</v>
      </c>
      <c r="G36" s="31" t="n">
        <v>1</v>
      </c>
      <c r="H36" s="31" t="s">
        <v>27</v>
      </c>
      <c r="I36" s="31" t="s">
        <v>34</v>
      </c>
      <c r="J36" s="32" t="s">
        <v>96</v>
      </c>
      <c r="K36" s="31" t="n">
        <v>240</v>
      </c>
      <c r="L36" s="31" t="n">
        <v>1</v>
      </c>
      <c r="M36" s="33" t="n">
        <v>21</v>
      </c>
      <c r="N36" s="33" t="n">
        <f aca="false">M36*K36</f>
        <v>5040</v>
      </c>
      <c r="P36" s="31" t="n">
        <v>5</v>
      </c>
      <c r="R36" s="56"/>
      <c r="S36" s="56"/>
      <c r="T36" s="56"/>
      <c r="U36" s="56"/>
      <c r="V36" s="56"/>
      <c r="X36" s="56"/>
      <c r="Y36" s="56"/>
      <c r="Z36" s="56"/>
      <c r="AA36" s="56"/>
      <c r="AB36" s="56"/>
      <c r="AD36" s="56"/>
      <c r="AE36" s="56"/>
      <c r="AF36" s="56"/>
      <c r="AG36" s="56"/>
      <c r="AH36" s="56"/>
      <c r="AI36" s="31" t="s">
        <v>470</v>
      </c>
    </row>
    <row r="37" customFormat="false" ht="15" hidden="false" customHeight="false" outlineLevel="0" collapsed="false">
      <c r="A37" s="31" t="n">
        <v>30735600</v>
      </c>
      <c r="B37" s="31" t="s">
        <v>172</v>
      </c>
      <c r="C37" s="31" t="s">
        <v>173</v>
      </c>
      <c r="D37" s="31" t="s">
        <v>174</v>
      </c>
      <c r="E37" s="31" t="n">
        <v>2019</v>
      </c>
      <c r="F37" s="31" t="s">
        <v>175</v>
      </c>
      <c r="G37" s="31" t="n">
        <v>1</v>
      </c>
      <c r="H37" s="31" t="s">
        <v>27</v>
      </c>
      <c r="I37" s="31" t="s">
        <v>34</v>
      </c>
      <c r="K37" s="31" t="n">
        <v>360</v>
      </c>
      <c r="L37" s="31" t="n">
        <v>1</v>
      </c>
      <c r="M37" s="33" t="n">
        <v>14</v>
      </c>
      <c r="N37" s="33" t="n">
        <f aca="false">M37*K37</f>
        <v>5040</v>
      </c>
      <c r="P37" s="31" t="n">
        <v>5</v>
      </c>
      <c r="R37" s="56"/>
      <c r="S37" s="56"/>
      <c r="T37" s="56"/>
      <c r="U37" s="56"/>
      <c r="V37" s="56"/>
      <c r="X37" s="56"/>
      <c r="Y37" s="56"/>
      <c r="Z37" s="56"/>
      <c r="AA37" s="56"/>
      <c r="AB37" s="56"/>
      <c r="AD37" s="56"/>
      <c r="AE37" s="56"/>
      <c r="AF37" s="56"/>
      <c r="AG37" s="56"/>
      <c r="AH37" s="56"/>
      <c r="AI37" s="31" t="s">
        <v>439</v>
      </c>
    </row>
    <row r="38" customFormat="false" ht="15" hidden="false" customHeight="false" outlineLevel="0" collapsed="false">
      <c r="A38" s="31" t="n">
        <v>30458283</v>
      </c>
      <c r="B38" s="31" t="s">
        <v>422</v>
      </c>
      <c r="C38" s="31" t="s">
        <v>423</v>
      </c>
      <c r="D38" s="31" t="s">
        <v>424</v>
      </c>
      <c r="E38" s="31" t="n">
        <v>2019</v>
      </c>
      <c r="F38" s="31" t="s">
        <v>425</v>
      </c>
      <c r="G38" s="31" t="n">
        <v>1</v>
      </c>
      <c r="H38" s="31" t="s">
        <v>55</v>
      </c>
      <c r="I38" s="31" t="s">
        <v>34</v>
      </c>
      <c r="K38" s="31" t="n">
        <v>360</v>
      </c>
      <c r="L38" s="31" t="n">
        <v>1</v>
      </c>
      <c r="M38" s="33" t="n">
        <v>10</v>
      </c>
      <c r="N38" s="33" t="n">
        <f aca="false">M38*K38</f>
        <v>3600</v>
      </c>
      <c r="P38" s="31" t="n">
        <v>5</v>
      </c>
      <c r="R38" s="56"/>
      <c r="S38" s="56"/>
      <c r="T38" s="56"/>
      <c r="U38" s="56"/>
      <c r="V38" s="56"/>
      <c r="X38" s="56"/>
      <c r="Y38" s="56"/>
      <c r="Z38" s="56"/>
      <c r="AA38" s="56"/>
      <c r="AB38" s="56"/>
      <c r="AD38" s="56"/>
      <c r="AE38" s="56"/>
      <c r="AF38" s="56"/>
      <c r="AG38" s="56"/>
      <c r="AH38" s="56"/>
      <c r="AI38" s="31" t="s">
        <v>439</v>
      </c>
    </row>
    <row r="39" customFormat="false" ht="15" hidden="false" customHeight="false" outlineLevel="0" collapsed="false">
      <c r="A39" s="31" t="n">
        <v>29561292</v>
      </c>
      <c r="B39" s="31" t="s">
        <v>181</v>
      </c>
      <c r="C39" s="31" t="s">
        <v>182</v>
      </c>
      <c r="D39" s="31" t="s">
        <v>183</v>
      </c>
      <c r="E39" s="31" t="n">
        <v>2018</v>
      </c>
      <c r="F39" s="31" t="s">
        <v>184</v>
      </c>
      <c r="G39" s="31" t="n">
        <v>1</v>
      </c>
      <c r="H39" s="31" t="s">
        <v>55</v>
      </c>
      <c r="I39" s="31" t="s">
        <v>34</v>
      </c>
      <c r="K39" s="31" t="n">
        <v>360</v>
      </c>
      <c r="L39" s="31" t="n">
        <v>1</v>
      </c>
      <c r="M39" s="33" t="n">
        <v>28</v>
      </c>
      <c r="N39" s="33" t="n">
        <f aca="false">M39*K39</f>
        <v>10080</v>
      </c>
      <c r="P39" s="31" t="n">
        <v>5</v>
      </c>
      <c r="R39" s="56"/>
      <c r="S39" s="56"/>
      <c r="T39" s="56"/>
      <c r="U39" s="56"/>
      <c r="V39" s="56"/>
      <c r="X39" s="56"/>
      <c r="Y39" s="56"/>
      <c r="Z39" s="56"/>
      <c r="AA39" s="56"/>
      <c r="AB39" s="56"/>
      <c r="AD39" s="56"/>
      <c r="AE39" s="56"/>
      <c r="AF39" s="56"/>
      <c r="AG39" s="56"/>
      <c r="AH39" s="56"/>
      <c r="AI39" s="31" t="s">
        <v>439</v>
      </c>
    </row>
    <row r="40" customFormat="false" ht="15" hidden="false" customHeight="false" outlineLevel="0" collapsed="false">
      <c r="A40" s="31" t="n">
        <v>29379991</v>
      </c>
      <c r="B40" s="31" t="s">
        <v>186</v>
      </c>
      <c r="C40" s="31" t="s">
        <v>187</v>
      </c>
      <c r="D40" s="31" t="s">
        <v>188</v>
      </c>
      <c r="E40" s="31" t="n">
        <v>2018</v>
      </c>
      <c r="F40" s="31" t="s">
        <v>189</v>
      </c>
      <c r="G40" s="31" t="n">
        <v>1</v>
      </c>
      <c r="H40" s="31" t="s">
        <v>55</v>
      </c>
      <c r="I40" s="31" t="s">
        <v>34</v>
      </c>
      <c r="K40" s="31" t="n">
        <v>240</v>
      </c>
      <c r="L40" s="31" t="n">
        <v>1</v>
      </c>
      <c r="M40" s="33" t="n">
        <v>42</v>
      </c>
      <c r="N40" s="33" t="n">
        <f aca="false">M40*K40</f>
        <v>10080</v>
      </c>
      <c r="P40" s="31" t="n">
        <v>5</v>
      </c>
      <c r="Q40" s="31" t="s">
        <v>190</v>
      </c>
      <c r="R40" s="35" t="n">
        <v>8.8</v>
      </c>
      <c r="S40" s="35" t="s">
        <v>48</v>
      </c>
      <c r="T40" s="36" t="n">
        <v>10</v>
      </c>
      <c r="U40" s="36" t="n">
        <v>10</v>
      </c>
      <c r="V40" s="35" t="n">
        <v>2.2</v>
      </c>
      <c r="X40" s="35" t="n">
        <v>23.9</v>
      </c>
      <c r="Y40" s="35" t="s">
        <v>48</v>
      </c>
      <c r="Z40" s="36" t="n">
        <v>11</v>
      </c>
      <c r="AA40" s="36" t="n">
        <v>11</v>
      </c>
      <c r="AB40" s="35" t="n">
        <v>11.2</v>
      </c>
      <c r="AD40" s="35" t="n">
        <v>8.8</v>
      </c>
      <c r="AE40" s="58" t="n">
        <v>2.2</v>
      </c>
      <c r="AF40" s="35" t="n">
        <v>23.9</v>
      </c>
      <c r="AG40" s="35" t="n">
        <v>11.2</v>
      </c>
      <c r="AH40" s="33" t="n">
        <v>1.87</v>
      </c>
      <c r="AI40" s="66" t="s">
        <v>167</v>
      </c>
      <c r="AJ40" s="63" t="s">
        <v>50</v>
      </c>
    </row>
    <row r="41" customFormat="false" ht="15" hidden="false" customHeight="false" outlineLevel="0" collapsed="false">
      <c r="A41" s="31" t="n">
        <v>29317595</v>
      </c>
      <c r="B41" s="31" t="s">
        <v>192</v>
      </c>
      <c r="C41" s="31" t="s">
        <v>193</v>
      </c>
      <c r="D41" s="31" t="s">
        <v>194</v>
      </c>
      <c r="E41" s="31" t="n">
        <v>2018</v>
      </c>
      <c r="F41" s="31" t="s">
        <v>195</v>
      </c>
      <c r="G41" s="31" t="n">
        <v>1</v>
      </c>
      <c r="H41" s="31" t="s">
        <v>27</v>
      </c>
      <c r="I41" s="31" t="s">
        <v>34</v>
      </c>
      <c r="K41" s="31" t="n">
        <v>360</v>
      </c>
      <c r="L41" s="31" t="n">
        <v>1</v>
      </c>
      <c r="M41" s="33" t="n">
        <v>21</v>
      </c>
      <c r="N41" s="33" t="n">
        <f aca="false">M41*K41</f>
        <v>7560</v>
      </c>
      <c r="P41" s="31" t="n">
        <v>5</v>
      </c>
      <c r="R41" s="56"/>
      <c r="S41" s="56"/>
      <c r="T41" s="56"/>
      <c r="U41" s="56"/>
      <c r="V41" s="56"/>
      <c r="X41" s="56"/>
      <c r="Y41" s="56"/>
      <c r="Z41" s="56"/>
      <c r="AA41" s="56"/>
      <c r="AB41" s="56"/>
      <c r="AD41" s="56"/>
      <c r="AE41" s="56"/>
      <c r="AF41" s="56"/>
      <c r="AG41" s="56"/>
      <c r="AH41" s="56"/>
      <c r="AI41" s="31" t="s">
        <v>439</v>
      </c>
    </row>
    <row r="42" customFormat="false" ht="15" hidden="false" customHeight="false" outlineLevel="0" collapsed="false">
      <c r="A42" s="31" t="n">
        <v>28866053</v>
      </c>
      <c r="B42" s="31" t="s">
        <v>201</v>
      </c>
      <c r="C42" s="31" t="s">
        <v>202</v>
      </c>
      <c r="D42" s="31" t="s">
        <v>199</v>
      </c>
      <c r="E42" s="31" t="n">
        <v>2017</v>
      </c>
      <c r="F42" s="31" t="s">
        <v>203</v>
      </c>
      <c r="G42" s="31" t="n">
        <v>1</v>
      </c>
      <c r="H42" s="31" t="s">
        <v>55</v>
      </c>
      <c r="I42" s="31" t="s">
        <v>83</v>
      </c>
      <c r="K42" s="31" t="n">
        <v>120</v>
      </c>
      <c r="L42" s="31" t="n">
        <v>1</v>
      </c>
      <c r="M42" s="33" t="n">
        <v>21</v>
      </c>
      <c r="N42" s="33" t="n">
        <f aca="false">M42*K42</f>
        <v>2520</v>
      </c>
      <c r="P42" s="31" t="n">
        <v>5</v>
      </c>
      <c r="R42" s="56"/>
      <c r="S42" s="56"/>
      <c r="T42" s="56"/>
      <c r="U42" s="56"/>
      <c r="V42" s="56"/>
      <c r="X42" s="56"/>
      <c r="Y42" s="56"/>
      <c r="Z42" s="56"/>
      <c r="AA42" s="56"/>
      <c r="AB42" s="56"/>
      <c r="AD42" s="56"/>
      <c r="AE42" s="56"/>
      <c r="AF42" s="56"/>
      <c r="AG42" s="56"/>
      <c r="AH42" s="56"/>
      <c r="AI42" s="31" t="s">
        <v>439</v>
      </c>
    </row>
    <row r="43" customFormat="false" ht="15" hidden="false" customHeight="false" outlineLevel="0" collapsed="false">
      <c r="A43" s="31" t="n">
        <v>28763303</v>
      </c>
      <c r="B43" s="31" t="s">
        <v>204</v>
      </c>
      <c r="C43" s="31" t="s">
        <v>205</v>
      </c>
      <c r="D43" s="31" t="s">
        <v>183</v>
      </c>
      <c r="E43" s="31" t="n">
        <v>2018</v>
      </c>
      <c r="F43" s="31" t="s">
        <v>206</v>
      </c>
      <c r="G43" s="31" t="n">
        <v>1</v>
      </c>
      <c r="H43" s="31" t="s">
        <v>55</v>
      </c>
      <c r="I43" s="31" t="s">
        <v>34</v>
      </c>
      <c r="K43" s="31" t="n">
        <v>360</v>
      </c>
      <c r="L43" s="31" t="n">
        <v>1</v>
      </c>
      <c r="M43" s="33" t="n">
        <v>28</v>
      </c>
      <c r="N43" s="33" t="n">
        <f aca="false">M43*K43</f>
        <v>10080</v>
      </c>
      <c r="P43" s="31" t="n">
        <v>5</v>
      </c>
      <c r="Q43" s="31" t="n">
        <v>3</v>
      </c>
      <c r="T43" s="36" t="n">
        <v>12</v>
      </c>
      <c r="U43" s="36" t="n">
        <v>12</v>
      </c>
      <c r="Z43" s="36" t="n">
        <v>12</v>
      </c>
      <c r="AA43" s="36" t="n">
        <v>12</v>
      </c>
      <c r="AD43" s="56"/>
      <c r="AE43" s="56"/>
      <c r="AF43" s="56"/>
      <c r="AG43" s="56"/>
      <c r="AH43" s="56"/>
      <c r="AI43" s="31" t="s">
        <v>471</v>
      </c>
      <c r="AJ43" s="63" t="s">
        <v>50</v>
      </c>
    </row>
    <row r="44" customFormat="false" ht="15" hidden="false" customHeight="false" outlineLevel="0" collapsed="false">
      <c r="A44" s="31" t="n">
        <v>28388904</v>
      </c>
      <c r="B44" s="31" t="s">
        <v>367</v>
      </c>
      <c r="C44" s="31" t="s">
        <v>368</v>
      </c>
      <c r="D44" s="31" t="s">
        <v>369</v>
      </c>
      <c r="E44" s="31" t="n">
        <v>2017</v>
      </c>
      <c r="F44" s="31" t="s">
        <v>370</v>
      </c>
      <c r="G44" s="31" t="n">
        <v>1</v>
      </c>
      <c r="H44" s="31" t="s">
        <v>27</v>
      </c>
      <c r="I44" s="31" t="s">
        <v>34</v>
      </c>
      <c r="K44" s="31" t="n">
        <v>360</v>
      </c>
      <c r="L44" s="31" t="n">
        <v>1</v>
      </c>
      <c r="M44" s="33" t="n">
        <v>63</v>
      </c>
      <c r="N44" s="33" t="n">
        <f aca="false">M44*K44</f>
        <v>22680</v>
      </c>
      <c r="P44" s="31" t="n">
        <v>5</v>
      </c>
      <c r="R44" s="56"/>
      <c r="S44" s="56"/>
      <c r="T44" s="56"/>
      <c r="U44" s="56"/>
      <c r="V44" s="56"/>
      <c r="X44" s="56"/>
      <c r="Y44" s="56"/>
      <c r="Z44" s="56"/>
      <c r="AA44" s="56"/>
      <c r="AB44" s="56"/>
      <c r="AD44" s="56"/>
      <c r="AE44" s="56"/>
      <c r="AF44" s="56"/>
      <c r="AG44" s="56"/>
      <c r="AH44" s="56"/>
      <c r="AI44" s="31" t="s">
        <v>439</v>
      </c>
    </row>
    <row r="45" customFormat="false" ht="15" hidden="false" customHeight="false" outlineLevel="0" collapsed="false">
      <c r="A45" s="55" t="n">
        <v>28293639</v>
      </c>
      <c r="B45" s="55" t="s">
        <v>472</v>
      </c>
      <c r="C45" s="55" t="s">
        <v>473</v>
      </c>
      <c r="D45" s="55" t="s">
        <v>474</v>
      </c>
      <c r="E45" s="55" t="n">
        <v>2017</v>
      </c>
      <c r="F45" s="55" t="s">
        <v>475</v>
      </c>
      <c r="G45" s="55" t="n">
        <v>1</v>
      </c>
      <c r="H45" s="31" t="s">
        <v>55</v>
      </c>
      <c r="I45" s="31" t="s">
        <v>34</v>
      </c>
      <c r="K45" s="31" t="n">
        <v>180</v>
      </c>
      <c r="L45" s="31" t="n">
        <v>1</v>
      </c>
      <c r="M45" s="62" t="n">
        <v>14</v>
      </c>
      <c r="N45" s="33" t="n">
        <f aca="false">M45*K45</f>
        <v>2520</v>
      </c>
      <c r="P45" s="31" t="n">
        <v>5</v>
      </c>
      <c r="Q45" s="31" t="s">
        <v>476</v>
      </c>
      <c r="R45" s="35" t="n">
        <v>18</v>
      </c>
      <c r="S45" s="35" t="s">
        <v>48</v>
      </c>
      <c r="T45" s="36" t="n">
        <v>12</v>
      </c>
      <c r="U45" s="36" t="n">
        <v>12</v>
      </c>
      <c r="V45" s="35" t="n">
        <v>1.9</v>
      </c>
      <c r="X45" s="35" t="n">
        <v>30</v>
      </c>
      <c r="Y45" s="35" t="s">
        <v>48</v>
      </c>
      <c r="Z45" s="36" t="n">
        <v>12</v>
      </c>
      <c r="AA45" s="36" t="n">
        <v>12</v>
      </c>
      <c r="AB45" s="35" t="n">
        <v>2.2</v>
      </c>
      <c r="AD45" s="35" t="n">
        <v>18</v>
      </c>
      <c r="AE45" s="58" t="n">
        <v>1.9</v>
      </c>
      <c r="AF45" s="35" t="n">
        <v>30</v>
      </c>
      <c r="AG45" s="35" t="n">
        <v>2.2</v>
      </c>
      <c r="AH45" s="33" t="n">
        <v>5.83</v>
      </c>
      <c r="AI45" s="63" t="s">
        <v>50</v>
      </c>
    </row>
    <row r="46" customFormat="false" ht="15" hidden="false" customHeight="false" outlineLevel="0" collapsed="false">
      <c r="A46" s="55" t="n">
        <v>28293639</v>
      </c>
      <c r="B46" s="55" t="s">
        <v>472</v>
      </c>
      <c r="C46" s="55" t="s">
        <v>473</v>
      </c>
      <c r="D46" s="55" t="s">
        <v>474</v>
      </c>
      <c r="E46" s="55" t="n">
        <v>2017</v>
      </c>
      <c r="F46" s="55" t="s">
        <v>475</v>
      </c>
      <c r="G46" s="55" t="n">
        <v>1</v>
      </c>
      <c r="H46" s="31" t="s">
        <v>55</v>
      </c>
      <c r="I46" s="31" t="s">
        <v>34</v>
      </c>
      <c r="K46" s="31" t="n">
        <v>180</v>
      </c>
      <c r="L46" s="31" t="n">
        <v>1</v>
      </c>
      <c r="M46" s="62" t="n">
        <v>28</v>
      </c>
      <c r="N46" s="33" t="n">
        <f aca="false">M46*K46</f>
        <v>5040</v>
      </c>
      <c r="P46" s="31" t="n">
        <v>5</v>
      </c>
      <c r="Q46" s="31" t="s">
        <v>476</v>
      </c>
      <c r="R46" s="35" t="n">
        <v>19</v>
      </c>
      <c r="S46" s="35" t="s">
        <v>48</v>
      </c>
      <c r="T46" s="36" t="n">
        <v>12</v>
      </c>
      <c r="U46" s="36" t="n">
        <v>12</v>
      </c>
      <c r="V46" s="35" t="n">
        <v>1.7</v>
      </c>
      <c r="X46" s="35" t="n">
        <v>34</v>
      </c>
      <c r="Y46" s="35" t="s">
        <v>48</v>
      </c>
      <c r="Z46" s="36" t="n">
        <v>12</v>
      </c>
      <c r="AA46" s="36" t="n">
        <v>12</v>
      </c>
      <c r="AB46" s="35" t="n">
        <v>2.1</v>
      </c>
      <c r="AD46" s="35" t="n">
        <v>19</v>
      </c>
      <c r="AE46" s="58" t="n">
        <v>1.7</v>
      </c>
      <c r="AF46" s="35" t="n">
        <v>34</v>
      </c>
      <c r="AG46" s="35" t="n">
        <v>2.1</v>
      </c>
      <c r="AH46" s="33" t="n">
        <v>7.85</v>
      </c>
      <c r="AI46" s="63" t="s">
        <v>50</v>
      </c>
    </row>
    <row r="47" customFormat="false" ht="15" hidden="false" customHeight="false" outlineLevel="0" collapsed="false">
      <c r="A47" s="31" t="n">
        <v>27916420</v>
      </c>
      <c r="B47" s="31" t="s">
        <v>220</v>
      </c>
      <c r="C47" s="31" t="s">
        <v>221</v>
      </c>
      <c r="D47" s="31" t="s">
        <v>222</v>
      </c>
      <c r="E47" s="31" t="n">
        <v>2017</v>
      </c>
      <c r="F47" s="31" t="s">
        <v>223</v>
      </c>
      <c r="G47" s="31" t="n">
        <v>1</v>
      </c>
      <c r="H47" s="31" t="s">
        <v>55</v>
      </c>
      <c r="I47" s="31" t="s">
        <v>34</v>
      </c>
      <c r="K47" s="31" t="n">
        <v>240</v>
      </c>
      <c r="L47" s="31" t="n">
        <v>1</v>
      </c>
      <c r="M47" s="33" t="n">
        <v>42</v>
      </c>
      <c r="N47" s="33" t="n">
        <f aca="false">M47*K47</f>
        <v>10080</v>
      </c>
      <c r="P47" s="31" t="n">
        <v>5</v>
      </c>
      <c r="Q47" s="31" t="s">
        <v>190</v>
      </c>
      <c r="R47" s="35" t="n">
        <v>9</v>
      </c>
      <c r="S47" s="35" t="n">
        <v>2.3</v>
      </c>
      <c r="T47" s="36" t="n">
        <v>12</v>
      </c>
      <c r="U47" s="36" t="n">
        <v>12</v>
      </c>
      <c r="V47" s="57" t="n">
        <f aca="false">S47*(SQRT(U47))</f>
        <v>7.96743371481684</v>
      </c>
      <c r="X47" s="35" t="n">
        <v>24</v>
      </c>
      <c r="Y47" s="35" t="n">
        <v>3.2</v>
      </c>
      <c r="Z47" s="36" t="n">
        <v>12</v>
      </c>
      <c r="AA47" s="36" t="n">
        <v>12</v>
      </c>
      <c r="AB47" s="57" t="n">
        <f aca="false">Y47*(SQRT(AA47))</f>
        <v>11.0851251684408</v>
      </c>
      <c r="AD47" s="35" t="n">
        <v>9</v>
      </c>
      <c r="AE47" s="58" t="n">
        <v>7.96743371481684</v>
      </c>
      <c r="AF47" s="35" t="n">
        <v>24</v>
      </c>
      <c r="AG47" s="35" t="n">
        <v>11.0851251684408</v>
      </c>
      <c r="AH47" s="33" t="n">
        <v>1.56</v>
      </c>
      <c r="AI47" s="63" t="s">
        <v>50</v>
      </c>
    </row>
    <row r="48" customFormat="false" ht="15" hidden="false" customHeight="false" outlineLevel="0" collapsed="false">
      <c r="A48" s="31" t="n">
        <v>27346276</v>
      </c>
      <c r="B48" s="31" t="s">
        <v>224</v>
      </c>
      <c r="C48" s="31" t="s">
        <v>225</v>
      </c>
      <c r="D48" s="31" t="s">
        <v>38</v>
      </c>
      <c r="E48" s="31" t="n">
        <v>2016</v>
      </c>
      <c r="F48" s="31" t="s">
        <v>226</v>
      </c>
      <c r="G48" s="31" t="n">
        <v>1</v>
      </c>
      <c r="H48" s="31" t="s">
        <v>55</v>
      </c>
      <c r="I48" s="31" t="s">
        <v>34</v>
      </c>
      <c r="K48" s="31" t="n">
        <v>360</v>
      </c>
      <c r="L48" s="31" t="n">
        <v>1</v>
      </c>
      <c r="M48" s="33" t="n">
        <v>21</v>
      </c>
      <c r="N48" s="33" t="n">
        <f aca="false">M48*K48</f>
        <v>7560</v>
      </c>
      <c r="P48" s="31" t="n">
        <v>5</v>
      </c>
      <c r="R48" s="56"/>
      <c r="S48" s="56"/>
      <c r="T48" s="56"/>
      <c r="U48" s="56"/>
      <c r="V48" s="56"/>
      <c r="X48" s="56"/>
      <c r="Y48" s="56"/>
      <c r="Z48" s="56"/>
      <c r="AA48" s="56"/>
      <c r="AB48" s="56"/>
      <c r="AD48" s="56"/>
      <c r="AE48" s="56"/>
      <c r="AF48" s="56"/>
      <c r="AG48" s="56"/>
      <c r="AH48" s="56"/>
      <c r="AI48" s="31" t="s">
        <v>439</v>
      </c>
    </row>
    <row r="49" customFormat="false" ht="15" hidden="false" customHeight="false" outlineLevel="0" collapsed="false">
      <c r="A49" s="31" t="n">
        <v>27150225</v>
      </c>
      <c r="B49" s="31" t="s">
        <v>227</v>
      </c>
      <c r="C49" s="31" t="s">
        <v>228</v>
      </c>
      <c r="D49" s="31" t="s">
        <v>74</v>
      </c>
      <c r="E49" s="31" t="n">
        <v>2016</v>
      </c>
      <c r="F49" s="31" t="s">
        <v>229</v>
      </c>
      <c r="G49" s="31" t="n">
        <v>1</v>
      </c>
      <c r="H49" s="31" t="s">
        <v>55</v>
      </c>
      <c r="I49" s="31" t="s">
        <v>34</v>
      </c>
      <c r="K49" s="31" t="n">
        <v>180</v>
      </c>
      <c r="L49" s="31" t="n">
        <v>1</v>
      </c>
      <c r="M49" s="33" t="n">
        <v>35</v>
      </c>
      <c r="N49" s="33" t="n">
        <f aca="false">M49*K49</f>
        <v>6300</v>
      </c>
      <c r="P49" s="31" t="n">
        <v>5</v>
      </c>
      <c r="R49" s="56"/>
      <c r="S49" s="56"/>
      <c r="T49" s="56"/>
      <c r="U49" s="56"/>
      <c r="V49" s="56"/>
      <c r="X49" s="56"/>
      <c r="Y49" s="56"/>
      <c r="Z49" s="56"/>
      <c r="AA49" s="56"/>
      <c r="AB49" s="56"/>
      <c r="AD49" s="56"/>
      <c r="AE49" s="56"/>
      <c r="AF49" s="56"/>
      <c r="AG49" s="56"/>
      <c r="AH49" s="56"/>
      <c r="AI49" s="31" t="s">
        <v>439</v>
      </c>
    </row>
    <row r="50" customFormat="false" ht="15" hidden="false" customHeight="false" outlineLevel="0" collapsed="false">
      <c r="A50" s="31" t="n">
        <v>26947756</v>
      </c>
      <c r="B50" s="31" t="s">
        <v>239</v>
      </c>
      <c r="C50" s="31" t="s">
        <v>240</v>
      </c>
      <c r="D50" s="31" t="s">
        <v>74</v>
      </c>
      <c r="E50" s="31" t="n">
        <v>2016</v>
      </c>
      <c r="F50" s="31" t="s">
        <v>241</v>
      </c>
      <c r="G50" s="31" t="n">
        <v>1</v>
      </c>
      <c r="H50" s="31" t="s">
        <v>27</v>
      </c>
      <c r="I50" s="31" t="s">
        <v>34</v>
      </c>
      <c r="K50" s="31" t="n">
        <v>360</v>
      </c>
      <c r="L50" s="31" t="n">
        <v>1</v>
      </c>
      <c r="M50" s="33" t="n">
        <v>21</v>
      </c>
      <c r="N50" s="33" t="n">
        <f aca="false">M50*K50</f>
        <v>7560</v>
      </c>
      <c r="P50" s="31" t="n">
        <v>5</v>
      </c>
      <c r="R50" s="56"/>
      <c r="S50" s="56"/>
      <c r="T50" s="56"/>
      <c r="U50" s="56"/>
      <c r="V50" s="56"/>
      <c r="X50" s="56"/>
      <c r="Y50" s="56"/>
      <c r="Z50" s="56"/>
      <c r="AA50" s="56"/>
      <c r="AB50" s="56"/>
      <c r="AD50" s="56"/>
      <c r="AE50" s="56"/>
      <c r="AF50" s="56"/>
      <c r="AG50" s="56"/>
      <c r="AH50" s="56"/>
      <c r="AI50" s="31" t="s">
        <v>439</v>
      </c>
    </row>
    <row r="51" customFormat="false" ht="15" hidden="false" customHeight="false" outlineLevel="0" collapsed="false">
      <c r="A51" s="55" t="n">
        <v>26830848</v>
      </c>
      <c r="B51" s="55" t="s">
        <v>477</v>
      </c>
      <c r="C51" s="55" t="s">
        <v>478</v>
      </c>
      <c r="D51" s="55" t="s">
        <v>479</v>
      </c>
      <c r="E51" s="55" t="n">
        <v>2016</v>
      </c>
      <c r="F51" s="55" t="s">
        <v>480</v>
      </c>
      <c r="G51" s="55" t="n">
        <v>1</v>
      </c>
      <c r="H51" s="31" t="s">
        <v>55</v>
      </c>
      <c r="I51" s="31" t="s">
        <v>34</v>
      </c>
      <c r="J51" s="70" t="s">
        <v>481</v>
      </c>
      <c r="K51" s="31" t="n">
        <v>120</v>
      </c>
      <c r="L51" s="31" t="n">
        <v>1</v>
      </c>
      <c r="M51" s="33" t="n">
        <v>4</v>
      </c>
      <c r="N51" s="33" t="n">
        <f aca="false">M51*K51</f>
        <v>480</v>
      </c>
      <c r="P51" s="31" t="n">
        <v>5</v>
      </c>
      <c r="R51" s="56"/>
      <c r="S51" s="56"/>
      <c r="T51" s="56"/>
      <c r="U51" s="56"/>
      <c r="V51" s="56"/>
      <c r="X51" s="56"/>
      <c r="Y51" s="56"/>
      <c r="Z51" s="56"/>
      <c r="AA51" s="56"/>
      <c r="AB51" s="56"/>
      <c r="AD51" s="56"/>
      <c r="AE51" s="56"/>
      <c r="AF51" s="56"/>
      <c r="AG51" s="56"/>
      <c r="AH51" s="56"/>
      <c r="AI51" s="31" t="s">
        <v>439</v>
      </c>
    </row>
    <row r="52" customFormat="false" ht="15" hidden="false" customHeight="false" outlineLevel="0" collapsed="false">
      <c r="A52" s="55" t="n">
        <v>26830848</v>
      </c>
      <c r="B52" s="55" t="s">
        <v>477</v>
      </c>
      <c r="C52" s="55" t="s">
        <v>478</v>
      </c>
      <c r="D52" s="55" t="s">
        <v>479</v>
      </c>
      <c r="E52" s="55" t="n">
        <v>2016</v>
      </c>
      <c r="F52" s="55" t="s">
        <v>480</v>
      </c>
      <c r="G52" s="55" t="n">
        <v>1</v>
      </c>
      <c r="H52" s="31" t="s">
        <v>55</v>
      </c>
      <c r="I52" s="31" t="s">
        <v>34</v>
      </c>
      <c r="J52" s="70" t="s">
        <v>482</v>
      </c>
      <c r="K52" s="31" t="n">
        <v>120</v>
      </c>
      <c r="L52" s="31" t="n">
        <v>1</v>
      </c>
      <c r="M52" s="33" t="n">
        <v>4</v>
      </c>
      <c r="N52" s="33" t="n">
        <f aca="false">M52*K52</f>
        <v>480</v>
      </c>
      <c r="P52" s="31" t="n">
        <v>5</v>
      </c>
      <c r="R52" s="56"/>
      <c r="S52" s="56"/>
      <c r="T52" s="56"/>
      <c r="U52" s="56"/>
      <c r="V52" s="56"/>
      <c r="X52" s="56"/>
      <c r="Y52" s="56"/>
      <c r="Z52" s="56"/>
      <c r="AA52" s="56"/>
      <c r="AB52" s="56"/>
      <c r="AD52" s="56"/>
      <c r="AE52" s="56"/>
      <c r="AF52" s="56"/>
      <c r="AG52" s="56"/>
      <c r="AH52" s="56"/>
      <c r="AI52" s="31" t="s">
        <v>439</v>
      </c>
    </row>
    <row r="53" customFormat="false" ht="15" hidden="false" customHeight="false" outlineLevel="0" collapsed="false">
      <c r="A53" s="31" t="n">
        <v>26555398</v>
      </c>
      <c r="B53" s="31" t="s">
        <v>247</v>
      </c>
      <c r="C53" s="31" t="s">
        <v>248</v>
      </c>
      <c r="D53" s="31" t="s">
        <v>249</v>
      </c>
      <c r="E53" s="31" t="n">
        <v>2016</v>
      </c>
      <c r="F53" s="31" t="s">
        <v>250</v>
      </c>
      <c r="G53" s="31" t="n">
        <v>1</v>
      </c>
      <c r="H53" s="31" t="s">
        <v>27</v>
      </c>
      <c r="I53" s="31" t="s">
        <v>34</v>
      </c>
      <c r="K53" s="31" t="n">
        <v>240</v>
      </c>
      <c r="L53" s="31" t="n">
        <v>1</v>
      </c>
      <c r="M53" s="33" t="n">
        <v>5</v>
      </c>
      <c r="N53" s="33" t="n">
        <f aca="false">M53*K53</f>
        <v>1200</v>
      </c>
      <c r="O53" s="31" t="s">
        <v>251</v>
      </c>
      <c r="P53" s="31" t="n">
        <v>5</v>
      </c>
      <c r="R53" s="56"/>
      <c r="S53" s="56"/>
      <c r="T53" s="56"/>
      <c r="U53" s="56"/>
      <c r="V53" s="56"/>
      <c r="X53" s="56"/>
      <c r="Y53" s="56"/>
      <c r="Z53" s="56"/>
      <c r="AA53" s="56"/>
      <c r="AB53" s="56"/>
      <c r="AD53" s="56"/>
      <c r="AE53" s="56"/>
      <c r="AF53" s="56"/>
      <c r="AG53" s="56"/>
      <c r="AH53" s="56"/>
      <c r="AI53" s="31" t="s">
        <v>439</v>
      </c>
    </row>
    <row r="54" customFormat="false" ht="15" hidden="false" customHeight="false" outlineLevel="0" collapsed="false">
      <c r="A54" s="31" t="n">
        <v>26487859</v>
      </c>
      <c r="B54" s="31" t="s">
        <v>483</v>
      </c>
      <c r="C54" s="31" t="s">
        <v>484</v>
      </c>
      <c r="D54" s="31" t="s">
        <v>485</v>
      </c>
      <c r="E54" s="31" t="n">
        <v>2015</v>
      </c>
      <c r="F54" s="31" t="s">
        <v>486</v>
      </c>
      <c r="G54" s="31" t="n">
        <v>1</v>
      </c>
      <c r="H54" s="31" t="s">
        <v>27</v>
      </c>
      <c r="I54" s="31" t="s">
        <v>34</v>
      </c>
      <c r="J54" s="32" t="s">
        <v>122</v>
      </c>
      <c r="K54" s="31" t="n">
        <v>360</v>
      </c>
      <c r="L54" s="31" t="n">
        <v>1</v>
      </c>
      <c r="M54" s="33" t="n">
        <v>28</v>
      </c>
      <c r="N54" s="33" t="n">
        <f aca="false">M54*K54</f>
        <v>10080</v>
      </c>
      <c r="P54" s="31" t="n">
        <v>5</v>
      </c>
      <c r="R54" s="56"/>
      <c r="S54" s="56"/>
      <c r="T54" s="56"/>
      <c r="U54" s="56"/>
      <c r="V54" s="56"/>
      <c r="X54" s="56"/>
      <c r="Y54" s="56"/>
      <c r="Z54" s="56"/>
      <c r="AA54" s="56"/>
      <c r="AB54" s="56"/>
      <c r="AD54" s="56"/>
      <c r="AE54" s="56"/>
      <c r="AF54" s="56"/>
      <c r="AG54" s="56"/>
      <c r="AH54" s="56"/>
      <c r="AI54" s="31" t="s">
        <v>439</v>
      </c>
    </row>
    <row r="55" customFormat="false" ht="15" hidden="false" customHeight="false" outlineLevel="0" collapsed="false">
      <c r="A55" s="31" t="n">
        <v>25826421</v>
      </c>
      <c r="B55" s="31" t="s">
        <v>257</v>
      </c>
      <c r="C55" s="31" t="s">
        <v>258</v>
      </c>
      <c r="D55" s="31" t="s">
        <v>259</v>
      </c>
      <c r="E55" s="31" t="n">
        <v>2015</v>
      </c>
      <c r="F55" s="31" t="s">
        <v>260</v>
      </c>
      <c r="G55" s="31" t="n">
        <v>1</v>
      </c>
      <c r="H55" s="31" t="s">
        <v>55</v>
      </c>
      <c r="I55" s="31" t="s">
        <v>34</v>
      </c>
      <c r="K55" s="31" t="n">
        <v>240</v>
      </c>
      <c r="L55" s="31" t="n">
        <v>1</v>
      </c>
      <c r="M55" s="33" t="n">
        <v>42</v>
      </c>
      <c r="N55" s="33" t="n">
        <f aca="false">M55*K55</f>
        <v>10080</v>
      </c>
      <c r="P55" s="31" t="n">
        <v>5</v>
      </c>
      <c r="R55" s="56"/>
      <c r="S55" s="56"/>
      <c r="T55" s="56"/>
      <c r="U55" s="56"/>
      <c r="V55" s="56"/>
      <c r="X55" s="56"/>
      <c r="Y55" s="56"/>
      <c r="Z55" s="56"/>
      <c r="AA55" s="56"/>
      <c r="AB55" s="56"/>
      <c r="AD55" s="56"/>
      <c r="AE55" s="56"/>
      <c r="AF55" s="56"/>
      <c r="AG55" s="56"/>
      <c r="AH55" s="56"/>
      <c r="AI55" s="31" t="s">
        <v>439</v>
      </c>
    </row>
    <row r="56" customFormat="false" ht="15" hidden="false" customHeight="false" outlineLevel="0" collapsed="false">
      <c r="A56" s="55" t="n">
        <v>25660342</v>
      </c>
      <c r="B56" s="55" t="s">
        <v>487</v>
      </c>
      <c r="C56" s="55" t="s">
        <v>488</v>
      </c>
      <c r="D56" s="55" t="s">
        <v>468</v>
      </c>
      <c r="E56" s="55" t="n">
        <v>2015</v>
      </c>
      <c r="F56" s="55" t="s">
        <v>489</v>
      </c>
      <c r="G56" s="55" t="n">
        <v>1</v>
      </c>
      <c r="H56" s="31" t="s">
        <v>27</v>
      </c>
      <c r="I56" s="31" t="s">
        <v>34</v>
      </c>
      <c r="K56" s="31" t="n">
        <v>120</v>
      </c>
      <c r="L56" s="31" t="n">
        <v>1</v>
      </c>
      <c r="M56" s="62" t="n">
        <v>3</v>
      </c>
      <c r="N56" s="33" t="n">
        <f aca="false">M56*K56</f>
        <v>360</v>
      </c>
      <c r="P56" s="31" t="n">
        <v>5</v>
      </c>
      <c r="R56" s="56"/>
      <c r="S56" s="56"/>
      <c r="T56" s="56"/>
      <c r="U56" s="56"/>
      <c r="V56" s="56"/>
      <c r="X56" s="56"/>
      <c r="Y56" s="56"/>
      <c r="Z56" s="56"/>
      <c r="AA56" s="56"/>
      <c r="AB56" s="56"/>
      <c r="AD56" s="56"/>
      <c r="AE56" s="56"/>
      <c r="AF56" s="56"/>
      <c r="AG56" s="56"/>
      <c r="AH56" s="56"/>
      <c r="AI56" s="31" t="s">
        <v>439</v>
      </c>
    </row>
    <row r="57" customFormat="false" ht="15" hidden="false" customHeight="false" outlineLevel="0" collapsed="false">
      <c r="A57" s="55" t="n">
        <v>25660342</v>
      </c>
      <c r="B57" s="55" t="s">
        <v>487</v>
      </c>
      <c r="C57" s="55" t="s">
        <v>488</v>
      </c>
      <c r="D57" s="55" t="s">
        <v>468</v>
      </c>
      <c r="E57" s="55" t="n">
        <v>2015</v>
      </c>
      <c r="F57" s="55" t="s">
        <v>489</v>
      </c>
      <c r="G57" s="55" t="n">
        <v>1</v>
      </c>
      <c r="H57" s="31" t="s">
        <v>27</v>
      </c>
      <c r="I57" s="31" t="s">
        <v>34</v>
      </c>
      <c r="K57" s="31" t="n">
        <v>120</v>
      </c>
      <c r="L57" s="31" t="n">
        <v>1</v>
      </c>
      <c r="M57" s="62" t="n">
        <v>7</v>
      </c>
      <c r="N57" s="33" t="n">
        <f aca="false">M57*K57</f>
        <v>840</v>
      </c>
      <c r="P57" s="31" t="n">
        <v>5</v>
      </c>
      <c r="R57" s="56"/>
      <c r="S57" s="56"/>
      <c r="T57" s="56"/>
      <c r="U57" s="56"/>
      <c r="V57" s="56"/>
      <c r="X57" s="56"/>
      <c r="Y57" s="56"/>
      <c r="Z57" s="56"/>
      <c r="AA57" s="56"/>
      <c r="AB57" s="56"/>
      <c r="AD57" s="56"/>
      <c r="AE57" s="56"/>
      <c r="AF57" s="56"/>
      <c r="AG57" s="56"/>
      <c r="AH57" s="56"/>
      <c r="AI57" s="31" t="s">
        <v>439</v>
      </c>
    </row>
    <row r="58" customFormat="false" ht="15" hidden="false" customHeight="false" outlineLevel="0" collapsed="false">
      <c r="A58" s="55" t="n">
        <v>25660342</v>
      </c>
      <c r="B58" s="55" t="s">
        <v>487</v>
      </c>
      <c r="C58" s="55" t="s">
        <v>488</v>
      </c>
      <c r="D58" s="55" t="s">
        <v>468</v>
      </c>
      <c r="E58" s="55" t="n">
        <v>2015</v>
      </c>
      <c r="F58" s="55" t="s">
        <v>489</v>
      </c>
      <c r="G58" s="55" t="n">
        <v>1</v>
      </c>
      <c r="H58" s="31" t="s">
        <v>27</v>
      </c>
      <c r="I58" s="31" t="s">
        <v>34</v>
      </c>
      <c r="K58" s="31" t="n">
        <v>120</v>
      </c>
      <c r="L58" s="31" t="n">
        <v>1</v>
      </c>
      <c r="M58" s="62" t="n">
        <v>14</v>
      </c>
      <c r="N58" s="33" t="n">
        <f aca="false">M58*K58</f>
        <v>1680</v>
      </c>
      <c r="P58" s="31" t="n">
        <v>5</v>
      </c>
      <c r="R58" s="56"/>
      <c r="S58" s="56"/>
      <c r="T58" s="56"/>
      <c r="U58" s="56"/>
      <c r="V58" s="56"/>
      <c r="X58" s="56"/>
      <c r="Y58" s="56"/>
      <c r="Z58" s="56"/>
      <c r="AA58" s="56"/>
      <c r="AB58" s="56"/>
      <c r="AD58" s="56"/>
      <c r="AE58" s="56"/>
      <c r="AF58" s="56"/>
      <c r="AG58" s="56"/>
      <c r="AH58" s="56"/>
      <c r="AI58" s="31" t="s">
        <v>439</v>
      </c>
    </row>
    <row r="59" customFormat="false" ht="15" hidden="false" customHeight="false" outlineLevel="0" collapsed="false">
      <c r="A59" s="31" t="n">
        <v>25315361</v>
      </c>
      <c r="B59" s="31" t="s">
        <v>268</v>
      </c>
      <c r="C59" s="31" t="s">
        <v>269</v>
      </c>
      <c r="D59" s="31" t="s">
        <v>94</v>
      </c>
      <c r="E59" s="31" t="n">
        <v>2015</v>
      </c>
      <c r="F59" s="31" t="s">
        <v>270</v>
      </c>
      <c r="G59" s="31" t="n">
        <v>1</v>
      </c>
      <c r="H59" s="31" t="s">
        <v>55</v>
      </c>
      <c r="I59" s="31" t="s">
        <v>34</v>
      </c>
      <c r="K59" s="31" t="n">
        <v>240</v>
      </c>
      <c r="L59" s="31" t="n">
        <v>1</v>
      </c>
      <c r="M59" s="33" t="n">
        <v>42</v>
      </c>
      <c r="N59" s="33" t="n">
        <f aca="false">M59*K59</f>
        <v>10080</v>
      </c>
      <c r="P59" s="31" t="n">
        <v>5</v>
      </c>
      <c r="R59" s="56"/>
      <c r="S59" s="56"/>
      <c r="T59" s="56"/>
      <c r="U59" s="56"/>
      <c r="V59" s="56"/>
      <c r="X59" s="56"/>
      <c r="Y59" s="56"/>
      <c r="Z59" s="56"/>
      <c r="AA59" s="56"/>
      <c r="AB59" s="56"/>
      <c r="AD59" s="56"/>
      <c r="AE59" s="56"/>
      <c r="AF59" s="56"/>
      <c r="AG59" s="56"/>
      <c r="AH59" s="56"/>
      <c r="AI59" s="31" t="s">
        <v>439</v>
      </c>
    </row>
    <row r="60" customFormat="false" ht="15" hidden="false" customHeight="false" outlineLevel="0" collapsed="false">
      <c r="G60" s="3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31" width="13.71"/>
    <col collapsed="false" customWidth="true" hidden="false" outlineLevel="0" max="2" min="2" style="31" width="32.43"/>
    <col collapsed="false" customWidth="true" hidden="false" outlineLevel="0" max="3" min="3" style="31" width="13.71"/>
    <col collapsed="false" customWidth="true" hidden="false" outlineLevel="0" max="4" min="4" style="31" width="6.43"/>
    <col collapsed="false" customWidth="true" hidden="false" outlineLevel="0" max="7" min="5" style="31" width="13.71"/>
    <col collapsed="false" customWidth="true" hidden="false" outlineLevel="0" max="8" min="8" style="31" width="6.43"/>
    <col collapsed="false" customWidth="true" hidden="false" outlineLevel="0" max="11" min="9" style="31" width="13.86"/>
    <col collapsed="false" customWidth="true" hidden="false" outlineLevel="0" max="15" min="13" style="31" width="13.86"/>
  </cols>
  <sheetData>
    <row r="1" customFormat="false" ht="15" hidden="false" customHeight="false" outlineLevel="0" collapsed="false">
      <c r="A1" s="37" t="s">
        <v>8</v>
      </c>
      <c r="B1" s="37"/>
      <c r="C1" s="37"/>
      <c r="E1" s="37" t="s">
        <v>278</v>
      </c>
      <c r="F1" s="37"/>
      <c r="G1" s="37"/>
      <c r="I1" s="37" t="s">
        <v>373</v>
      </c>
      <c r="J1" s="37"/>
      <c r="K1" s="37"/>
      <c r="M1" s="37" t="s">
        <v>437</v>
      </c>
    </row>
    <row r="2" customFormat="false" ht="15" hidden="false" customHeight="false" outlineLevel="0" collapsed="false">
      <c r="A2" s="37" t="s">
        <v>490</v>
      </c>
      <c r="B2" s="37" t="s">
        <v>491</v>
      </c>
      <c r="C2" s="37" t="s">
        <v>492</v>
      </c>
      <c r="E2" s="37" t="s">
        <v>490</v>
      </c>
      <c r="F2" s="37" t="s">
        <v>491</v>
      </c>
      <c r="G2" s="37" t="s">
        <v>492</v>
      </c>
      <c r="I2" s="37" t="s">
        <v>490</v>
      </c>
      <c r="J2" s="37" t="s">
        <v>491</v>
      </c>
      <c r="K2" s="37" t="s">
        <v>492</v>
      </c>
      <c r="M2" s="37" t="s">
        <v>490</v>
      </c>
      <c r="N2" s="37" t="s">
        <v>491</v>
      </c>
      <c r="O2" s="37" t="s">
        <v>492</v>
      </c>
    </row>
    <row r="3" customFormat="false" ht="15" hidden="false" customHeight="false" outlineLevel="0" collapsed="false">
      <c r="A3" s="31" t="n">
        <v>13440</v>
      </c>
      <c r="C3" s="71"/>
      <c r="E3" s="31" t="n">
        <v>13440</v>
      </c>
      <c r="F3" s="31" t="n">
        <f aca="false">E3/60</f>
        <v>224</v>
      </c>
      <c r="G3" s="31" t="n">
        <v>6.08</v>
      </c>
      <c r="I3" s="31" t="n">
        <v>10080</v>
      </c>
      <c r="J3" s="31" t="n">
        <f aca="false">I3/60</f>
        <v>168</v>
      </c>
      <c r="K3" s="31" t="n">
        <v>5.9</v>
      </c>
      <c r="M3" s="31" t="n">
        <v>10080</v>
      </c>
      <c r="N3" s="31" t="n">
        <f aca="false">M3/60</f>
        <v>168</v>
      </c>
      <c r="O3" s="31" t="n">
        <v>4.6</v>
      </c>
    </row>
    <row r="4" customFormat="false" ht="15" hidden="false" customHeight="false" outlineLevel="0" collapsed="false">
      <c r="A4" s="31" t="n">
        <v>1680</v>
      </c>
      <c r="B4" s="31" t="n">
        <f aca="false">A4/60</f>
        <v>28</v>
      </c>
      <c r="C4" s="71" t="s">
        <v>42</v>
      </c>
      <c r="E4" s="31" t="n">
        <v>13440</v>
      </c>
      <c r="F4" s="31" t="n">
        <f aca="false">E4/60</f>
        <v>224</v>
      </c>
      <c r="G4" s="31" t="n">
        <v>5.43</v>
      </c>
      <c r="I4" s="31" t="n">
        <v>1680</v>
      </c>
      <c r="J4" s="31" t="n">
        <f aca="false">I4/60</f>
        <v>28</v>
      </c>
      <c r="K4" s="31" t="n">
        <v>1.49</v>
      </c>
      <c r="M4" s="31" t="n">
        <v>5040</v>
      </c>
    </row>
    <row r="5" customFormat="false" ht="15" hidden="false" customHeight="false" outlineLevel="0" collapsed="false">
      <c r="A5" s="31" t="n">
        <v>5040</v>
      </c>
      <c r="B5" s="31" t="n">
        <f aca="false">A5/60</f>
        <v>84</v>
      </c>
      <c r="C5" s="71" t="n">
        <v>-0.42</v>
      </c>
      <c r="E5" s="31" t="n">
        <v>5040</v>
      </c>
      <c r="F5" s="31" t="n">
        <f aca="false">E5/60</f>
        <v>84</v>
      </c>
      <c r="G5" s="31" t="n">
        <v>1.15</v>
      </c>
      <c r="I5" s="31" t="n">
        <v>1680</v>
      </c>
      <c r="J5" s="31" t="n">
        <f aca="false">I5/60</f>
        <v>28</v>
      </c>
      <c r="K5" s="31" t="n">
        <v>0.05</v>
      </c>
      <c r="M5" s="31" t="n">
        <v>7560</v>
      </c>
    </row>
    <row r="6" customFormat="false" ht="15" hidden="false" customHeight="false" outlineLevel="0" collapsed="false">
      <c r="A6" s="31" t="n">
        <v>7560</v>
      </c>
      <c r="C6" s="71"/>
      <c r="E6" s="31" t="n">
        <v>1680</v>
      </c>
      <c r="F6" s="31" t="n">
        <f aca="false">E6/60</f>
        <v>28</v>
      </c>
      <c r="G6" s="31" t="n">
        <v>2</v>
      </c>
      <c r="I6" s="31" t="n">
        <v>5040</v>
      </c>
      <c r="J6" s="31" t="n">
        <f aca="false">I6/60</f>
        <v>84</v>
      </c>
      <c r="K6" s="31" t="n">
        <v>1.62</v>
      </c>
      <c r="M6" s="31" t="n">
        <v>2520</v>
      </c>
      <c r="N6" s="31" t="n">
        <f aca="false">M6/60</f>
        <v>42</v>
      </c>
      <c r="O6" s="31" t="n">
        <v>0.8</v>
      </c>
    </row>
    <row r="7" customFormat="false" ht="15" hidden="false" customHeight="false" outlineLevel="0" collapsed="false">
      <c r="A7" s="31" t="n">
        <v>1200</v>
      </c>
      <c r="B7" s="31" t="n">
        <f aca="false">A7/60</f>
        <v>20</v>
      </c>
      <c r="C7" s="71" t="s">
        <v>65</v>
      </c>
      <c r="E7" s="31" t="n">
        <v>13440</v>
      </c>
      <c r="I7" s="31" t="n">
        <v>7560</v>
      </c>
      <c r="M7" s="31" t="n">
        <v>5040</v>
      </c>
      <c r="N7" s="31" t="n">
        <f aca="false">M7/60</f>
        <v>84</v>
      </c>
      <c r="O7" s="31" t="n">
        <v>1.95</v>
      </c>
    </row>
    <row r="8" customFormat="false" ht="15" hidden="false" customHeight="false" outlineLevel="0" collapsed="false">
      <c r="A8" s="31" t="n">
        <v>7560</v>
      </c>
      <c r="C8" s="71"/>
      <c r="E8" s="31" t="n">
        <v>7560</v>
      </c>
      <c r="F8" s="31" t="n">
        <f aca="false">E8/60</f>
        <v>126</v>
      </c>
      <c r="G8" s="31" t="n">
        <v>1.9</v>
      </c>
      <c r="I8" s="31" t="n">
        <v>8400</v>
      </c>
      <c r="J8" s="31" t="n">
        <f aca="false">I8/60</f>
        <v>140</v>
      </c>
      <c r="K8" s="31" t="n">
        <v>0.94</v>
      </c>
      <c r="M8" s="31" t="n">
        <v>7560</v>
      </c>
      <c r="N8" s="31" t="n">
        <f aca="false">M8/60</f>
        <v>126</v>
      </c>
      <c r="O8" s="31" t="n">
        <v>10.11</v>
      </c>
    </row>
    <row r="9" customFormat="false" ht="15" hidden="false" customHeight="false" outlineLevel="0" collapsed="false">
      <c r="A9" s="31" t="n">
        <v>8400</v>
      </c>
      <c r="C9" s="71"/>
      <c r="E9" s="31" t="n">
        <v>2520</v>
      </c>
      <c r="F9" s="31" t="n">
        <f aca="false">E9/60</f>
        <v>42</v>
      </c>
      <c r="G9" s="31" t="n">
        <v>-0.6</v>
      </c>
      <c r="I9" s="31" t="n">
        <v>1680</v>
      </c>
      <c r="J9" s="31" t="n">
        <f aca="false">I9/60</f>
        <v>28</v>
      </c>
      <c r="K9" s="31" t="n">
        <v>1.98</v>
      </c>
      <c r="M9" s="31" t="n">
        <v>1680</v>
      </c>
      <c r="N9" s="31" t="n">
        <f aca="false">M9/60</f>
        <v>28</v>
      </c>
      <c r="O9" s="31" t="n">
        <v>1.61</v>
      </c>
    </row>
    <row r="10" customFormat="false" ht="15" hidden="false" customHeight="false" outlineLevel="0" collapsed="false">
      <c r="A10" s="31" t="n">
        <v>10080</v>
      </c>
      <c r="B10" s="31" t="n">
        <f aca="false">A10/60</f>
        <v>168</v>
      </c>
      <c r="C10" s="71" t="s">
        <v>84</v>
      </c>
      <c r="E10" s="31" t="n">
        <v>5040</v>
      </c>
      <c r="F10" s="31" t="n">
        <f aca="false">E10/60</f>
        <v>84</v>
      </c>
      <c r="G10" s="31" t="n">
        <v>-1.04</v>
      </c>
      <c r="I10" s="31" t="n">
        <v>3960</v>
      </c>
      <c r="J10" s="31" t="n">
        <f aca="false">I10/60</f>
        <v>66</v>
      </c>
      <c r="K10" s="31" t="n">
        <v>0.67</v>
      </c>
      <c r="M10" s="31" t="n">
        <v>7560</v>
      </c>
    </row>
    <row r="11" customFormat="false" ht="15" hidden="false" customHeight="false" outlineLevel="0" collapsed="false">
      <c r="A11" s="31" t="n">
        <v>10080</v>
      </c>
      <c r="B11" s="31" t="n">
        <f aca="false">A11/60</f>
        <v>168</v>
      </c>
      <c r="C11" s="71" t="s">
        <v>91</v>
      </c>
      <c r="E11" s="31" t="n">
        <v>7560</v>
      </c>
      <c r="F11" s="31" t="n">
        <f aca="false">E11/60</f>
        <v>126</v>
      </c>
      <c r="G11" s="31" t="n">
        <v>0.88</v>
      </c>
      <c r="I11" s="31" t="n">
        <v>3960</v>
      </c>
      <c r="J11" s="31" t="n">
        <f aca="false">I11/60</f>
        <v>66</v>
      </c>
      <c r="K11" s="31" t="n">
        <v>0</v>
      </c>
      <c r="M11" s="31" t="n">
        <v>8400</v>
      </c>
      <c r="N11" s="31" t="n">
        <f aca="false">M11/60</f>
        <v>140</v>
      </c>
      <c r="O11" s="31" t="n">
        <v>0.98</v>
      </c>
    </row>
    <row r="12" customFormat="false" ht="15" hidden="false" customHeight="false" outlineLevel="0" collapsed="false">
      <c r="A12" s="31" t="n">
        <v>2100</v>
      </c>
      <c r="C12" s="71"/>
      <c r="E12" s="31" t="n">
        <v>2520</v>
      </c>
      <c r="F12" s="31" t="n">
        <f aca="false">E12/60</f>
        <v>42</v>
      </c>
      <c r="G12" s="31" t="n">
        <v>1.84</v>
      </c>
      <c r="I12" s="31" t="n">
        <v>7920</v>
      </c>
      <c r="J12" s="31" t="n">
        <f aca="false">I12/60</f>
        <v>132</v>
      </c>
      <c r="K12" s="31" t="n">
        <v>-0.43</v>
      </c>
      <c r="M12" s="31" t="n">
        <v>10080</v>
      </c>
    </row>
    <row r="13" customFormat="false" ht="15" hidden="false" customHeight="false" outlineLevel="0" collapsed="false">
      <c r="A13" s="31" t="n">
        <v>2100</v>
      </c>
      <c r="C13" s="71"/>
      <c r="E13" s="31" t="n">
        <v>5040</v>
      </c>
      <c r="F13" s="31" t="n">
        <f aca="false">E13/60</f>
        <v>84</v>
      </c>
      <c r="G13" s="31" t="n">
        <v>1.91</v>
      </c>
      <c r="I13" s="31" t="n">
        <v>7920</v>
      </c>
      <c r="J13" s="31" t="n">
        <f aca="false">I13/60</f>
        <v>132</v>
      </c>
      <c r="K13" s="31" t="n">
        <v>0.99</v>
      </c>
      <c r="M13" s="31" t="n">
        <v>6720</v>
      </c>
    </row>
    <row r="14" customFormat="false" ht="15" hidden="false" customHeight="false" outlineLevel="0" collapsed="false">
      <c r="A14" s="31" t="n">
        <v>7560</v>
      </c>
      <c r="B14" s="31" t="n">
        <f aca="false">A14/60</f>
        <v>126</v>
      </c>
      <c r="C14" s="71" t="s">
        <v>107</v>
      </c>
      <c r="E14" s="31" t="n">
        <v>7560</v>
      </c>
      <c r="F14" s="31" t="n">
        <f aca="false">E14/60</f>
        <v>126</v>
      </c>
      <c r="G14" s="31" t="n">
        <v>2.56</v>
      </c>
      <c r="I14" s="31" t="n">
        <v>3780</v>
      </c>
      <c r="J14" s="31" t="n">
        <f aca="false">I14/60</f>
        <v>63</v>
      </c>
      <c r="K14" s="31" t="n">
        <v>1.54</v>
      </c>
      <c r="M14" s="31" t="n">
        <v>7560</v>
      </c>
    </row>
    <row r="15" customFormat="false" ht="15" hidden="false" customHeight="false" outlineLevel="0" collapsed="false">
      <c r="A15" s="31" t="n">
        <v>7560</v>
      </c>
      <c r="B15" s="31" t="n">
        <f aca="false">A15/60</f>
        <v>126</v>
      </c>
      <c r="C15" s="71" t="n">
        <v>-0.53</v>
      </c>
      <c r="E15" s="31" t="n">
        <v>7560</v>
      </c>
      <c r="F15" s="31" t="n">
        <f aca="false">E15/60</f>
        <v>126</v>
      </c>
      <c r="G15" s="31" t="n">
        <v>4.7</v>
      </c>
      <c r="I15" s="31" t="n">
        <v>3780</v>
      </c>
      <c r="J15" s="31" t="n">
        <f aca="false">I15/60</f>
        <v>63</v>
      </c>
      <c r="K15" s="31" t="n">
        <v>1</v>
      </c>
      <c r="M15" s="31" t="n">
        <v>7560</v>
      </c>
    </row>
    <row r="16" customFormat="false" ht="15" hidden="false" customHeight="false" outlineLevel="0" collapsed="false">
      <c r="A16" s="31" t="n">
        <v>3780</v>
      </c>
      <c r="B16" s="31" t="n">
        <f aca="false">A16/60</f>
        <v>63</v>
      </c>
      <c r="C16" s="71" t="s">
        <v>116</v>
      </c>
      <c r="E16" s="31" t="n">
        <v>3960</v>
      </c>
      <c r="I16" s="31" t="n">
        <v>7560</v>
      </c>
      <c r="J16" s="31" t="n">
        <f aca="false">I16/60</f>
        <v>126</v>
      </c>
      <c r="K16" s="31" t="n">
        <v>0</v>
      </c>
      <c r="M16" s="31" t="n">
        <v>10080</v>
      </c>
    </row>
    <row r="17" customFormat="false" ht="15" hidden="false" customHeight="false" outlineLevel="0" collapsed="false">
      <c r="A17" s="31" t="n">
        <v>7560</v>
      </c>
      <c r="B17" s="31" t="n">
        <f aca="false">A17/60</f>
        <v>126</v>
      </c>
      <c r="C17" s="71" t="s">
        <v>123</v>
      </c>
      <c r="E17" s="31" t="n">
        <v>3960</v>
      </c>
      <c r="I17" s="31" t="n">
        <v>840</v>
      </c>
      <c r="J17" s="31" t="n">
        <f aca="false">I17/60</f>
        <v>14</v>
      </c>
      <c r="K17" s="31" t="n">
        <v>1.11</v>
      </c>
      <c r="M17" s="31" t="n">
        <v>3780</v>
      </c>
    </row>
    <row r="18" customFormat="false" ht="15" hidden="false" customHeight="false" outlineLevel="0" collapsed="false">
      <c r="A18" s="31" t="n">
        <v>6720</v>
      </c>
      <c r="B18" s="31" t="n">
        <f aca="false">A18/60</f>
        <v>112</v>
      </c>
      <c r="C18" s="71" t="s">
        <v>129</v>
      </c>
      <c r="E18" s="31" t="n">
        <v>7920</v>
      </c>
      <c r="I18" s="31" t="n">
        <v>7560</v>
      </c>
      <c r="J18" s="31" t="n">
        <f aca="false">I18/60</f>
        <v>126</v>
      </c>
      <c r="K18" s="31" t="n">
        <v>1.83</v>
      </c>
      <c r="M18" s="31" t="n">
        <v>3780</v>
      </c>
    </row>
    <row r="19" customFormat="false" ht="15" hidden="false" customHeight="false" outlineLevel="0" collapsed="false">
      <c r="A19" s="31" t="n">
        <v>7560</v>
      </c>
      <c r="B19" s="31" t="n">
        <f aca="false">A19/60</f>
        <v>126</v>
      </c>
      <c r="C19" s="71" t="s">
        <v>135</v>
      </c>
      <c r="E19" s="31" t="n">
        <v>7920</v>
      </c>
      <c r="I19" s="31" t="n">
        <v>2520</v>
      </c>
      <c r="J19" s="31" t="n">
        <f aca="false">I19/60</f>
        <v>42</v>
      </c>
      <c r="K19" s="31" t="n">
        <v>5.65</v>
      </c>
      <c r="M19" s="31" t="n">
        <v>7560</v>
      </c>
    </row>
    <row r="20" customFormat="false" ht="15" hidden="false" customHeight="false" outlineLevel="0" collapsed="false">
      <c r="A20" s="31" t="n">
        <v>3360</v>
      </c>
      <c r="B20" s="31" t="n">
        <f aca="false">A20/60</f>
        <v>56</v>
      </c>
      <c r="C20" s="71" t="s">
        <v>65</v>
      </c>
      <c r="E20" s="31" t="n">
        <v>10080</v>
      </c>
      <c r="F20" s="31" t="n">
        <f aca="false">E20/60</f>
        <v>168</v>
      </c>
      <c r="G20" s="31" t="n">
        <v>1.1</v>
      </c>
      <c r="I20" s="31" t="n">
        <v>5040</v>
      </c>
    </row>
    <row r="21" customFormat="false" ht="15" hidden="false" customHeight="false" outlineLevel="0" collapsed="false">
      <c r="A21" s="31" t="n">
        <v>7560</v>
      </c>
      <c r="B21" s="31" t="n">
        <f aca="false">A21/60</f>
        <v>126</v>
      </c>
      <c r="C21" s="71" t="s">
        <v>147</v>
      </c>
      <c r="E21" s="31" t="n">
        <v>6720</v>
      </c>
      <c r="F21" s="31" t="n">
        <f aca="false">E21/60</f>
        <v>112</v>
      </c>
      <c r="G21" s="31" t="n">
        <v>2.27</v>
      </c>
      <c r="I21" s="31" t="n">
        <v>8190</v>
      </c>
      <c r="J21" s="31" t="n">
        <f aca="false">I21/60</f>
        <v>136.5</v>
      </c>
      <c r="K21" s="31" t="n">
        <v>1.69</v>
      </c>
    </row>
    <row r="22" customFormat="false" ht="15" hidden="false" customHeight="false" outlineLevel="0" collapsed="false">
      <c r="A22" s="31" t="n">
        <v>10080</v>
      </c>
      <c r="B22" s="31" t="n">
        <f aca="false">A22/60</f>
        <v>168</v>
      </c>
      <c r="C22" s="71" t="n">
        <v>1.59</v>
      </c>
      <c r="E22" s="31" t="n">
        <v>7560</v>
      </c>
      <c r="F22" s="31" t="n">
        <f aca="false">E22/60</f>
        <v>126</v>
      </c>
      <c r="G22" s="31" t="n">
        <v>3.13</v>
      </c>
      <c r="I22" s="31" t="n">
        <v>3600</v>
      </c>
      <c r="J22" s="31" t="n">
        <f aca="false">I22/60</f>
        <v>60</v>
      </c>
      <c r="K22" s="31" t="n">
        <v>0.91</v>
      </c>
      <c r="M22" s="31" t="n">
        <v>7560</v>
      </c>
    </row>
    <row r="23" customFormat="false" ht="15" hidden="false" customHeight="false" outlineLevel="0" collapsed="false">
      <c r="A23" s="31" t="n">
        <v>3780</v>
      </c>
      <c r="B23" s="31" t="n">
        <f aca="false">A23/60</f>
        <v>63</v>
      </c>
      <c r="C23" s="71" t="n">
        <v>53</v>
      </c>
      <c r="E23" s="31" t="n">
        <v>7560</v>
      </c>
      <c r="I23" s="31" t="n">
        <v>1680</v>
      </c>
      <c r="M23" s="31" t="n">
        <v>7560</v>
      </c>
      <c r="N23" s="31" t="n">
        <f aca="false">M23/60</f>
        <v>126</v>
      </c>
      <c r="O23" s="31" t="n">
        <v>7.6</v>
      </c>
    </row>
    <row r="24" customFormat="false" ht="15" hidden="false" customHeight="false" outlineLevel="0" collapsed="false">
      <c r="A24" s="31" t="n">
        <v>2520</v>
      </c>
      <c r="C24" s="71"/>
      <c r="E24" s="31" t="n">
        <v>10080</v>
      </c>
      <c r="F24" s="31" t="n">
        <f aca="false">E24/60</f>
        <v>168</v>
      </c>
      <c r="G24" s="31" t="n">
        <v>-0.71</v>
      </c>
      <c r="I24" s="31" t="n">
        <v>1680</v>
      </c>
      <c r="M24" s="31" t="n">
        <v>2100</v>
      </c>
      <c r="N24" s="31" t="n">
        <f aca="false">M24/60</f>
        <v>35</v>
      </c>
      <c r="O24" s="31" t="n">
        <v>0.3</v>
      </c>
    </row>
    <row r="25" customFormat="false" ht="15" hidden="false" customHeight="false" outlineLevel="0" collapsed="false">
      <c r="A25" s="31" t="n">
        <v>8190</v>
      </c>
      <c r="B25" s="31" t="n">
        <f aca="false">A25/60</f>
        <v>136.5</v>
      </c>
      <c r="C25" s="71" t="n">
        <v>1.4</v>
      </c>
      <c r="E25" s="31" t="n">
        <v>3780</v>
      </c>
      <c r="F25" s="31" t="n">
        <f aca="false">E25/60</f>
        <v>63</v>
      </c>
      <c r="G25" s="31" t="n">
        <v>1.29</v>
      </c>
      <c r="I25" s="31" t="n">
        <v>5040</v>
      </c>
      <c r="J25" s="31" t="n">
        <f aca="false">I25/60</f>
        <v>84</v>
      </c>
      <c r="K25" s="31" t="n">
        <v>1.8</v>
      </c>
      <c r="N25" s="31" t="n">
        <f aca="false">M25/60</f>
        <v>0</v>
      </c>
      <c r="O25" s="31" t="n">
        <v>0.31</v>
      </c>
    </row>
    <row r="26" customFormat="false" ht="15" hidden="false" customHeight="false" outlineLevel="0" collapsed="false">
      <c r="A26" s="31" t="n">
        <v>5040</v>
      </c>
      <c r="B26" s="31" t="n">
        <f aca="false">A26/60</f>
        <v>84</v>
      </c>
      <c r="C26" s="71" t="n">
        <v>1.49</v>
      </c>
      <c r="E26" s="31" t="n">
        <v>3780</v>
      </c>
      <c r="F26" s="31" t="n">
        <f aca="false">E26/60</f>
        <v>63</v>
      </c>
      <c r="G26" s="31" t="n">
        <v>2.78</v>
      </c>
      <c r="I26" s="31" t="n">
        <v>1260</v>
      </c>
      <c r="J26" s="31" t="n">
        <f aca="false">I26/60</f>
        <v>21</v>
      </c>
      <c r="K26" s="31" t="n">
        <v>0.11</v>
      </c>
      <c r="M26" s="31" t="n">
        <v>6720</v>
      </c>
    </row>
    <row r="27" customFormat="false" ht="15" hidden="false" customHeight="false" outlineLevel="0" collapsed="false">
      <c r="A27" s="31" t="n">
        <v>5040</v>
      </c>
      <c r="B27" s="31" t="n">
        <f aca="false">A27/60</f>
        <v>84</v>
      </c>
      <c r="C27" s="71" t="n">
        <v>2.4</v>
      </c>
      <c r="E27" s="31" t="n">
        <v>7560</v>
      </c>
      <c r="F27" s="31" t="n">
        <f aca="false">E27/60</f>
        <v>126</v>
      </c>
      <c r="G27" s="31" t="n">
        <v>0.99</v>
      </c>
      <c r="I27" s="31" t="n">
        <v>5040</v>
      </c>
      <c r="J27" s="31" t="n">
        <f aca="false">I27/60</f>
        <v>84</v>
      </c>
      <c r="K27" s="31" t="n">
        <v>0</v>
      </c>
      <c r="M27" s="31" t="n">
        <v>7560</v>
      </c>
    </row>
    <row r="28" customFormat="false" ht="15" hidden="false" customHeight="false" outlineLevel="0" collapsed="false">
      <c r="A28" s="31" t="n">
        <v>7560</v>
      </c>
      <c r="C28" s="71"/>
      <c r="I28" s="31" t="n">
        <v>3600</v>
      </c>
      <c r="J28" s="31" t="n">
        <f aca="false">I28/60</f>
        <v>60</v>
      </c>
      <c r="K28" s="31" t="n">
        <v>0.02</v>
      </c>
      <c r="M28" s="31" t="n">
        <v>7560</v>
      </c>
    </row>
    <row r="29" customFormat="false" ht="15" hidden="false" customHeight="false" outlineLevel="0" collapsed="false">
      <c r="A29" s="31" t="n">
        <v>10080</v>
      </c>
      <c r="B29" s="31" t="n">
        <f aca="false">A29/60</f>
        <v>168</v>
      </c>
      <c r="C29" s="71" t="n">
        <v>2.34</v>
      </c>
      <c r="I29" s="31" t="n">
        <v>7560</v>
      </c>
      <c r="M29" s="31" t="n">
        <v>5040</v>
      </c>
      <c r="N29" s="31" t="n">
        <f aca="false">M29/60</f>
        <v>84</v>
      </c>
      <c r="O29" s="31" t="n">
        <v>0.91</v>
      </c>
    </row>
    <row r="30" customFormat="false" ht="15" hidden="false" customHeight="false" outlineLevel="0" collapsed="false">
      <c r="A30" s="31" t="n">
        <v>10080</v>
      </c>
      <c r="B30" s="31" t="n">
        <f aca="false">A30/60</f>
        <v>168</v>
      </c>
      <c r="C30" s="71" t="n">
        <v>1.76</v>
      </c>
      <c r="E30" s="31" t="n">
        <v>7560</v>
      </c>
      <c r="F30" s="31" t="n">
        <f aca="false">E30/60</f>
        <v>126</v>
      </c>
      <c r="G30" s="31" t="n">
        <v>3.97</v>
      </c>
      <c r="I30" s="31" t="n">
        <v>7560</v>
      </c>
      <c r="J30" s="31" t="n">
        <f aca="false">I30/60</f>
        <v>126</v>
      </c>
      <c r="K30" s="31" t="n">
        <v>1.86</v>
      </c>
      <c r="M30" s="31" t="n">
        <v>10080</v>
      </c>
    </row>
    <row r="31" customFormat="false" ht="15" hidden="false" customHeight="false" outlineLevel="0" collapsed="false">
      <c r="A31" s="31" t="n">
        <v>7560</v>
      </c>
      <c r="C31" s="71"/>
      <c r="E31" s="31" t="n">
        <v>2100</v>
      </c>
      <c r="F31" s="31" t="n">
        <f aca="false">E31/60</f>
        <v>35</v>
      </c>
      <c r="G31" s="31" t="n">
        <v>1.66</v>
      </c>
      <c r="I31" s="31" t="n">
        <v>7560</v>
      </c>
      <c r="M31" s="31" t="n">
        <v>8190</v>
      </c>
      <c r="N31" s="31" t="n">
        <f aca="false">M31/60</f>
        <v>136.5</v>
      </c>
      <c r="O31" s="31" t="n">
        <v>1.44</v>
      </c>
    </row>
    <row r="32" customFormat="false" ht="15" hidden="false" customHeight="false" outlineLevel="0" collapsed="false">
      <c r="A32" s="31" t="n">
        <v>12600</v>
      </c>
      <c r="B32" s="31" t="n">
        <f aca="false">A32/60</f>
        <v>210</v>
      </c>
      <c r="C32" s="71" t="n">
        <v>3.5</v>
      </c>
      <c r="I32" s="31" t="n">
        <v>7560</v>
      </c>
      <c r="J32" s="31" t="n">
        <f aca="false">I32/60</f>
        <v>126</v>
      </c>
      <c r="K32" s="31" t="n">
        <v>0.18</v>
      </c>
      <c r="M32" s="31" t="n">
        <v>3780</v>
      </c>
    </row>
    <row r="33" customFormat="false" ht="15" hidden="false" customHeight="false" outlineLevel="0" collapsed="false">
      <c r="A33" s="31" t="n">
        <v>2520</v>
      </c>
      <c r="B33" s="31" t="n">
        <f aca="false">A33/60</f>
        <v>42</v>
      </c>
      <c r="C33" s="71" t="n">
        <v>6.74</v>
      </c>
      <c r="E33" s="31" t="n">
        <v>6720</v>
      </c>
      <c r="F33" s="31" t="n">
        <f aca="false">E33/60</f>
        <v>112</v>
      </c>
      <c r="G33" s="31" t="n">
        <v>6.68</v>
      </c>
      <c r="I33" s="31" t="n">
        <v>1200</v>
      </c>
      <c r="J33" s="31" t="n">
        <f aca="false">I33/60</f>
        <v>20</v>
      </c>
      <c r="K33" s="31" t="n">
        <v>-0.22</v>
      </c>
      <c r="M33" s="31" t="n">
        <v>15120</v>
      </c>
    </row>
    <row r="34" customFormat="false" ht="15" hidden="false" customHeight="false" outlineLevel="0" collapsed="false">
      <c r="A34" s="31" t="n">
        <v>10080</v>
      </c>
      <c r="B34" s="31" t="n">
        <f aca="false">A34/60</f>
        <v>168</v>
      </c>
      <c r="C34" s="71" t="n">
        <v>3.64</v>
      </c>
      <c r="E34" s="31" t="n">
        <v>7560</v>
      </c>
      <c r="F34" s="31" t="n">
        <f aca="false">E34/60</f>
        <v>126</v>
      </c>
      <c r="G34" s="31" t="n">
        <v>2</v>
      </c>
      <c r="M34" s="31" t="n">
        <v>10080</v>
      </c>
    </row>
    <row r="35" customFormat="false" ht="15" hidden="false" customHeight="false" outlineLevel="0" collapsed="false">
      <c r="A35" s="31" t="n">
        <v>1680</v>
      </c>
      <c r="B35" s="31" t="n">
        <f aca="false">A35/60</f>
        <v>28</v>
      </c>
      <c r="C35" s="71" t="n">
        <v>0.82</v>
      </c>
      <c r="E35" s="31" t="n">
        <v>2520</v>
      </c>
      <c r="F35" s="31" t="n">
        <f aca="false">E35/60</f>
        <v>42</v>
      </c>
      <c r="G35" s="31" t="n">
        <v>2.55</v>
      </c>
      <c r="M35" s="31" t="n">
        <v>5040</v>
      </c>
    </row>
    <row r="36" customFormat="false" ht="15" hidden="false" customHeight="false" outlineLevel="0" collapsed="false">
      <c r="A36" s="31" t="n">
        <v>7560</v>
      </c>
      <c r="B36" s="31" t="n">
        <f aca="false">A36/60</f>
        <v>126</v>
      </c>
      <c r="C36" s="71" t="n">
        <v>1.81</v>
      </c>
      <c r="E36" s="31" t="n">
        <v>10080</v>
      </c>
      <c r="F36" s="31" t="n">
        <f aca="false">E36/60</f>
        <v>168</v>
      </c>
      <c r="G36" s="31" t="n">
        <v>1.54</v>
      </c>
      <c r="M36" s="31" t="n">
        <v>5040</v>
      </c>
    </row>
    <row r="37" customFormat="false" ht="15" hidden="false" customHeight="false" outlineLevel="0" collapsed="false">
      <c r="A37" s="31" t="n">
        <v>2100</v>
      </c>
      <c r="B37" s="31" t="n">
        <f aca="false">A37/60</f>
        <v>35</v>
      </c>
      <c r="C37" s="71" t="n">
        <v>4</v>
      </c>
      <c r="E37" s="31" t="n">
        <v>3780</v>
      </c>
      <c r="F37" s="31" t="n">
        <f aca="false">E37/60</f>
        <v>63</v>
      </c>
      <c r="G37" s="31" t="n">
        <v>5.01</v>
      </c>
      <c r="M37" s="31" t="n">
        <v>5040</v>
      </c>
    </row>
    <row r="38" customFormat="false" ht="15" hidden="false" customHeight="false" outlineLevel="0" collapsed="false">
      <c r="A38" s="31" t="n">
        <v>10080</v>
      </c>
      <c r="B38" s="31" t="n">
        <f aca="false">A38/60</f>
        <v>168</v>
      </c>
      <c r="C38" s="71" t="n">
        <v>4.82</v>
      </c>
      <c r="E38" s="31" t="n">
        <v>2520</v>
      </c>
      <c r="F38" s="31" t="n">
        <f aca="false">E38/60</f>
        <v>42</v>
      </c>
      <c r="G38" s="31" t="n">
        <v>4.9</v>
      </c>
      <c r="M38" s="31" t="n">
        <v>3600</v>
      </c>
    </row>
    <row r="39" customFormat="false" ht="15" hidden="false" customHeight="false" outlineLevel="0" collapsed="false">
      <c r="A39" s="31" t="n">
        <v>7560</v>
      </c>
      <c r="B39" s="31" t="n">
        <f aca="false">A39/60</f>
        <v>126</v>
      </c>
      <c r="C39" s="71" t="n">
        <v>1.61</v>
      </c>
      <c r="E39" s="31" t="n">
        <v>8190</v>
      </c>
      <c r="F39" s="31" t="n">
        <f aca="false">E39/60</f>
        <v>136.5</v>
      </c>
      <c r="G39" s="31" t="n">
        <v>1.63</v>
      </c>
      <c r="M39" s="31" t="n">
        <v>10080</v>
      </c>
    </row>
    <row r="40" customFormat="false" ht="15" hidden="false" customHeight="false" outlineLevel="0" collapsed="false">
      <c r="A40" s="31" t="n">
        <v>6300</v>
      </c>
      <c r="B40" s="31" t="n">
        <f aca="false">A40/60</f>
        <v>105</v>
      </c>
      <c r="C40" s="71" t="n">
        <v>3.58</v>
      </c>
      <c r="E40" s="31" t="n">
        <v>2520</v>
      </c>
      <c r="M40" s="31" t="n">
        <v>10080</v>
      </c>
      <c r="N40" s="31" t="n">
        <f aca="false">M40/60</f>
        <v>168</v>
      </c>
      <c r="O40" s="31" t="n">
        <v>-1.87</v>
      </c>
    </row>
    <row r="41" customFormat="false" ht="15" hidden="false" customHeight="false" outlineLevel="0" collapsed="false">
      <c r="A41" s="31" t="n">
        <v>1680</v>
      </c>
      <c r="B41" s="31" t="n">
        <f aca="false">A41/60</f>
        <v>28</v>
      </c>
      <c r="C41" s="71" t="n">
        <v>-0.6</v>
      </c>
      <c r="E41" s="31" t="n">
        <v>5040</v>
      </c>
      <c r="F41" s="31" t="n">
        <f aca="false">E41/60</f>
        <v>84</v>
      </c>
      <c r="G41" s="31" t="n">
        <v>1.43</v>
      </c>
      <c r="M41" s="31" t="n">
        <v>7560</v>
      </c>
    </row>
    <row r="42" customFormat="false" ht="15" hidden="false" customHeight="false" outlineLevel="0" collapsed="false">
      <c r="A42" s="31" t="n">
        <v>1680</v>
      </c>
      <c r="B42" s="31" t="n">
        <f aca="false">A42/60</f>
        <v>28</v>
      </c>
      <c r="C42" s="71" t="n">
        <v>1.54</v>
      </c>
      <c r="E42" s="31" t="n">
        <v>2520</v>
      </c>
      <c r="F42" s="31" t="n">
        <f aca="false">E42/60</f>
        <v>42</v>
      </c>
      <c r="G42" s="31" t="n">
        <v>0.89</v>
      </c>
      <c r="M42" s="31" t="n">
        <v>2520</v>
      </c>
    </row>
    <row r="43" customFormat="false" ht="15" hidden="false" customHeight="false" outlineLevel="0" collapsed="false">
      <c r="A43" s="31" t="n">
        <v>7560</v>
      </c>
      <c r="B43" s="31" t="n">
        <f aca="false">A43/60</f>
        <v>126</v>
      </c>
      <c r="C43" s="71" t="n">
        <v>1.41</v>
      </c>
      <c r="E43" s="31" t="n">
        <v>5040</v>
      </c>
      <c r="F43" s="31" t="n">
        <f aca="false">E43/60</f>
        <v>84</v>
      </c>
      <c r="G43" s="31" t="n">
        <v>2.15</v>
      </c>
      <c r="M43" s="31" t="n">
        <v>10080</v>
      </c>
    </row>
    <row r="44" customFormat="false" ht="15" hidden="false" customHeight="false" outlineLevel="0" collapsed="false">
      <c r="A44" s="31" t="n">
        <v>2520</v>
      </c>
      <c r="B44" s="31" t="n">
        <f aca="false">A44/60</f>
        <v>42</v>
      </c>
      <c r="C44" s="71" t="n">
        <v>2.67</v>
      </c>
      <c r="E44" s="31" t="n">
        <v>7560</v>
      </c>
      <c r="F44" s="31" t="n">
        <f aca="false">E44/60</f>
        <v>126</v>
      </c>
      <c r="G44" s="31" t="n">
        <v>1.92</v>
      </c>
      <c r="M44" s="31" t="n">
        <v>22680</v>
      </c>
    </row>
    <row r="45" customFormat="false" ht="15" hidden="false" customHeight="false" outlineLevel="0" collapsed="false">
      <c r="A45" s="31" t="n">
        <v>1200</v>
      </c>
      <c r="B45" s="31" t="n">
        <f aca="false">A45/60</f>
        <v>20</v>
      </c>
      <c r="C45" s="71" t="n">
        <v>-1.51</v>
      </c>
      <c r="E45" s="31" t="n">
        <v>10080</v>
      </c>
      <c r="F45" s="31" t="n">
        <f aca="false">E45/60</f>
        <v>168</v>
      </c>
      <c r="G45" s="31" t="n">
        <v>2.87</v>
      </c>
      <c r="M45" s="31" t="n">
        <v>2520</v>
      </c>
      <c r="N45" s="31" t="n">
        <f aca="false">M45/60</f>
        <v>42</v>
      </c>
      <c r="O45" s="31" t="n">
        <v>-5.83</v>
      </c>
    </row>
    <row r="46" customFormat="false" ht="15" hidden="false" customHeight="false" outlineLevel="0" collapsed="false">
      <c r="A46" s="31" t="n">
        <v>1050</v>
      </c>
      <c r="C46" s="71"/>
      <c r="E46" s="31" t="n">
        <v>7560</v>
      </c>
      <c r="M46" s="31" t="n">
        <v>5040</v>
      </c>
      <c r="N46" s="31" t="n">
        <f aca="false">M46/60</f>
        <v>84</v>
      </c>
      <c r="O46" s="31" t="n">
        <v>-7.85</v>
      </c>
    </row>
    <row r="47" customFormat="false" ht="15" hidden="false" customHeight="false" outlineLevel="0" collapsed="false">
      <c r="A47" s="31" t="n">
        <v>2100</v>
      </c>
      <c r="B47" s="31" t="n">
        <f aca="false">A47/60</f>
        <v>35</v>
      </c>
      <c r="C47" s="71" t="n">
        <v>4.62</v>
      </c>
      <c r="E47" s="31" t="n">
        <v>2520</v>
      </c>
      <c r="F47" s="31" t="n">
        <f aca="false">E47/60</f>
        <v>42</v>
      </c>
      <c r="G47" s="31" t="n">
        <v>1</v>
      </c>
      <c r="M47" s="31" t="n">
        <v>10080</v>
      </c>
      <c r="N47" s="31" t="n">
        <f aca="false">M47/60</f>
        <v>168</v>
      </c>
      <c r="O47" s="31" t="n">
        <v>-1.56</v>
      </c>
    </row>
    <row r="48" customFormat="false" ht="15" hidden="false" customHeight="false" outlineLevel="0" collapsed="false">
      <c r="A48" s="31" t="n">
        <v>10080</v>
      </c>
      <c r="B48" s="31" t="n">
        <f aca="false">A48/60</f>
        <v>168</v>
      </c>
      <c r="C48" s="71" t="n">
        <v>3.94</v>
      </c>
      <c r="E48" s="31" t="n">
        <v>5040</v>
      </c>
      <c r="F48" s="31" t="n">
        <f aca="false">E48/60</f>
        <v>84</v>
      </c>
      <c r="G48" s="31" t="n">
        <v>6.29</v>
      </c>
      <c r="M48" s="31" t="n">
        <v>7560</v>
      </c>
    </row>
    <row r="49" customFormat="false" ht="15" hidden="false" customHeight="false" outlineLevel="0" collapsed="false">
      <c r="A49" s="31" t="n">
        <v>2400</v>
      </c>
      <c r="B49" s="31" t="n">
        <f aca="false">A49/60</f>
        <v>40</v>
      </c>
      <c r="C49" s="71" t="n">
        <v>5.13</v>
      </c>
      <c r="E49" s="31" t="n">
        <v>7560</v>
      </c>
      <c r="F49" s="31" t="n">
        <f aca="false">E49/60</f>
        <v>126</v>
      </c>
      <c r="G49" s="31" t="n">
        <v>1.1</v>
      </c>
      <c r="M49" s="31" t="n">
        <v>6300</v>
      </c>
    </row>
    <row r="50" customFormat="false" ht="15" hidden="false" customHeight="false" outlineLevel="0" collapsed="false">
      <c r="A50" s="31" t="n">
        <v>10080</v>
      </c>
      <c r="B50" s="31" t="n">
        <f aca="false">A50/60</f>
        <v>168</v>
      </c>
      <c r="C50" s="71" t="n">
        <v>4.55</v>
      </c>
      <c r="E50" s="31" t="n">
        <v>10080</v>
      </c>
      <c r="F50" s="31" t="n">
        <f aca="false">E50/60</f>
        <v>168</v>
      </c>
      <c r="G50" s="31" t="n">
        <v>0.75</v>
      </c>
      <c r="M50" s="31" t="n">
        <v>7560</v>
      </c>
    </row>
    <row r="51" customFormat="false" ht="15" hidden="false" customHeight="false" outlineLevel="0" collapsed="false">
      <c r="A51" s="31" t="n">
        <v>7560</v>
      </c>
      <c r="C51" s="71"/>
      <c r="E51" s="31" t="n">
        <v>12600</v>
      </c>
      <c r="F51" s="31" t="n">
        <f aca="false">E51/60</f>
        <v>210</v>
      </c>
      <c r="G51" s="31" t="n">
        <v>0.5</v>
      </c>
      <c r="M51" s="31" t="n">
        <v>480</v>
      </c>
    </row>
    <row r="52" customFormat="false" ht="15" hidden="false" customHeight="false" outlineLevel="0" collapsed="false">
      <c r="E52" s="31" t="n">
        <v>10080</v>
      </c>
      <c r="F52" s="31" t="n">
        <f aca="false">E52/60</f>
        <v>168</v>
      </c>
      <c r="G52" s="31" t="n">
        <v>2.11</v>
      </c>
      <c r="M52" s="31" t="n">
        <v>480</v>
      </c>
    </row>
    <row r="53" customFormat="false" ht="15" hidden="false" customHeight="false" outlineLevel="0" collapsed="false">
      <c r="E53" s="31" t="n">
        <v>1680</v>
      </c>
      <c r="F53" s="31" t="n">
        <f aca="false">E53/60</f>
        <v>28</v>
      </c>
      <c r="G53" s="31" t="n">
        <v>1.12</v>
      </c>
      <c r="M53" s="31" t="n">
        <v>1200</v>
      </c>
    </row>
    <row r="54" customFormat="false" ht="15" hidden="false" customHeight="false" outlineLevel="0" collapsed="false">
      <c r="E54" s="31" t="n">
        <v>22680</v>
      </c>
      <c r="F54" s="31" t="n">
        <f aca="false">E54/60</f>
        <v>378</v>
      </c>
      <c r="G54" s="31" t="n">
        <v>2.21</v>
      </c>
      <c r="M54" s="31" t="n">
        <v>10080</v>
      </c>
    </row>
    <row r="55" customFormat="false" ht="15" hidden="false" customHeight="false" outlineLevel="0" collapsed="false">
      <c r="E55" s="31" t="n">
        <v>7560</v>
      </c>
      <c r="F55" s="31" t="n">
        <f aca="false">E55/60</f>
        <v>126</v>
      </c>
      <c r="G55" s="31" t="n">
        <v>2</v>
      </c>
      <c r="M55" s="31" t="n">
        <v>10080</v>
      </c>
    </row>
    <row r="56" customFormat="false" ht="15" hidden="false" customHeight="false" outlineLevel="0" collapsed="false">
      <c r="E56" s="31" t="n">
        <v>2520</v>
      </c>
      <c r="F56" s="31" t="n">
        <f aca="false">E56/60</f>
        <v>42</v>
      </c>
      <c r="G56" s="31" t="n">
        <v>0.74</v>
      </c>
      <c r="M56" s="31" t="n">
        <v>360</v>
      </c>
    </row>
    <row r="57" customFormat="false" ht="15" hidden="false" customHeight="false" outlineLevel="0" collapsed="false">
      <c r="E57" s="31" t="n">
        <v>5040</v>
      </c>
      <c r="F57" s="31" t="n">
        <f aca="false">E57/60</f>
        <v>84</v>
      </c>
      <c r="G57" s="31" t="n">
        <v>0.91</v>
      </c>
      <c r="M57" s="31" t="n">
        <v>840</v>
      </c>
    </row>
    <row r="58" customFormat="false" ht="15" hidden="false" customHeight="false" outlineLevel="0" collapsed="false">
      <c r="E58" s="31" t="n">
        <v>7560</v>
      </c>
      <c r="F58" s="31" t="n">
        <f aca="false">E58/60</f>
        <v>126</v>
      </c>
      <c r="G58" s="31" t="n">
        <v>1.69</v>
      </c>
      <c r="M58" s="31" t="n">
        <v>1680</v>
      </c>
    </row>
    <row r="59" customFormat="false" ht="15" hidden="false" customHeight="false" outlineLevel="0" collapsed="false">
      <c r="E59" s="31" t="n">
        <v>1050</v>
      </c>
      <c r="F59" s="31" t="n">
        <f aca="false">E59/60</f>
        <v>17.5</v>
      </c>
      <c r="G59" s="31" t="n">
        <v>2.56</v>
      </c>
      <c r="M59" s="31" t="n">
        <v>10080</v>
      </c>
    </row>
    <row r="60" customFormat="false" ht="15" hidden="false" customHeight="false" outlineLevel="0" collapsed="false">
      <c r="E60" s="31" t="n">
        <v>2100</v>
      </c>
      <c r="F60" s="31" t="n">
        <f aca="false">E60/60</f>
        <v>35</v>
      </c>
      <c r="G60" s="31" t="n">
        <v>2.42</v>
      </c>
    </row>
    <row r="61" customFormat="false" ht="15" hidden="false" customHeight="false" outlineLevel="0" collapsed="false">
      <c r="E61" s="31" t="n">
        <v>2400</v>
      </c>
      <c r="F61" s="31" t="n">
        <f aca="false">E61/60</f>
        <v>40</v>
      </c>
      <c r="G61" s="31" t="n">
        <v>4.18</v>
      </c>
    </row>
    <row r="62" customFormat="false" ht="15" hidden="false" customHeight="false" outlineLevel="0" collapsed="false">
      <c r="E62" s="31" t="n">
        <v>1680</v>
      </c>
      <c r="F62" s="31" t="n">
        <f aca="false">E62/60</f>
        <v>28</v>
      </c>
      <c r="G62" s="31" t="n">
        <v>1.38</v>
      </c>
    </row>
    <row r="63" customFormat="false" ht="15" hidden="false" customHeight="false" outlineLevel="0" collapsed="false">
      <c r="E63" s="31" t="n">
        <v>3360</v>
      </c>
      <c r="F63" s="31" t="n">
        <f aca="false">E63/60</f>
        <v>56</v>
      </c>
      <c r="G63" s="31" t="n">
        <v>2.98</v>
      </c>
    </row>
    <row r="64" customFormat="false" ht="15" hidden="false" customHeight="false" outlineLevel="0" collapsed="false">
      <c r="E64" s="31" t="n">
        <v>5040</v>
      </c>
      <c r="F64" s="31" t="n">
        <f aca="false">E64/60</f>
        <v>84</v>
      </c>
      <c r="G64" s="31" t="n">
        <v>3.17</v>
      </c>
    </row>
    <row r="65" customFormat="false" ht="15" hidden="false" customHeight="false" outlineLevel="0" collapsed="false">
      <c r="E65" s="31" t="n">
        <v>6720</v>
      </c>
      <c r="F65" s="31" t="n">
        <f aca="false">E65/60</f>
        <v>112</v>
      </c>
      <c r="G65" s="31" t="n">
        <v>4.39</v>
      </c>
    </row>
    <row r="66" customFormat="false" ht="15" hidden="false" customHeight="false" outlineLevel="0" collapsed="false">
      <c r="E66" s="31" t="n">
        <v>8400</v>
      </c>
      <c r="F66" s="31" t="n">
        <f aca="false">E66/60</f>
        <v>140</v>
      </c>
      <c r="G66" s="31" t="n">
        <v>2.91</v>
      </c>
    </row>
    <row r="67" customFormat="false" ht="15" hidden="false" customHeight="false" outlineLevel="0" collapsed="false">
      <c r="E67" s="31" t="n">
        <v>10080</v>
      </c>
      <c r="F67" s="31" t="n">
        <f aca="false">E67/60</f>
        <v>168</v>
      </c>
      <c r="G67" s="31" t="n">
        <v>3.69</v>
      </c>
    </row>
    <row r="77" customFormat="false" ht="15" hidden="false" customHeight="false" outlineLevel="0" collapsed="false">
      <c r="A77" s="55" t="n">
        <v>25315361</v>
      </c>
      <c r="B77" s="55" t="s">
        <v>268</v>
      </c>
      <c r="C77" s="55" t="s">
        <v>269</v>
      </c>
      <c r="D77" s="55" t="s">
        <v>94</v>
      </c>
      <c r="E77" s="55" t="n">
        <v>2015</v>
      </c>
      <c r="F77" s="55" t="s">
        <v>270</v>
      </c>
    </row>
    <row r="78" customFormat="false" ht="15" hidden="false" customHeight="false" outlineLevel="0" collapsed="false">
      <c r="A78" s="55" t="n">
        <v>25660342</v>
      </c>
      <c r="B78" s="55" t="s">
        <v>487</v>
      </c>
      <c r="C78" s="55" t="s">
        <v>488</v>
      </c>
      <c r="D78" s="55" t="s">
        <v>468</v>
      </c>
      <c r="E78" s="55" t="n">
        <v>2015</v>
      </c>
      <c r="F78" s="55" t="s">
        <v>489</v>
      </c>
    </row>
    <row r="79" customFormat="false" ht="15" hidden="false" customHeight="false" outlineLevel="0" collapsed="false">
      <c r="A79" s="55" t="n">
        <v>26010004</v>
      </c>
      <c r="B79" s="55" t="s">
        <v>252</v>
      </c>
      <c r="C79" s="55" t="s">
        <v>253</v>
      </c>
      <c r="D79" s="55" t="s">
        <v>254</v>
      </c>
      <c r="E79" s="55" t="n">
        <v>2015</v>
      </c>
      <c r="F79" s="55" t="s">
        <v>255</v>
      </c>
    </row>
    <row r="80" customFormat="false" ht="15" hidden="false" customHeight="false" outlineLevel="0" collapsed="false">
      <c r="A80" s="55" t="n">
        <v>26947756</v>
      </c>
      <c r="B80" s="55" t="s">
        <v>239</v>
      </c>
      <c r="C80" s="55" t="s">
        <v>240</v>
      </c>
      <c r="D80" s="55" t="s">
        <v>74</v>
      </c>
      <c r="E80" s="55" t="n">
        <v>2016</v>
      </c>
      <c r="F80" s="55" t="s">
        <v>241</v>
      </c>
    </row>
    <row r="81" customFormat="false" ht="15" hidden="false" customHeight="false" outlineLevel="0" collapsed="false">
      <c r="A81" s="55" t="n">
        <v>29175030</v>
      </c>
      <c r="B81" s="55" t="s">
        <v>197</v>
      </c>
      <c r="C81" s="55" t="s">
        <v>198</v>
      </c>
      <c r="D81" s="55" t="s">
        <v>199</v>
      </c>
      <c r="E81" s="55" t="n">
        <v>2018</v>
      </c>
      <c r="F81" s="55" t="s">
        <v>200</v>
      </c>
    </row>
    <row r="82" customFormat="false" ht="15" hidden="false" customHeight="false" outlineLevel="0" collapsed="false">
      <c r="A82" s="55" t="n">
        <v>30464774</v>
      </c>
      <c r="B82" s="55" t="s">
        <v>418</v>
      </c>
      <c r="C82" s="55" t="s">
        <v>419</v>
      </c>
      <c r="D82" s="55" t="s">
        <v>420</v>
      </c>
      <c r="E82" s="55" t="n">
        <v>2018</v>
      </c>
      <c r="F82" s="55" t="s">
        <v>421</v>
      </c>
    </row>
    <row r="83" customFormat="false" ht="15" hidden="false" customHeight="false" outlineLevel="0" collapsed="false">
      <c r="A83" s="55" t="n">
        <v>35252485</v>
      </c>
      <c r="B83" s="55" t="s">
        <v>345</v>
      </c>
      <c r="C83" s="55" t="s">
        <v>346</v>
      </c>
      <c r="D83" s="55" t="s">
        <v>347</v>
      </c>
      <c r="E83" s="55" t="n">
        <v>2022</v>
      </c>
      <c r="F83" s="55" t="s">
        <v>348</v>
      </c>
    </row>
    <row r="84" customFormat="false" ht="15" hidden="false" customHeight="false" outlineLevel="0" collapsed="false">
      <c r="A84" s="55" t="n">
        <v>36921909</v>
      </c>
      <c r="B84" s="55" t="s">
        <v>307</v>
      </c>
      <c r="C84" s="55" t="s">
        <v>308</v>
      </c>
      <c r="D84" s="55" t="s">
        <v>309</v>
      </c>
      <c r="E84" s="55" t="n">
        <v>2023</v>
      </c>
      <c r="F84" s="55" t="s">
        <v>310</v>
      </c>
    </row>
    <row r="85" customFormat="false" ht="15" hidden="false" customHeight="false" outlineLevel="0" collapsed="false">
      <c r="A85" s="55" t="n">
        <v>38655362</v>
      </c>
      <c r="B85" s="55" t="s">
        <v>299</v>
      </c>
      <c r="C85" s="55" t="s">
        <v>300</v>
      </c>
      <c r="D85" s="55" t="s">
        <v>301</v>
      </c>
      <c r="E85" s="55" t="n">
        <v>2024</v>
      </c>
      <c r="F85" s="55" t="s">
        <v>302</v>
      </c>
    </row>
    <row r="86" customFormat="false" ht="15" hidden="false" customHeight="false" outlineLevel="0" collapsed="false">
      <c r="A86" s="55" t="n">
        <v>37917302</v>
      </c>
      <c r="B86" s="55" t="s">
        <v>303</v>
      </c>
      <c r="C86" s="55" t="s">
        <v>304</v>
      </c>
      <c r="D86" s="55" t="s">
        <v>53</v>
      </c>
      <c r="E86" s="55" t="n">
        <v>2024</v>
      </c>
      <c r="F86" s="55" t="s">
        <v>305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1292</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2025-04-29T09:55:49Z</dcterms:created>
  <dc:creator>John Menzies</dc:creator>
  <dc:description/>
  <dc:language>en-GB</dc:language>
  <cp:lastModifiedBy>Nicola Romanò</cp:lastModifiedBy>
  <dcterms:modified xsi:type="dcterms:W3CDTF">2025-08-06T11:31:27Z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