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FST" sheetId="1" state="visible" r:id="rId3"/>
    <sheet name="SPT" sheetId="2" state="visible" r:id="rId4"/>
    <sheet name="EPM" sheetId="3" state="visible" r:id="rId5"/>
    <sheet name="OF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<sst xmlns="http://schemas.openxmlformats.org/spreadsheetml/2006/main" count="3735" uniqueCount="921">
  <si>
    <t xml:space="preserve">CONTROL (time spent immobile (sec))</t>
  </si>
  <si>
    <t xml:space="preserve">TEST (time spent immobile (sec))</t>
  </si>
  <si>
    <t xml:space="preserve">Unique ID</t>
  </si>
  <si>
    <t xml:space="preserve">PMID</t>
  </si>
  <si>
    <t xml:space="preserve">Title</t>
  </si>
  <si>
    <t xml:space="preserve">Authors</t>
  </si>
  <si>
    <t xml:space="preserve">Journal/Book</t>
  </si>
  <si>
    <t xml:space="preserve">Publication Year</t>
  </si>
  <si>
    <t xml:space="preserve">DOI</t>
  </si>
  <si>
    <t xml:space="preserve">FST</t>
  </si>
  <si>
    <t xml:space="preserve">strain</t>
  </si>
  <si>
    <t xml:space="preserve">sex</t>
  </si>
  <si>
    <t xml:space="preserve">initial age (weeks)</t>
  </si>
  <si>
    <t xml:space="preserve">min/session </t>
  </si>
  <si>
    <t xml:space="preserve">sessions/day </t>
  </si>
  <si>
    <t xml:space="preserve">total number of days</t>
  </si>
  <si>
    <t xml:space="preserve">total number of min</t>
  </si>
  <si>
    <t xml:space="preserve">Notes</t>
  </si>
  <si>
    <t xml:space="preserve">FST total time (min)</t>
  </si>
  <si>
    <t xml:space="preserve">FST time for recording immobility (last x min)</t>
  </si>
  <si>
    <t xml:space="preserve">Fig used</t>
  </si>
  <si>
    <t xml:space="preserve">control mean</t>
  </si>
  <si>
    <t xml:space="preserve">control sem </t>
  </si>
  <si>
    <t xml:space="preserve">n</t>
  </si>
  <si>
    <t xml:space="preserve">n used</t>
  </si>
  <si>
    <t xml:space="preserve">back-calculated SD</t>
  </si>
  <si>
    <t xml:space="preserve">test mean</t>
  </si>
  <si>
    <t xml:space="preserve">test sem </t>
  </si>
  <si>
    <t xml:space="preserve">Shugan granule contributes to the improvement of depression-like behaviors in chronic restraint stress-stimulated rats by altering gut microbiota</t>
  </si>
  <si>
    <t xml:space="preserve">Li, Junnan; Li, Yannan; Duan, Wenzhe; Zhao, Zhonghui; Yang, Lixuan; Wei, Wei; Li, Jingchun; Li, Yang; Yu, Yao; Dai, Baoan; Guo, Rongjuan</t>
  </si>
  <si>
    <t xml:space="preserve">CNS NEUROSCIENCE &amp; THERAPEUTICS</t>
  </si>
  <si>
    <t xml:space="preserve">10.1111/cns.13881</t>
  </si>
  <si>
    <t xml:space="preserve">SD</t>
  </si>
  <si>
    <t xml:space="preserve">M</t>
  </si>
  <si>
    <t xml:space="preserve">6-8</t>
  </si>
  <si>
    <t xml:space="preserve">1B</t>
  </si>
  <si>
    <t xml:space="preserve">8</t>
  </si>
  <si>
    <t xml:space="preserve">D-Limonene reduces depression-like behaviour and enhances learning and memory through an anti-neuroinflammatory mechanism in male rats subjected to chronic restraint stress</t>
  </si>
  <si>
    <t xml:space="preserve">Alkanat, Mehmet; Alkanat, Hafize Ozdemir</t>
  </si>
  <si>
    <t xml:space="preserve">EUROPEAN JOURNAL OF NEUROSCIENCE</t>
  </si>
  <si>
    <t xml:space="preserve">10.1111/ejn.16455</t>
  </si>
  <si>
    <t xml:space="preserve">not given</t>
  </si>
  <si>
    <t xml:space="preserve">The effects of chronic restraint stress on empathy-like behaviour in rats</t>
  </si>
  <si>
    <t xml:space="preserve">Sen, Aysu; Kara, Ali Yucel; Koyu, Ahmet; Simsek, Fatma; Kizildag, Servet; Uysal, Nazan</t>
  </si>
  <si>
    <t xml:space="preserve">NEUROSCIENCE LETTERS</t>
  </si>
  <si>
    <t xml:space="preserve">10.1016/j.neulet.2021.136255</t>
  </si>
  <si>
    <t xml:space="preserve">1G</t>
  </si>
  <si>
    <t xml:space="preserve">Complex Neurobehavioral Testing of a Rat Model of the Irritable Bowel Syndrome</t>
  </si>
  <si>
    <t xml:space="preserve">Lefter, R.; Ciobica, A.; Guenne, S.; Compaore, M.; Kiendrebeogo, M.; Stanciu, C.; Trifan, A.</t>
  </si>
  <si>
    <t xml:space="preserve">NEUROPHYSIOLOGY</t>
  </si>
  <si>
    <t xml:space="preserve">10.1007/s11062-018-9748-9</t>
  </si>
  <si>
    <t xml:space="preserve">Wistar</t>
  </si>
  <si>
    <t xml:space="preserve">3B</t>
  </si>
  <si>
    <t xml:space="preserve">5</t>
  </si>
  <si>
    <t xml:space="preserve">Beneficial Effects of Physical Activity and Crocin Against Adolescent Stress Induced Anxiety or Depressive-Like Symptoms and Dendritic Morphology Remodeling in Prefrontal Cortex in Adult Male Rats</t>
  </si>
  <si>
    <t xml:space="preserve">Ghalandari-Shamami, Mohadeseh; Nourizade, Shahla; Yousefi, Behpour; Vafaei, Abbas Ali; Pakdel, Roghayeh; Rashidy-Pour, Ali</t>
  </si>
  <si>
    <t xml:space="preserve">NEUROCHEMICAL RESEARCH</t>
  </si>
  <si>
    <t xml:space="preserve">10.1007/s11064-019-02727-2</t>
  </si>
  <si>
    <t xml:space="preserve">4</t>
  </si>
  <si>
    <t xml:space="preserve">4A</t>
  </si>
  <si>
    <t xml:space="preserve">7-10</t>
  </si>
  <si>
    <t xml:space="preserve">7</t>
  </si>
  <si>
    <t xml:space="preserve">Brain-Derived Neurotrophic Factor Precursor in the Hippocampus Regulates Both Depressive and Anxiety-Like Behaviors in Rats</t>
  </si>
  <si>
    <t xml:space="preserve">Zhong F, Liu L, Wei JL, Hu ZL, Li L, Wang S, Xu JM, Zhou XF, Li CQ, Yang ZY, Dai RP.</t>
  </si>
  <si>
    <t xml:space="preserve">Front Psychiatry</t>
  </si>
  <si>
    <t xml:space="preserve">10.3389/fpsyt.2018.00776</t>
  </si>
  <si>
    <t xml:space="preserve">Insulin-like growth factor 2 mitigates depressive behavior in a rat model of chronic stress</t>
  </si>
  <si>
    <t xml:space="preserve">Luo YW, Xu Y, Cao WY, Zhong XL, Duan J, Wang XQ, Hu ZL, Li F, Zhang JY, Zhou M, Dai RP, Li CQ.</t>
  </si>
  <si>
    <t xml:space="preserve">Neuropharmacology</t>
  </si>
  <si>
    <t xml:space="preserve">10.1016/j.neuropharm.2014.10.011</t>
  </si>
  <si>
    <t xml:space="preserve">1C</t>
  </si>
  <si>
    <t xml:space="preserve">SD given</t>
  </si>
  <si>
    <t xml:space="preserve">The co-expression of GluN2B subunits of the NMDA receptors and glucocorticoid receptors after chronic restraint stress in low and high anxiety rats</t>
  </si>
  <si>
    <t xml:space="preserve">Lehner, Malgorzata; Wisfowska-Stanek, Aleksandra; Gryz, Marek; Sobolewska, Alicja; Turzynska, Danuta; Chmielewska, Natalia; Krzascik, Pawet; Skorzewska, Anna; Plaznik, Adam</t>
  </si>
  <si>
    <t xml:space="preserve">BEHAVIOURAL BRAIN RESEARCH</t>
  </si>
  <si>
    <t xml:space="preserve">10.1016/j.bbr.2016.11.004</t>
  </si>
  <si>
    <t xml:space="preserve">restrained daily on Mon-Fri each week </t>
  </si>
  <si>
    <t xml:space="preserve">Table 1</t>
  </si>
  <si>
    <t xml:space="preserve">10</t>
  </si>
  <si>
    <t xml:space="preserve">9</t>
  </si>
  <si>
    <t xml:space="preserve">Xiaoyaosan Ameliorates Chronic Restraint Stress-Induced Depression-Like Phenotype by Suppressing A2AR Signaling in the Rat Striatum</t>
  </si>
  <si>
    <t xml:space="preserve">Zhu X, Ma Q, Yang F, Li X, Liu Y, Chen J, Li L, Chen M, Zou X, Yan L, Chen J.</t>
  </si>
  <si>
    <t xml:space="preserve">Front Pharmacol</t>
  </si>
  <si>
    <t xml:space="preserve">10.3389/fphar.2022.897436</t>
  </si>
  <si>
    <t xml:space="preserve">12</t>
  </si>
  <si>
    <t xml:space="preserve">Behavioral effects of toll-like receptor-4 antagonist 'eritoran' in an experimental model of depression: role of prefrontal and hippocampal neurogenesis and γ-aminobutyric acid/glutamate balance</t>
  </si>
  <si>
    <t xml:space="preserve">Aboul-Fotouh S, Habib M, Asaad T, Kassim SK, Ghanem MH.</t>
  </si>
  <si>
    <t xml:space="preserve">Behav Pharmacol</t>
  </si>
  <si>
    <t xml:space="preserve">10.1097/FBP.0000000000000390</t>
  </si>
  <si>
    <t xml:space="preserve">3A</t>
  </si>
  <si>
    <t xml:space="preserve">Antidepressant effect of Crossopteryx febrifuga trunk bark aqueous extract on chronic stress-induced depression-related behaviors in male and female rats.</t>
  </si>
  <si>
    <t xml:space="preserve">Ndavoumta D.
Foyet H.S.
Camdi G.W.
Defo Tchinda S.H.
Ngatanko H.H.A.
Rebe R.N.
Kodji K.
Weinkai D.A.
Bum E.N.</t>
  </si>
  <si>
    <t xml:space="preserve">IBRO Neuroscience Reports</t>
  </si>
  <si>
    <t xml:space="preserve">https://dx.doi.org/10.1016/j.ibneur.2025.07.014</t>
  </si>
  <si>
    <t xml:space="preserve">8-10</t>
  </si>
  <si>
    <t xml:space="preserve">2*60 min or 1*120</t>
  </si>
  <si>
    <t xml:space="preserve">6C</t>
  </si>
  <si>
    <t xml:space="preserve">F</t>
  </si>
  <si>
    <t xml:space="preserve">6A</t>
  </si>
  <si>
    <t xml:space="preserve">Melatonin attenuates chronic stress-induced hippocampal inflammatory response and apoptosis by inhibiting ADAM17/TNF-α axis</t>
  </si>
  <si>
    <t xml:space="preserve">Zhang H, Wei M, Sun N, Wang H, Fan H.</t>
  </si>
  <si>
    <t xml:space="preserve">Food Chem Toxicol</t>
  </si>
  <si>
    <t xml:space="preserve">10.1016/j.fct.2022.113441</t>
  </si>
  <si>
    <t xml:space="preserve">Method taken from cited article. Data expressed as % </t>
  </si>
  <si>
    <t xml:space="preserve">Hippocampal activation of 5-HT(1B) receptors and BDNF production by vagus nerve stimulation in rats under chronic restraint stress</t>
  </si>
  <si>
    <t xml:space="preserve">Shin HC, Jo BG, Lee CY, Lee KW, Namgung U.</t>
  </si>
  <si>
    <t xml:space="preserve">Eur J Neurosci</t>
  </si>
  <si>
    <t xml:space="preserve">10.1111/ejn.14368</t>
  </si>
  <si>
    <t xml:space="preserve">Tryptophan-kynurenine metabolic characterization in the gut and brain of depressive-like rats induced by chronic restraint stress</t>
  </si>
  <si>
    <t xml:space="preserve">Li CC, Ye F, Xu CX, Jiang N, Chang Q, Liu XM, Pan RL.</t>
  </si>
  <si>
    <t xml:space="preserve">J Affect Disord</t>
  </si>
  <si>
    <t xml:space="preserve">10.1016/j.jad.2023.02.008</t>
  </si>
  <si>
    <t xml:space="preserve">1E</t>
  </si>
  <si>
    <t xml:space="preserve">Targeting the Endoplasmic Reticulum Stress-Linked PERK/GRP78/CHOP Pathway with Magnesium Sulfate Attenuates Chronic-Restraint-Stress-Induced Depression-like Neuropathology in Rats</t>
  </si>
  <si>
    <t xml:space="preserve">Arab HH, Khames A, Alsufyani SE, El-Sheikh AAK, Gad AM.</t>
  </si>
  <si>
    <t xml:space="preserve">Pharmaceuticals (Basel)</t>
  </si>
  <si>
    <t xml:space="preserve">10.3390/ph16020300</t>
  </si>
  <si>
    <t xml:space="preserve">Error bars not specified as SD or SEM</t>
  </si>
  <si>
    <t xml:space="preserve">2B</t>
  </si>
  <si>
    <t xml:space="preserve">Ketamine May Exert Rapid Antidepressant Effects Through Modulation of Neuroplasticity, Autophagy, and Ferroptosis in the Habenular Nucleus</t>
  </si>
  <si>
    <t xml:space="preserve">Zhang, Mengke; Lyu, Dongbin; Shi, Fan Wang Shuxiang; Wang, Meiti; Yang, Weichieh; Huang, Haijing; Wei, Zheyi; Chen, ShenTse; Xu, Yi; Hong, Wu</t>
  </si>
  <si>
    <t xml:space="preserve">NEUROSCIENCE</t>
  </si>
  <si>
    <t xml:space="preserve">10.1016/j.neuroscience.2022.10.015</t>
  </si>
  <si>
    <t xml:space="preserve">Wistar-Kyoto</t>
  </si>
  <si>
    <t xml:space="preserve">1D</t>
  </si>
  <si>
    <t xml:space="preserve">Anxiolytic effects of muscarinic acetylcholine receptors agonist oxotremorine in chronically stressed rats and related changes in BDNF and FGF2 levels in the hippocampus and prefrontal cortex</t>
  </si>
  <si>
    <t xml:space="preserve">Di Liberto V, Frinchi M, Verdi V, Vitale A, Plescia F, Cannizzaro C, Massenti MF, Belluardo N, Mudò G.</t>
  </si>
  <si>
    <t xml:space="preserve">Psychopharmacology (Berl)</t>
  </si>
  <si>
    <t xml:space="preserve">10.1007/s00213-016-4498-0</t>
  </si>
  <si>
    <t xml:space="preserve">16</t>
  </si>
  <si>
    <t xml:space="preserve">Insights into the potential antidepressant mechanisms of cilostazol in chronically restraint rats: impact on the Nrf2 pathway</t>
  </si>
  <si>
    <t xml:space="preserve">Abuelezz SA, Hendawy N.</t>
  </si>
  <si>
    <t xml:space="preserve">10.1097/FBP.0000000000000335</t>
  </si>
  <si>
    <t xml:space="preserve">4C</t>
  </si>
  <si>
    <t xml:space="preserve">Ameliorative Effects of Alkaloids from Narcissus cv. Hawera: Behavioral Changes Following Acute and Accelerated Chronic Restraint Stress</t>
  </si>
  <si>
    <t xml:space="preserve">Pechlivanova, Daniela; Grozdanov, Petar; Sabit, Zafer; Bakalov, Dimitar; Stoynev, Alexander; Berkov, Strahil</t>
  </si>
  <si>
    <t xml:space="preserve">REVISTA BRASILEIRA DE FARMACOGNOSIA-BRAZILIAN JOURNAL OF PHARMACOGNOSY</t>
  </si>
  <si>
    <t xml:space="preserve">10.1007/s43450-023-00464-w</t>
  </si>
  <si>
    <t xml:space="preserve">See notes</t>
  </si>
  <si>
    <t xml:space="preserve">CRS was 1 h/day for 14 days, then escalated to 6 h/day for an additional 14 days. No explanation of why.</t>
  </si>
  <si>
    <t xml:space="preserve">1A</t>
  </si>
  <si>
    <t xml:space="preserve">Effects of mood stabilizer lithium on noradrenergic turnover in the prefrontal cortex of chronically stressed rats.</t>
  </si>
  <si>
    <t xml:space="preserve">Gavrilovic L.
Popovic N.
Stojiljkovic V.
Pejic S.
Todorovic A.
Pavlovic I.
Pantelic M.
Pajovic S.B.</t>
  </si>
  <si>
    <t xml:space="preserve">Neuroendocrinology Letters</t>
  </si>
  <si>
    <t xml:space="preserve">11</t>
  </si>
  <si>
    <t xml:space="preserve">Research paper: Ibuprofen protection against restrained chronic stress-induced depression in male rats.</t>
  </si>
  <si>
    <t xml:space="preserve">Nozari M., Nahavandi A., Zeinivand M., Gharaati M.E., Godarzi M., Ahmadi M., Jamali-Raeufy N.</t>
  </si>
  <si>
    <t xml:space="preserve">Basic and Clinical Neuroscience</t>
  </si>
  <si>
    <t xml:space="preserve">https://dx.doi.org/10.32598/bcn.11.4.1775.2</t>
  </si>
  <si>
    <t xml:space="preserve">Impact of Combined Forced Exercise with Escitalopram on Stress-Induced Depressive-Like Behavior in Male Rats.</t>
  </si>
  <si>
    <t xml:space="preserve">Zamani M., Radahmadi M., Reisi P.</t>
  </si>
  <si>
    <t xml:space="preserve">Journal of Advances in Medical and Biomedical Research</t>
  </si>
  <si>
    <t xml:space="preserve">https://dx.doi.org/10.61186/jambr.32.151.144</t>
  </si>
  <si>
    <t xml:space="preserve"> </t>
  </si>
  <si>
    <t xml:space="preserve">Radix Polygalae extract exerts antidepressant effects in behavioral despair mice and chronic restraint stress-induced rats probably by promoting autophagy and inhibiting neuroinflammation</t>
  </si>
  <si>
    <t xml:space="preserve">Zhou, Yunfeng; Yan, Mingzhu; Pan, Ruile; Wang, Zhi; Tao, Xue; Li, Chenchen; Xia, Tianji; Liu, Xinmin; Chang, Qi</t>
  </si>
  <si>
    <t xml:space="preserve">JOURNAL OF ETHNOPHARMACOLOGY</t>
  </si>
  <si>
    <t xml:space="preserve">10.1016/j.jep.2020.113317</t>
  </si>
  <si>
    <t xml:space="preserve">8-9</t>
  </si>
  <si>
    <t xml:space="preserve">Neuropathological implication of high blood bilirubin in patients and model rats with depression</t>
  </si>
  <si>
    <t xml:space="preserve">Gao Y, Ling Y, Li J, Xu Y, Ge J, Xia Q.</t>
  </si>
  <si>
    <t xml:space="preserve">Brain Res Bull</t>
  </si>
  <si>
    <t xml:space="preserve">10.1016/j.brainresbull.2024.111028</t>
  </si>
  <si>
    <t xml:space="preserve">3G</t>
  </si>
  <si>
    <t xml:space="preserve">The expression of agmatinase manipulates the affective state of rats subjected to chronic restraint stress</t>
  </si>
  <si>
    <t xml:space="preserve">Yan, Shi; Xu, Chang; Yang, Mengli; Zhang, Huiqiang; Cheng, Ye; Xue, Zeping; He, Zecong; Wang, Tiantian; Bai, Shangying; Wang, Gang; Wu, Jianping; Tong, Zhiqian; Cai, Xiang</t>
  </si>
  <si>
    <t xml:space="preserve">NEUROPHARMACOLOGY</t>
  </si>
  <si>
    <t xml:space="preserve">10.1016/j.neuropharm.2023.109476</t>
  </si>
  <si>
    <t xml:space="preserve">6</t>
  </si>
  <si>
    <t xml:space="preserve">Down-regulation of cholinergic signaling in the habenula induces anhedonia-like behavior</t>
  </si>
  <si>
    <t xml:space="preserve">Han S, Yang SH, Kim JY, Mo S, Yang E, Song KM, Ham BJ, Mechawar N, Turecki G, Lee HW, Kim H.</t>
  </si>
  <si>
    <t xml:space="preserve">Sci Rep</t>
  </si>
  <si>
    <t xml:space="preserve">10.1038/s41598-017-01088-6</t>
  </si>
  <si>
    <t xml:space="preserve">Method taken from cited article</t>
  </si>
  <si>
    <t xml:space="preserve">Text</t>
  </si>
  <si>
    <t xml:space="preserve">Ca(v)1.2 Activity and Downstream Signaling Pathways in the Hippocampus of An Animal Model of Depression</t>
  </si>
  <si>
    <t xml:space="preserve">Moreno C, Hermosilla T, Hardy P, Aballai V, Rojas P, Varela D.</t>
  </si>
  <si>
    <t xml:space="preserve">Cells</t>
  </si>
  <si>
    <t xml:space="preserve">10.3390/cells9122609</t>
  </si>
  <si>
    <t xml:space="preserve">FST data expressed as "moving time". </t>
  </si>
  <si>
    <t xml:space="preserve">Tinnitus Generation and Behavioral Changes Caused by Chronic Stress: A Behavioral and Brain Study in a Rat Model</t>
  </si>
  <si>
    <t xml:space="preserve">Kim YL, Yu HJ, Kim MJ, Han JS, Lim JH, Park SY, Park I, Park SN.</t>
  </si>
  <si>
    <t xml:space="preserve">Laryngoscope</t>
  </si>
  <si>
    <t xml:space="preserve">10.1002/lary.31779</t>
  </si>
  <si>
    <t xml:space="preserve">4B</t>
  </si>
  <si>
    <t xml:space="preserve">Ginkgo biloba modulates hippocampal BDNF expression in a rat model of chronic restraint stress-induced depression</t>
  </si>
  <si>
    <t xml:space="preserve">Ayatollahi, Seyed Abdolmajid; Khoshsirat, Shahrokh; Peyvandi, Ali Asghar; Rezaei, Omidvar; Mehrjardi, Fatemeh Zare; Nahavandi, Arezo; Niknazar, Somayeh</t>
  </si>
  <si>
    <t xml:space="preserve">PHYSIOLOGY AND PHARMACOLOGY</t>
  </si>
  <si>
    <t xml:space="preserve">10.32598/ppj.24.4.20</t>
  </si>
  <si>
    <t xml:space="preserve">Table 2</t>
  </si>
  <si>
    <t xml:space="preserve">Hippocampal metabolic differences implicate distinctions between physical and psychological stress in four rat models of depression</t>
  </si>
  <si>
    <t xml:space="preserve">Liu L, Zhou X, Zhang Y, Pu J, Yang L, Yuan S, Zhao L, Zhou C, Zhang H, Xie P.</t>
  </si>
  <si>
    <t xml:space="preserve">Transl Psychiatry</t>
  </si>
  <si>
    <t xml:space="preserve">10.1038/s41398-017-0018-1</t>
  </si>
  <si>
    <t xml:space="preserve">2I</t>
  </si>
  <si>
    <t xml:space="preserve">Behavioural and biochemical changes in maternally separated Sprague-Dawley rats exposed to restraint stress</t>
  </si>
  <si>
    <t xml:space="preserve">van Zyl PJ, Dimatelis JJ, Russell VA.</t>
  </si>
  <si>
    <t xml:space="preserve">Metab Brain Dis</t>
  </si>
  <si>
    <t xml:space="preserve">10.1007/s11011-015-9757-y</t>
  </si>
  <si>
    <t xml:space="preserve">Subjected to maternal separation</t>
  </si>
  <si>
    <t xml:space="preserve">10-12</t>
  </si>
  <si>
    <t xml:space="preserve">Electroconvulsive stimulation, but not chronic restraint stress, causes structural alterations in adult rat hippocampus--a stereological study</t>
  </si>
  <si>
    <t xml:space="preserve">Olesen MV, Wörtwein G, Pakkenberg B.</t>
  </si>
  <si>
    <t xml:space="preserve">Hippocampus</t>
  </si>
  <si>
    <t xml:space="preserve">10.1002/hipo.22351</t>
  </si>
  <si>
    <t xml:space="preserve">7-8</t>
  </si>
  <si>
    <t xml:space="preserve">Data expressed as 'diference between % immobility between test and pre-test"</t>
  </si>
  <si>
    <t xml:space="preserve">Yeast Extract Peptides Alleviate Depression in Chronic Restraint Stress Rats by Alleviating Hippocampal Neuronal Apoptosis and Dysbiosis of the Gut Microbiota</t>
  </si>
  <si>
    <t xml:space="preserve">Zou Z, Xiao N, Chen Z, Lin X, Li Y, Li P, Cheng Q, Du B.</t>
  </si>
  <si>
    <t xml:space="preserve">Mol Nutr Food Res</t>
  </si>
  <si>
    <t xml:space="preserve">10.1002/mnfr.202300467</t>
  </si>
  <si>
    <t xml:space="preserve">Data from after first 4 weeks of CRS</t>
  </si>
  <si>
    <t xml:space="preserve">Microbiome Metabolomic Analysis of the Anxiolytic Effect of Baihe Dihuang Decoction in a Rat Model of Chronic Restraint Stress</t>
  </si>
  <si>
    <t xml:space="preserve">Tang L, Liu J, Yang H, Zhao HQ, Hu C, Ma SJ, Qing YH, Yang L, Zhou RR, Zhang SH.</t>
  </si>
  <si>
    <t xml:space="preserve">Drug Des Devel Ther</t>
  </si>
  <si>
    <t xml:space="preserve">10.2147/DDDT.S458983</t>
  </si>
  <si>
    <t xml:space="preserve">1H</t>
  </si>
  <si>
    <t xml:space="preserve">Accelerated low-intensity rTMS does not rescue anxiety behaviour or abnormal connectivity in young adult rats following chronic restraint stress.</t>
  </si>
  <si>
    <t xml:space="preserve">Hennessy L.A.
Seewoo B.J.
Jaeschke L.A.
Mackie L.A.
Figliomeni A.
Arena-Foster Y.
Etherington S.J.
Dunlop S.A.
Croarkin P.E.
Rodger J.</t>
  </si>
  <si>
    <t xml:space="preserve">Neuroimage: Reports</t>
  </si>
  <si>
    <t xml:space="preserve">https://dx.doi.org/10.1016/j.ynirp.2022.100104</t>
  </si>
  <si>
    <t xml:space="preserve">Neuroprotective Role of Selenium Nanoparticles Against Behavioral, Neurobiochemical and Histological Alterations in Rats Subjected to Chronic Restraint Stress</t>
  </si>
  <si>
    <t xml:space="preserve">Elfakharany SA, Eskaros SS, Azhary NME, Abdelmonsif DA, Zeitoun TM, Ammar GAG, Hatem YA.</t>
  </si>
  <si>
    <t xml:space="preserve">Mol Neurobiol</t>
  </si>
  <si>
    <t xml:space="preserve">10.1007/s12035-024-04196-3</t>
  </si>
  <si>
    <t xml:space="preserve">median (intra-quartile range) given</t>
  </si>
  <si>
    <t xml:space="preserve">5G</t>
  </si>
  <si>
    <t xml:space="preserve">Silent information regulator 1 mediates H 2 S-inhibited chronic restraint stress-induced depressive-like behaviors by regulating hippocampal autophagy</t>
  </si>
  <si>
    <t xml:space="preserve">Du L, Chen L, Luo B, Chen YJ, Zhang P, Tang YY, Jiang JM, Zou W.</t>
  </si>
  <si>
    <t xml:space="preserve">Neuroreport</t>
  </si>
  <si>
    <t xml:space="preserve">10.1097/WNR.0000000000001870</t>
  </si>
  <si>
    <t xml:space="preserve">5-6</t>
  </si>
  <si>
    <t xml:space="preserve">6-10</t>
  </si>
  <si>
    <t xml:space="preserve">Therapeutic Potential of Curcumin in Reversing the Depression and Associated Pseudodementia via Modulating Stress Hormone, Hippocampal Neurotransmitters, and BDNF Levels in Rats</t>
  </si>
  <si>
    <t xml:space="preserve">Afzal A, Batool Z, Sadir S, Liaquat L, Shahzad S, Tabassum S, Ahmad S, Kamil N, Perveen T, Haider S.</t>
  </si>
  <si>
    <t xml:space="preserve">Neurochem Res</t>
  </si>
  <si>
    <t xml:space="preserve">10.1007/s11064-021-03430-x</t>
  </si>
  <si>
    <t xml:space="preserve">FST design unclear: "Rats were allowed to swim for 5 min followed by a pre-test of 2 min. Immobility time was observed during testing duration of the experiment."</t>
  </si>
  <si>
    <t xml:space="preserve">2A</t>
  </si>
  <si>
    <t xml:space="preserve">Unleashing lactoferrin's antidepressant potential through the PI3K/Akt/mTOR pathway in chronic restraint stress rats</t>
  </si>
  <si>
    <t xml:space="preserve">Ahmed HH, Essam RM, El-Yamany MF, Ahmed KA, El-Sahar AE.</t>
  </si>
  <si>
    <t xml:space="preserve">Food Funct</t>
  </si>
  <si>
    <t xml:space="preserve">10.1039/d3fo02222f</t>
  </si>
  <si>
    <t xml:space="preserve">2C</t>
  </si>
  <si>
    <t xml:space="preserve">Metformin potentiates cognitive and antidepressant effects of fluoxetine in rats exposed to chronic restraint stress and high fat diet: potential involvement of hippocampal c-Jun repression</t>
  </si>
  <si>
    <t xml:space="preserve">Khedr SA, Elmelgy AA, El-Kharashi OA, Abd-Alkhalek HA, Louka ML, Sallam HA, Aboul-Fotouh S.</t>
  </si>
  <si>
    <t xml:space="preserve">Naunyn Schmiedebergs Arch Pharmacol</t>
  </si>
  <si>
    <t xml:space="preserve">10.1007/s00210-018-1466-8</t>
  </si>
  <si>
    <t xml:space="preserve">The role of astrocytes in depression, its prevention, and treatment by targeting astroglial gliotransmitter release</t>
  </si>
  <si>
    <t xml:space="preserve">Duarte, Yorley; Quintana-Donoso, Daisy; Moraga-Amaro, Rodrigo; Dinamarca, Ivanka; Lemunao, Yordan; Cardenas, Kevin; Bahamonde, Tamara; Barrientos, Tabita; Olivares, Pedro; Navas, Camila; Carvajal, Francisco J.; Santibanez, Yessenia; Castro-Lazo, Raimundo; Paz Meza, Maria; Jorquera, Ramon; Gomez, Gonzalo I.; Henke, Marina; Alarcon, Rodrigo; Gabriel, Laureen A.; Schiffmann, Susanne; Cerpa, Waldo; Retamal, Mauricio A.; Simon, Felipe; Linsambarth, Sergio; Gonzalez-Nilo, Fernando; Stehberg, Jimmy</t>
  </si>
  <si>
    <t xml:space="preserve">PROCEEDINGS OF THE NATIONAL ACADEMY OF SCIENCES OF THE UNITED STATES OF AMERICA</t>
  </si>
  <si>
    <t xml:space="preserve">10.1073/pnas.2307953121</t>
  </si>
  <si>
    <t xml:space="preserve">Potential involvement of JNK1 repression in the hepatic effect of sitagliptin and metformin in rats subjected to high fat diet and chronic mild distress</t>
  </si>
  <si>
    <t xml:space="preserve">Magdy YM, El-Kharashi OA, Nabih ES, Shaker SM, Abd-Elaziz LF, Aboul-Fotouh S.</t>
  </si>
  <si>
    <t xml:space="preserve">Biomed Pharmacother</t>
  </si>
  <si>
    <t xml:space="preserve">10.1016/j.biopha.2016.10.098</t>
  </si>
  <si>
    <t xml:space="preserve">A repeated measures cognitive affective bias test in rats: comparison with forced swim test</t>
  </si>
  <si>
    <t xml:space="preserve">Aliphon B, Dai T, Moretti J, Penrose-Menz M, Mulders WHAM, Blache D, Rodger J.</t>
  </si>
  <si>
    <t xml:space="preserve">10.1007/s00213-022-06281-8</t>
  </si>
  <si>
    <t xml:space="preserve">Fluoxetine and agomelatine mitigate anhedonic and hepatic changes in chronic restraint stress rat model</t>
  </si>
  <si>
    <t xml:space="preserve">Sarawi WS, Algarzae NK, Alharbi NM, Alhusaini AM, Akkam LM, Alsharidah RE, Alrasheed LS, Attia HA, Hasan IH.</t>
  </si>
  <si>
    <t xml:space="preserve">10.1038/s41598-025-06339-5</t>
  </si>
  <si>
    <t xml:space="preserve">6-7</t>
  </si>
  <si>
    <r>
      <rPr>
        <sz val="11"/>
        <rFont val="Aptos Narrow"/>
        <family val="2"/>
        <charset val="1"/>
      </rPr>
      <t xml:space="preserve">"All rat groups, except the controls, underwent restraining stress for </t>
    </r>
    <r>
      <rPr>
        <b val="true"/>
        <sz val="11"/>
        <rFont val="Aptos Narrow"/>
        <family val="2"/>
        <charset val="1"/>
      </rPr>
      <t xml:space="preserve">around</t>
    </r>
    <r>
      <rPr>
        <sz val="11"/>
        <rFont val="Aptos Narrow"/>
        <family val="2"/>
        <charset val="1"/>
      </rPr>
      <t xml:space="preserve"> 5 weeks"</t>
    </r>
  </si>
  <si>
    <t xml:space="preserve">Chronic stress-induced depression requires the recruitment of peripheral Th17 cells into the brain</t>
  </si>
  <si>
    <t xml:space="preserve">Peng, Zhuang; Peng, Sha; Lin, Kangguang; Zhao, Bin; Wei, Lai; Tuo, Qinhui; Liao, Duanfang; Yuan, Tifei; Shi, Zhe</t>
  </si>
  <si>
    <t xml:space="preserve">JOURNAL OF NEUROINFLAMMATION</t>
  </si>
  <si>
    <t xml:space="preserve">10.1186/s12974-022-02543-6</t>
  </si>
  <si>
    <t xml:space="preserve">15</t>
  </si>
  <si>
    <t xml:space="preserve">Quercetin and Tranylcypromine Improve Memory, Behavioral Performance, and Cholinergic Function in Male Rats Subjected to Chronic Restraint Stress.</t>
  </si>
  <si>
    <r>
      <rPr>
        <sz val="11"/>
        <rFont val="Aptos Narrow"/>
        <family val="2"/>
        <charset val="1"/>
      </rPr>
      <t xml:space="preserve">Mostardeiro V.B., Assmann C.E.</t>
    </r>
    <r>
      <rPr>
        <sz val="11"/>
        <rFont val="Aptos Narrow"/>
        <family val="2"/>
      </rPr>
      <t xml:space="preserve">, </t>
    </r>
    <r>
      <rPr>
        <sz val="11"/>
        <rFont val="Aptos Narrow"/>
        <family val="2"/>
        <charset val="1"/>
      </rPr>
      <t xml:space="preserve">Schirmann A.A.</t>
    </r>
    <r>
      <rPr>
        <sz val="11"/>
        <rFont val="Aptos Narrow"/>
        <family val="2"/>
      </rPr>
      <t xml:space="preserve">, </t>
    </r>
    <r>
      <rPr>
        <sz val="11"/>
        <rFont val="Aptos Narrow"/>
        <family val="2"/>
        <charset val="1"/>
      </rPr>
      <t xml:space="preserve">da Silveira M.V.</t>
    </r>
    <r>
      <rPr>
        <sz val="11"/>
        <rFont val="Aptos Narrow"/>
        <family val="2"/>
      </rPr>
      <t xml:space="preserve">, </t>
    </r>
    <r>
      <rPr>
        <sz val="11"/>
        <rFont val="Aptos Narrow"/>
        <family val="2"/>
        <charset val="1"/>
      </rPr>
      <t xml:space="preserve">Rambo B.V.C.</t>
    </r>
    <r>
      <rPr>
        <sz val="11"/>
        <rFont val="Aptos Narrow"/>
        <family val="2"/>
      </rPr>
      <t xml:space="preserve">, </t>
    </r>
    <r>
      <rPr>
        <sz val="11"/>
        <rFont val="Aptos Narrow"/>
        <family val="2"/>
        <charset val="1"/>
      </rPr>
      <t xml:space="preserve">Schott M.</t>
    </r>
    <r>
      <rPr>
        <sz val="11"/>
        <rFont val="Aptos Narrow"/>
        <family val="2"/>
      </rPr>
      <t xml:space="preserve">, </t>
    </r>
    <r>
      <rPr>
        <sz val="11"/>
        <rFont val="Aptos Narrow"/>
        <family val="2"/>
        <charset val="1"/>
      </rPr>
      <t xml:space="preserve">Pereira A.D.S.</t>
    </r>
    <r>
      <rPr>
        <sz val="11"/>
        <rFont val="Aptos Narrow"/>
        <family val="2"/>
      </rPr>
      <t xml:space="preserve">, </t>
    </r>
    <r>
      <rPr>
        <sz val="11"/>
        <rFont val="Aptos Narrow"/>
        <family val="2"/>
        <charset val="1"/>
      </rPr>
      <t xml:space="preserve">Miron V.V.</t>
    </r>
    <r>
      <rPr>
        <sz val="11"/>
        <rFont val="Aptos Narrow"/>
        <family val="2"/>
      </rPr>
      <t xml:space="preserve">, </t>
    </r>
    <r>
      <rPr>
        <sz val="11"/>
        <rFont val="Aptos Narrow"/>
        <family val="2"/>
        <charset val="1"/>
      </rPr>
      <t xml:space="preserve">Soares H.W.</t>
    </r>
    <r>
      <rPr>
        <sz val="11"/>
        <rFont val="Aptos Narrow"/>
        <family val="2"/>
      </rPr>
      <t xml:space="preserve">, </t>
    </r>
    <r>
      <rPr>
        <sz val="11"/>
        <rFont val="Aptos Narrow"/>
        <family val="2"/>
        <charset val="1"/>
      </rPr>
      <t xml:space="preserve">Dambros L.V.</t>
    </r>
    <r>
      <rPr>
        <sz val="11"/>
        <rFont val="Aptos Narrow"/>
        <family val="2"/>
      </rPr>
      <t xml:space="preserve">, </t>
    </r>
    <r>
      <rPr>
        <sz val="11"/>
        <rFont val="Aptos Narrow"/>
        <family val="2"/>
        <charset val="1"/>
      </rPr>
      <t xml:space="preserve">Belinazo S.F.</t>
    </r>
    <r>
      <rPr>
        <sz val="11"/>
        <rFont val="Aptos Narrow"/>
        <family val="2"/>
      </rPr>
      <t xml:space="preserve">, </t>
    </r>
    <r>
      <rPr>
        <sz val="11"/>
        <rFont val="Aptos Narrow"/>
        <family val="2"/>
        <charset val="1"/>
      </rPr>
      <t xml:space="preserve">Vidal T.G.</t>
    </r>
    <r>
      <rPr>
        <sz val="11"/>
        <rFont val="Aptos Narrow"/>
        <family val="2"/>
      </rPr>
      <t xml:space="preserve">, </t>
    </r>
    <r>
      <rPr>
        <sz val="11"/>
        <rFont val="Aptos Narrow"/>
        <family val="2"/>
        <charset val="1"/>
      </rPr>
      <t xml:space="preserve">Bagatini M.D.</t>
    </r>
    <r>
      <rPr>
        <sz val="11"/>
        <rFont val="Aptos Narrow"/>
        <family val="2"/>
      </rPr>
      <t xml:space="preserve">, </t>
    </r>
    <r>
      <rPr>
        <sz val="11"/>
        <rFont val="Aptos Narrow"/>
        <family val="2"/>
        <charset val="1"/>
      </rPr>
      <t xml:space="preserve">Schetinger M.R.C.</t>
    </r>
    <r>
      <rPr>
        <sz val="11"/>
        <rFont val="Aptos Narrow"/>
        <family val="2"/>
      </rPr>
      <t xml:space="preserve">, </t>
    </r>
    <r>
      <rPr>
        <sz val="11"/>
        <rFont val="Aptos Narrow"/>
        <family val="2"/>
        <charset val="1"/>
      </rPr>
      <t xml:space="preserve">Morsch V.M.M.</t>
    </r>
  </si>
  <si>
    <t xml:space="preserve">Brain Sciences</t>
  </si>
  <si>
    <t xml:space="preserve">https://dx.doi.org/10.3390/brainsci15070709</t>
  </si>
  <si>
    <t xml:space="preserve">7B</t>
  </si>
  <si>
    <t xml:space="preserve">CRS induces depression-like behavior after MCAO in rats possibly by activating p38 MAPK</t>
  </si>
  <si>
    <t xml:space="preserve">Zhi L, Zhang F, Liu H, Jiang X, Zhang Y, Yang Q, Zhang X, Liu M, Zhang Z, Song J.</t>
  </si>
  <si>
    <t xml:space="preserve">Behav Brain Res</t>
  </si>
  <si>
    <t xml:space="preserve">10.1016/j.bbr.2022.114104</t>
  </si>
  <si>
    <t xml:space="preserve">2D</t>
  </si>
  <si>
    <t xml:space="preserve">Glucocorticoid-Driven NLRP3 Inflammasome Activation in Hippocampal Microglia Mediates Chronic Stress-Induced Depressive-Like Behaviors</t>
  </si>
  <si>
    <t xml:space="preserve">Feng, Xiujing; Zhao, Yuan; Yang, Tanyuan; Song, Manyu; Wang, Chaoran; Yao, Yujie; Fan, Honggang</t>
  </si>
  <si>
    <t xml:space="preserve">FRONTIERS IN MOLECULAR NEUROSCIENCE</t>
  </si>
  <si>
    <t xml:space="preserve">10.3389/fnmol.2019.00210</t>
  </si>
  <si>
    <t xml:space="preserve">2F</t>
  </si>
  <si>
    <t xml:space="preserve">Estrogen receptors mediate the antidepressant effects of aerobic exercise: A possible new mechanism</t>
  </si>
  <si>
    <t xml:space="preserve">Zhou, Ruixue; Wang, Zhisheng; Zhou, Bojun; Yu, Zixin; Wu, Chongyun; Hou, Jun; Cheng, Ken; Liu, Timon Chengyi</t>
  </si>
  <si>
    <t xml:space="preserve">FRONTIERS IN AGING NEUROSCIENCE</t>
  </si>
  <si>
    <t xml:space="preserve">10.3389/fnagi.2022.1040828</t>
  </si>
  <si>
    <t xml:space="preserve">All rats were ovariectomised; CRS was "7.5–8h/day"</t>
  </si>
  <si>
    <t xml:space="preserve">Changes of the brain activities after chronic restraint stress in rats: A study based on (18)F-FDG PET</t>
  </si>
  <si>
    <t xml:space="preserve">Wei K, Bao W, Zhao Z, Zhou W, Liu J, Wei Y, Li M, Wu X, Liu B, Du Y, Gong W, Dong J.</t>
  </si>
  <si>
    <t xml:space="preserve">Neurosci Lett</t>
  </si>
  <si>
    <t xml:space="preserve">10.1016/j.neulet.2017.11.047</t>
  </si>
  <si>
    <t xml:space="preserve">Behavioral and neurological improvement by Cydonia oblonga fruit extract in chronic immobilization stress rats</t>
  </si>
  <si>
    <t xml:space="preserve">Sakhri, Fatma Z.; Adachi, Naoki; Zerizer, Sakina; Ohashi, Yusuke; Ikemoto, Hideshi; Tsukada, Mana; Kabouche, Zahia; Hisamitsu, Tadashi; Sunagawa, Masataka</t>
  </si>
  <si>
    <t xml:space="preserve">PHYTOTHERAPY RESEARCH</t>
  </si>
  <si>
    <t xml:space="preserve">10.1002/ptr.6953</t>
  </si>
  <si>
    <t xml:space="preserve">5B</t>
  </si>
  <si>
    <t xml:space="preserve">Biochemical studies of hippocampal gene expression of brain-derived neurotropic factor and toll-like receptor-4 in diabetic rats exposed to chronic stress: Effects of antidepressant drugs.</t>
  </si>
  <si>
    <t xml:space="preserve">Aboul-Fotouh S.
Hassan D.M.
Habib M.Z.E.
Amin A.I.
Kassim S.K.
Mohamed A.S.</t>
  </si>
  <si>
    <t xml:space="preserve">Asian Journal of Pharmaceutical and Clinical Research</t>
  </si>
  <si>
    <t xml:space="preserve">https://dx.doi.org/10.22159/ajpcr.2018.v11i1.21593</t>
  </si>
  <si>
    <t xml:space="preserve">Cannabidiol reverses depression-like behaviors by enhancing hippocampal synaptic plasticity in rats with chronic restraint stress</t>
  </si>
  <si>
    <t xml:space="preserve">Ruanpang J, Thongta N, Vattarakorn A, Ngampramuan S, Pariwatcharakul P, Tapechum S, Care C, Pakaprot N.</t>
  </si>
  <si>
    <t xml:space="preserve">Vet World</t>
  </si>
  <si>
    <t xml:space="preserve">10.14202/vetworld.2025.2823-2838</t>
  </si>
  <si>
    <t xml:space="preserve">Spilanthes acmella Murr. ameliorates chronic stress through improving mitochondrial function in chronic restraint stress rats</t>
  </si>
  <si>
    <t xml:space="preserve">Suwanjang W, Ruankham W, Chetsawang B, Mukda S, Ngampramuan S, Srisung S, Prachayasittikul V, Prachayasittikul S.</t>
  </si>
  <si>
    <t xml:space="preserve">Neurochem Int</t>
  </si>
  <si>
    <t xml:space="preserve">10.1016/j.neuint.2021.105083</t>
  </si>
  <si>
    <t xml:space="preserve">Ginsenoside Rg1 Reduced Microglial Activation and Mitochondrial Dysfunction to Alleviate Depression-Like Behaviour Via the GAS5/EZH2/SOCS3/NRF2 Axis</t>
  </si>
  <si>
    <t xml:space="preserve">Li J, Gao W, Zhao Z, Li Y, Yang L, Wei W, Ren F, Li Y, Yu Y, Duan W, Li J, Dai B, Guo R.</t>
  </si>
  <si>
    <t xml:space="preserve">10.1007/s12035-022-02740-7</t>
  </si>
  <si>
    <t xml:space="preserve"> ≥ 5</t>
  </si>
  <si>
    <t xml:space="preserve">Melatonin alleviates chronic stress-induced hippocampal microglia pyroptosis and subsequent depression-like behaviors by inhibiting Cathepsin B/NLRP3 signaling pathway in rats.</t>
  </si>
  <si>
    <t xml:space="preserve">Gao Z.
Luo K.
Hu Y.
Niu Y.
Zhu X.
Li S.
Zhang H.</t>
  </si>
  <si>
    <t xml:space="preserve">Translational Psychiatry</t>
  </si>
  <si>
    <t xml:space="preserve">https://dx.doi.org/10.1038/s41398-024-02887-y</t>
  </si>
  <si>
    <t xml:space="preserve">(S)-Ketamine but Not (R)-Ketamine Shows Acute Effects on Depression-Like Behavior and Sleep-Wake Architecture in Rats</t>
  </si>
  <si>
    <t xml:space="preserve">Koncz S, Papp N, Pothorszki D, Bagdy G.</t>
  </si>
  <si>
    <t xml:space="preserve">Int J Neuropsychopharmacol</t>
  </si>
  <si>
    <t xml:space="preserve">10.1093/ijnp/pyad050</t>
  </si>
  <si>
    <t xml:space="preserve">Chronic Stress Decreases Cerebrovascular Responses During Rat Hindlimb Electrical Stimulation</t>
  </si>
  <si>
    <t xml:space="preserve">Lee S, Kang BM, Shin MK, Min J, Heo C, Lee Y, Baeg E, Suh M.</t>
  </si>
  <si>
    <t xml:space="preserve">Front Neurosci</t>
  </si>
  <si>
    <t xml:space="preserve">10.3389/fnins.2015.00462</t>
  </si>
  <si>
    <t xml:space="preserve">Data expressed as 'mean behavioural count'</t>
  </si>
  <si>
    <t xml:space="preserve">Whole body vibration training improves depression-like behaviors in a rat chronic restraint stress model</t>
  </si>
  <si>
    <t xml:space="preserve">Peng G, Yang L, Wu CY, Zhang LL, Wu CY, Li F, Shi HW, Hou J, Zhang LM, Ma X, Xiong J, Pan H, Zhang GQ.</t>
  </si>
  <si>
    <t xml:space="preserve">10.1016/j.neuint.2020.104926</t>
  </si>
  <si>
    <t xml:space="preserve">The PHF21B gene is associated with major depression and modulates the stress response.</t>
  </si>
  <si>
    <t xml:space="preserve">Wong M.-L.
Arcos-Burgos M.
Liu S.
Velez J.I.
Yu C.
Baune B.T.
Jawahar M.C.
Arolt V.
Dannlowski U.
Chuah A.
Huttley G.A.
Fogarty R.
Lewis M.D.
Bornstein S.R.
Licinio J.</t>
  </si>
  <si>
    <t xml:space="preserve">Molecular Psychiatry</t>
  </si>
  <si>
    <t xml:space="preserve">https://dx.doi.org/10.1038/mp.2016.174</t>
  </si>
  <si>
    <t xml:space="preserve">Effects of depression on thyroid function, pathology and ultrasonography in rats</t>
  </si>
  <si>
    <t xml:space="preserve">Wu, Xueyan; Gao, Yingjing; Liu, Siyan; Meng, Lei; Wang, Shaolian; Song, Chunhong</t>
  </si>
  <si>
    <t xml:space="preserve">JOURNAL OF MOLECULAR HISTOLOGY</t>
  </si>
  <si>
    <t xml:space="preserve">10.1007/s10735-025-10584-3</t>
  </si>
  <si>
    <t xml:space="preserve">The identification of metabolic disturbances in the prefrontal cortex of the chronic restraint stress rat model of depression</t>
  </si>
  <si>
    <t xml:space="preserve">Liu L, Zhou X, Zhang Y, Liu Y, Yang L, Pu J, Zhu D, Zhou C, Xie P.</t>
  </si>
  <si>
    <t xml:space="preserve">10.1016/j.bbr.2016.03.005</t>
  </si>
  <si>
    <t xml:space="preserve">Kamikihito rescued depressive-like behaviors and hippocampus neurogenesis in chronic restraint stress rats</t>
  </si>
  <si>
    <t xml:space="preserve">Adachi N, Sakhri FZ, Ikemoto H, Ohashi Y, Kato M, Inoue T, Hisamitsu T, Sunagawa M.</t>
  </si>
  <si>
    <t xml:space="preserve">J Tradit Complement Med</t>
  </si>
  <si>
    <t xml:space="preserve">10.1016/j.jtcme.2021.08.001</t>
  </si>
  <si>
    <t xml:space="preserve">ACTH(6-9)-Pro-Gly-Pro ameliorates anxiety-like and depressive-like behaviour and gut mucosal microbiota composition in rats under conditions of chronic restraint stress</t>
  </si>
  <si>
    <t xml:space="preserve">Vorvul, Anton O.; Bobyntsev, Igor I.; Medvedeva, Olga A.; Mukhina, Alexandra Y.; V. Svishcheva, Maria; Azarova, Iuliia E.; Andreeva, Lyudmila A.; Myasoedov, Nikolay F.</t>
  </si>
  <si>
    <t xml:space="preserve">NEUROPEPTIDES</t>
  </si>
  <si>
    <t xml:space="preserve">10.1016/j.npep.2022.102247</t>
  </si>
  <si>
    <t xml:space="preserve">Functional magnetic resonance imaging study on anxiety and depression disorders induced by chronic restraint stress in rats</t>
  </si>
  <si>
    <t xml:space="preserve">Li Z, Ma Y, Dong B, Hu B, He H, Jia J, Xiong M, Xu T, Xu B, Xi W.</t>
  </si>
  <si>
    <t xml:space="preserve">10.1016/j.bbr.2023.114496</t>
  </si>
  <si>
    <t xml:space="preserve">Data shown as violin plot</t>
  </si>
  <si>
    <t xml:space="preserve">Xiaoyaosan Exerts Therapeutic Effects on the Colon of Chronic Restraint Stress Model Rats via the Regulation of Immunoinflammatory Activation Induced by the TLR4/NLRP3 Inflammasome Signaling Pathway</t>
  </si>
  <si>
    <t xml:space="preserve">Zhu HZ, Liang YD, Hao WZ, Ma QY, Li XJ, Li YM, Chen JX.</t>
  </si>
  <si>
    <t xml:space="preserve">Evid Based Complement Alternat Med</t>
  </si>
  <si>
    <t xml:space="preserve">10.1155/2021/6673538</t>
  </si>
  <si>
    <t xml:space="preserve">Comparative analysis of the nucleus accumbens transcriptional features in multiple depressive animal models</t>
  </si>
  <si>
    <t xml:space="preserve">Yu, Ying; Li, Xuemei; Teng, Teng; He, Yuqian; Jiang, Yuanliang; Liu, Xueer; Zhou, Xinyu; Luo, Yong; Xie, Peng</t>
  </si>
  <si>
    <t xml:space="preserve">10.1016/j.bbr.2024.114890</t>
  </si>
  <si>
    <t xml:space="preserve">Unclear</t>
  </si>
  <si>
    <t xml:space="preserve">"Male Sprague-Dawley rats (8–12 weeks old, 250–300 g) and male Long-Evans rats (350–400 g) .... All rats were randomly assigned to one of the following four models"</t>
  </si>
  <si>
    <t xml:space="preserve">1I</t>
  </si>
  <si>
    <t xml:space="preserve">The ROCK Inhibitor Fasudil Prevents Chronic Restraint Stress-Induced Depressive-Like Behaviors and Dendritic Spine Loss in Rat Hippocampus</t>
  </si>
  <si>
    <t xml:space="preserve">García-Rojo G, Fresno C, Vilches N, Díaz-Véliz G, Mora S, Aguayo F, Pacheco A, Parra-Fiedler N, Parra CS, Rojas PS, Tejos M, Aliaga E, Fiedler JL.</t>
  </si>
  <si>
    <t xml:space="preserve">10.1093/ijnp/pyw108</t>
  </si>
  <si>
    <t xml:space="preserve">Effects of escitalopram and ibuprofen on a depression-like phenotype induced by chronic stress in rats</t>
  </si>
  <si>
    <t xml:space="preserve">Seo, Mi Kyoung; Lee, Jung Goo; Park, Sung Woo</t>
  </si>
  <si>
    <t xml:space="preserve">10.1016/j.neulet.2018.12.033</t>
  </si>
  <si>
    <t xml:space="preserve">Behavioral effects and CRF expression in brain structures of high- and low-anxiety rats after chronic restraint stress</t>
  </si>
  <si>
    <t xml:space="preserve">Wisłowska-Stanek A, Lehner M, Skórzewska A, Krząścik P, Płaźnik A.</t>
  </si>
  <si>
    <t xml:space="preserve">10.1016/j.bbr.2016.05.001</t>
  </si>
  <si>
    <t xml:space="preserve">Data from 'high anxiety' rats</t>
  </si>
  <si>
    <t xml:space="preserve">The effects of antidepressants "fluoxetine and imipramine" on vascular abnormalities and Toll like receptor-4 expression in diabetic and non-diabetic rats exposed to chronic stress</t>
  </si>
  <si>
    <t xml:space="preserve">Habib M, Shaker S, El-Gayar N, Aboul-Fotouh S.</t>
  </si>
  <si>
    <t xml:space="preserve">PLoS One</t>
  </si>
  <si>
    <t xml:space="preserve">10.1371/journal.pone.0120559</t>
  </si>
  <si>
    <t xml:space="preserve">9-14</t>
  </si>
  <si>
    <t xml:space="preserve">Gut microbiome-derived indole-3-carboxaldehyde regulates stress vulnerability in chronic restraint stress by activating aryl hydrocarbon receptors</t>
  </si>
  <si>
    <t xml:space="preserve">Chen, Congcong; Xiao, Qiang; Wen, Zhaoyi; Gong, Fenfang; Zhan, Huang; Liu, Jian; Li, Hui; Jiao, Yukun</t>
  </si>
  <si>
    <t xml:space="preserve">PHARMACOLOGICAL RESEARCH</t>
  </si>
  <si>
    <t xml:space="preserve">10.1016/j.phrs.2025.107654</t>
  </si>
  <si>
    <t xml:space="preserve">Antistress and antidepressant properties of dapoxetine and vortioxetine</t>
  </si>
  <si>
    <t xml:space="preserve">Ratajczak, Piotr; Kus, Krzysztof; Zielinska-Przyjemska, Malgorzata; Skorczewska, Beata; Zaprutko, Tomasz; Kopciuch, Dorota; Paczkowska, Anna; Nowakowska, Elzbieta</t>
  </si>
  <si>
    <t xml:space="preserve">ACTA NEUROBIOLOGIAE EXPERIMENTALIS</t>
  </si>
  <si>
    <t xml:space="preserve">10.21307/ane-2020-020</t>
  </si>
  <si>
    <t xml:space="preserve">24</t>
  </si>
  <si>
    <t xml:space="preserve">Chronic Restraint Stress Did Not Alter Active Avoidance Coping or Neuronal Activation Levels of the Medial Prefrontal Cortex or the Nucleus Accumbens in Male Rats</t>
  </si>
  <si>
    <t xml:space="preserve">Kuan, Hsun-Yi; Chang, Chun-Hui</t>
  </si>
  <si>
    <t xml:space="preserve">JOURNAL OF PHYSIOLOGICAL INVESTIGATION</t>
  </si>
  <si>
    <t xml:space="preserve">10.4103/ejpi.EJPI-D-24-00066</t>
  </si>
  <si>
    <t xml:space="preserve">Long-Evans</t>
  </si>
  <si>
    <t xml:space="preserve">Environmental Enrichment Increases Glucocorticoid Receptors and Decreases GluA2 and Protein Kinase M Zeta (PKMO Trafficking During Chronic Stress: A Protective Mechanism?</t>
  </si>
  <si>
    <t xml:space="preserve">Zanca, Roseanna M.; Braren, Stephen H.; Maloney, Brigid; Schrott, Lisa M.; Luine, Victoria N.; Serrano, Peter A.</t>
  </si>
  <si>
    <t xml:space="preserve">FRONTIERS IN BEHAVIORAL NEUROSCIENCE</t>
  </si>
  <si>
    <t xml:space="preserve">10.3389/fnbeh.2015.00303</t>
  </si>
  <si>
    <t xml:space="preserve">Data from 'standard housed' group</t>
  </si>
  <si>
    <t xml:space="preserve">Exploring the ameliorative effects of omega-3 fatty acid supplementation on maternal behavioral abnormalities induced by prenatal chronic restraint stress</t>
  </si>
  <si>
    <t xml:space="preserve">Wang, Bo; Liu, Peijie; Gao, Xinhui; Yang, Fengqi; Sun, Jiarui; He, Fengqin</t>
  </si>
  <si>
    <t xml:space="preserve">10.1016/j.bbr.2025.115458</t>
  </si>
  <si>
    <t xml:space="preserve">F (pregnant)</t>
  </si>
  <si>
    <t xml:space="preserve">Pregnant females restrained from GD14-21</t>
  </si>
  <si>
    <t xml:space="preserve">Validation of chronic restraint stress model in young adult rats for the study of depression using longitudinal multimodal MR imaging.</t>
  </si>
  <si>
    <t xml:space="preserve">Seewoo B.J., Hennessy L.A., Feindel K.W., Etherington S.J., Croarkin P.E., Rodger J.</t>
  </si>
  <si>
    <t xml:space="preserve">eNeuro</t>
  </si>
  <si>
    <t xml:space="preserve">https://dx.doi.org/10.1523/ENEURO.0113-20.2020</t>
  </si>
  <si>
    <t xml:space="preserve">Behavioral effects of nicotinic antagonist mecamylamine in a rat model of depression: prefrontal cortex level of BDNF protein and monoaminergic neurotransmitters</t>
  </si>
  <si>
    <t xml:space="preserve">Aboul-Fotouh S.</t>
  </si>
  <si>
    <t xml:space="preserve">10.1007/s00213-014-3745-5</t>
  </si>
  <si>
    <t xml:space="preserve">Chronic restraint stress induced changes in colonic homeostasis-related indexes and tryptophan-kynurenine metabolism in rats</t>
  </si>
  <si>
    <t xml:space="preserve">Li CC, Gan L, Tan Y, Yan MZ, Liu XM, Chang Q, Pan RL.</t>
  </si>
  <si>
    <t xml:space="preserve">J Proteomics</t>
  </si>
  <si>
    <t xml:space="preserve">10.1016/j.jprot.2021.104190</t>
  </si>
  <si>
    <t xml:space="preserve">Association of N-cadherin levels and downstream effectors of Rho GTPases with dendritic spine loss induced by chronic stress in rat hippocampal neurons</t>
  </si>
  <si>
    <t xml:space="preserve">Castañeda P, Muñoz M, García-Rojo G, Ulloa JL, Bravo JA, Márquez R, García-Pérez MA, Arancibia D, Araneda K, Rojas PS, Mondaca-Ruff D, Díaz-Véliz G, Mora S, Aliaga E, Fiedler JL.</t>
  </si>
  <si>
    <t xml:space="preserve">J Neurosci Res</t>
  </si>
  <si>
    <t xml:space="preserve">10.1002/jnr.23602</t>
  </si>
  <si>
    <t xml:space="preserve">3C</t>
  </si>
  <si>
    <t xml:space="preserve">Lychee peel extract attenuates depression-like behavior in a rat model of chronic restraint stress.</t>
  </si>
  <si>
    <t xml:space="preserve">Phachonpai W., Preedapirom W., Wuthiyan K., Junkaew A., Tongun T.</t>
  </si>
  <si>
    <t xml:space="preserve">Journal of Applied Pharmaceutical Science</t>
  </si>
  <si>
    <t xml:space="preserve">https://dx.doi.org/10.7324/JAPS.2024.148021</t>
  </si>
  <si>
    <t xml:space="preserve">Phachonpai W.
Preedapirom W.
Wuthiyan K.
Junkaew A.
Tongun T.</t>
  </si>
  <si>
    <t xml:space="preserve">Meloxicam Targets COX-2/NOX1/NOX4/Nrf2 Axis to Ameliorate the Depression-like Neuropathology Induced by Chronic Restraint Stress in Rats.</t>
  </si>
  <si>
    <t xml:space="preserve">Arab H.H.
Khames A.
Mohammad M.K.
Alsufyani S.E.
Ashour A.M.
El-Sheikh A.A.K.
Darwish H.W.
Gad A.M.</t>
  </si>
  <si>
    <t xml:space="preserve">Pharmaceuticals</t>
  </si>
  <si>
    <t xml:space="preserve">https://dx.doi.org/10.3390/ph16060848</t>
  </si>
  <si>
    <t xml:space="preserve">Nature and nurture: environmental influences on a genetic rat model of depression</t>
  </si>
  <si>
    <t xml:space="preserve">Mehta-Raghavan NS, Wert SL, Morley C, Graf EN, Redei EE.</t>
  </si>
  <si>
    <t xml:space="preserve">10.1038/tp.2016.28</t>
  </si>
  <si>
    <t xml:space="preserve">Wistar Kyoto More Immobile </t>
  </si>
  <si>
    <t xml:space="preserve">"adult"</t>
  </si>
  <si>
    <t xml:space="preserve">Data expressed as number of 5-sec bins</t>
  </si>
  <si>
    <t xml:space="preserve">Wistar Kyoto Less Immobile </t>
  </si>
  <si>
    <t xml:space="preserve">Use of a gene expression signature to identify trimetazidine for repurposing to treat bipolar depression.</t>
  </si>
  <si>
    <t xml:space="preserve">Bortolasci C.C.
Kidnapillai S.
Spolding B.
Truong T.T.T.
Connor T.
Swinton C.
Panizzutti B.
Liu Z.S.J.
Sanigorski A.
Dean O.M.
Crowley T.
Richardson M.
Bozaoglu K.
Vlahos K.
Cowdery S.
Watmuff B.
Steyn S.F.
Wolmarans D.W.
Engelbrecht B.J.
Perry C.
Drummond K.
Pang T.
Jamain S.
Gray L.
McGee S.L.
Harvey B.H.
Kim J.H.
Leboyer M.
Berk M.
Walder K.</t>
  </si>
  <si>
    <t xml:space="preserve">Bipolar Disorders</t>
  </si>
  <si>
    <t xml:space="preserve">https://dx.doi.org/10.1111/bdi.13319</t>
  </si>
  <si>
    <t xml:space="preserve">Flinders Sensitive Line</t>
  </si>
  <si>
    <t xml:space="preserve">Electroconvulsive treatment prevents chronic restraint stress-induced atrophy of the hippocampal formation-A stereological study</t>
  </si>
  <si>
    <t xml:space="preserve">Alemu JL, Elberling F, Azam B, Pakkenberg B, Olesen MV.</t>
  </si>
  <si>
    <t xml:space="preserve">Brain Behav</t>
  </si>
  <si>
    <t xml:space="preserve">10.1002/brb3.1195</t>
  </si>
  <si>
    <t xml:space="preserve">NLRP3-mediated Neuroinflammation Exacerbates Incisional Hyperalgesia and Prolongs Recovery After Surgery in Chronic Stressed Rats</t>
  </si>
  <si>
    <t xml:space="preserve">Meng Y, Zhuang L, Xue Q, Zhang J, Yu B.</t>
  </si>
  <si>
    <t xml:space="preserve">Pain Physician</t>
  </si>
  <si>
    <t xml:space="preserve">https://www.painphysicianjournal.com/current/pdf?article=NzM1Mw%3D%3D&amp;journal=139</t>
  </si>
  <si>
    <t xml:space="preserve">Chronic Stress Disrupts Immune and Endocrine Axis, Inducing Persistent Behavioral Impairments in Male Rats: In Silico and In Vivo Insights</t>
  </si>
  <si>
    <t xml:space="preserve">Saeidi, Maryam; Hassanzadeh, Gholamreza; Rouhollah, Fatemeh; Mokhtari, Tahmineh</t>
  </si>
  <si>
    <t xml:space="preserve">10.1007/s11064-025-04579-5</t>
  </si>
  <si>
    <t xml:space="preserve">Roles of monoaminergic, antioxidant defense and neuroendocrine systems in antidepressant-like effect of Cnestis ferruginea Vahl ex DC (Connaraceae) in rats</t>
  </si>
  <si>
    <t xml:space="preserve">Ishola, Ismail O.; Akinleye, Moshood O.; Oduola, Mariam D.; Adeyemi, Olufunmilayo O.</t>
  </si>
  <si>
    <t xml:space="preserve">BIOMEDICINE &amp; PHARMACOTHERAPY</t>
  </si>
  <si>
    <t xml:space="preserve">10.1016/j.biopha.2016.06.054</t>
  </si>
  <si>
    <t xml:space="preserve">Combined exposure of alumina nanoparticles and chronic stress exacerbates hippocampal neuronal ferroptosis via activating IFN-gamma/ASK1/JNK signaling pathway in rats.</t>
  </si>
  <si>
    <t xml:space="preserve">Zhang H.
Jiao W.
Cui H.
Sun Q.
Fan H.</t>
  </si>
  <si>
    <t xml:space="preserve">Journal of Hazardous Materials</t>
  </si>
  <si>
    <t xml:space="preserve">https://dx.doi.org/10.1016/j.jhazmat.2021.125179</t>
  </si>
  <si>
    <t xml:space="preserve">CRS protocol used was from a mouse study: https://doi.org/10.1080/15548627.2019.1630222 </t>
  </si>
  <si>
    <t xml:space="preserve">Involvement of Hepatic SHIP2 and PI3K/Akt Signalling in the Regulation of Plasma Insulin by Xiaoyaosan in Chronic Immobilization-Stressed Rats</t>
  </si>
  <si>
    <t xml:space="preserve">Pan, Qiuxia; Wu, Jiajia; Liu, Yueyun; Li, Xiaojuan; Chen, Jiaxu</t>
  </si>
  <si>
    <t xml:space="preserve">MOLECULES</t>
  </si>
  <si>
    <t xml:space="preserve">10.3390/molecules24030480</t>
  </si>
  <si>
    <t xml:space="preserve">9-10</t>
  </si>
  <si>
    <t xml:space="preserve">Two Chronic Stress Models Based on Movement Restriction in Rats Respond Selectively to Antidepressant Drugs: Aldolase C As a Potential Biomarker</t>
  </si>
  <si>
    <t xml:space="preserve">Ampuero, Estibaliz; Luarte, Alejandro; Santibanez, Marcos; Varas-Godoy, Manuel; Toledo, Jorge; Diaz-Veliz, Gabriela; Cavada, Gabriel; Rubio, F. Javier; Wyneken, Ursula</t>
  </si>
  <si>
    <t xml:space="preserve">INTERNATIONAL JOURNAL OF NEUROPSYCHOPHARMACOLOGY</t>
  </si>
  <si>
    <t xml:space="preserve">10.1093/ijnp/pyv038</t>
  </si>
  <si>
    <t xml:space="preserve">"restraint"</t>
  </si>
  <si>
    <t xml:space="preserve">11-14</t>
  </si>
  <si>
    <t xml:space="preserve">"immobilisation"</t>
  </si>
  <si>
    <t xml:space="preserve">Anti-oxidative effects of safranal on immobilization-induced oxidative damage in rat brain</t>
  </si>
  <si>
    <t xml:space="preserve">Samarghandian S, Samini F, Azimi-Nezhad M, Farkhondeh T.</t>
  </si>
  <si>
    <t xml:space="preserve">10.1016/j.neulet.2017.08.065</t>
  </si>
  <si>
    <t xml:space="preserve">Resveratrol reverses chronic restraint stress-induced depression-like behaviour: Involvement of BDNF level, ERK phosphorylation and expression of Bcl-2 and Bax in rats</t>
  </si>
  <si>
    <t xml:space="preserve">Wang X, Xie Y, Zhang T, Bo S, Bai X, Liu H, Li T, Liu S, Zhou Y, Cong X, Wang Z, Liu D.</t>
  </si>
  <si>
    <t xml:space="preserve">10.1016/j.brainresbull.2016.06.014</t>
  </si>
  <si>
    <t xml:space="preserve">CONTROL (% preference for sucrose)</t>
  </si>
  <si>
    <t xml:space="preserve">TEST (% preference for sucrose)</t>
  </si>
  <si>
    <t xml:space="preserve">SPT</t>
  </si>
  <si>
    <t xml:space="preserve">Test duration (h)</t>
  </si>
  <si>
    <t xml:space="preserve">% sucrose solution (w/v)</t>
  </si>
  <si>
    <t xml:space="preserve">Duration of prior water deprivation (h)</t>
  </si>
  <si>
    <t xml:space="preserve">Duration of prior food deprivation (h)</t>
  </si>
  <si>
    <t xml:space="preserve">50</t>
  </si>
  <si>
    <t xml:space="preserve">5.4</t>
  </si>
  <si>
    <t xml:space="preserve">Administration of Lactobacillus helveticus NS8 improves behavioral, cognitive, and biochemical aberrations caused by chronic restraint stress.</t>
  </si>
  <si>
    <r>
      <rPr>
        <sz val="11"/>
        <rFont val="Aptos Narrow"/>
        <family val="2"/>
        <charset val="1"/>
      </rPr>
      <t xml:space="preserve">Liang S.</t>
    </r>
    <r>
      <rPr>
        <sz val="11"/>
        <rFont val="Aptos Narrow"/>
        <family val="2"/>
      </rPr>
      <t xml:space="preserve">, </t>
    </r>
    <r>
      <rPr>
        <sz val="11"/>
        <rFont val="Aptos Narrow"/>
        <family val="2"/>
        <charset val="1"/>
      </rPr>
      <t xml:space="preserve">Wang T.</t>
    </r>
    <r>
      <rPr>
        <sz val="11"/>
        <rFont val="Aptos Narrow"/>
        <family val="2"/>
      </rPr>
      <t xml:space="preserve">, </t>
    </r>
    <r>
      <rPr>
        <sz val="11"/>
        <rFont val="Aptos Narrow"/>
        <family val="2"/>
        <charset val="1"/>
      </rPr>
      <t xml:space="preserve">Hu X.</t>
    </r>
    <r>
      <rPr>
        <sz val="11"/>
        <rFont val="Aptos Narrow"/>
        <family val="2"/>
      </rPr>
      <t xml:space="preserve">, </t>
    </r>
    <r>
      <rPr>
        <sz val="11"/>
        <rFont val="Aptos Narrow"/>
        <family val="2"/>
        <charset val="1"/>
      </rPr>
      <t xml:space="preserve">Luo J.</t>
    </r>
    <r>
      <rPr>
        <sz val="11"/>
        <rFont val="Aptos Narrow"/>
        <family val="2"/>
      </rPr>
      <t xml:space="preserve">, </t>
    </r>
    <r>
      <rPr>
        <sz val="11"/>
        <rFont val="Aptos Narrow"/>
        <family val="2"/>
        <charset val="1"/>
      </rPr>
      <t xml:space="preserve">Li W.</t>
    </r>
    <r>
      <rPr>
        <sz val="11"/>
        <rFont val="Aptos Narrow"/>
        <family val="2"/>
      </rPr>
      <t xml:space="preserve">, </t>
    </r>
    <r>
      <rPr>
        <sz val="11"/>
        <rFont val="Aptos Narrow"/>
        <family val="2"/>
        <charset val="1"/>
      </rPr>
      <t xml:space="preserve">Wu X.</t>
    </r>
    <r>
      <rPr>
        <sz val="11"/>
        <rFont val="Aptos Narrow"/>
        <family val="2"/>
      </rPr>
      <t xml:space="preserve">, </t>
    </r>
    <r>
      <rPr>
        <sz val="11"/>
        <rFont val="Aptos Narrow"/>
        <family val="2"/>
        <charset val="1"/>
      </rPr>
      <t xml:space="preserve">Duan Y.</t>
    </r>
    <r>
      <rPr>
        <sz val="11"/>
        <rFont val="Aptos Narrow"/>
        <family val="2"/>
      </rPr>
      <t xml:space="preserve">, </t>
    </r>
    <r>
      <rPr>
        <sz val="11"/>
        <rFont val="Aptos Narrow"/>
        <family val="2"/>
        <charset val="1"/>
      </rPr>
      <t xml:space="preserve">Jin F.</t>
    </r>
  </si>
  <si>
    <t xml:space="preserve">Neuroscience</t>
  </si>
  <si>
    <t xml:space="preserve">https://dx.doi.org/10.1016/j.neuroscience.2015.09.033</t>
  </si>
  <si>
    <t xml:space="preserve">A rat study model of depression-driven chronic prostatitis by modulating the PI3K/Akt/mTOR network</t>
  </si>
  <si>
    <t xml:space="preserve">Feng JL, Hou D, Zhao C, Bao BH, Huang SY, Deng S, Meng FC, Zhao Q, Wang B, Li HS, Wang JS.</t>
  </si>
  <si>
    <t xml:space="preserve">Andrologia</t>
  </si>
  <si>
    <t xml:space="preserve">10.1111/and.14488</t>
  </si>
  <si>
    <t xml:space="preserve">1F</t>
  </si>
  <si>
    <t xml:space="preserve">Antidepressant-like effects of albiflorin involved the NO signaling pathway in rats model of chronic restraint stress</t>
  </si>
  <si>
    <t xml:space="preserve">Zhu Ying-Li; Wang Lin-Yuan; Zhao Dan-Ping; Wang Cheng-Long; Zhang Rui; Fei Wen-Ting; Wang Jing-Xia; Zhang Jian-Jun</t>
  </si>
  <si>
    <t xml:space="preserve">CHINESE JOURNAL OF NATURAL MEDICINES</t>
  </si>
  <si>
    <t xml:space="preserve">10.1016/S1875-5364(20)60030-9</t>
  </si>
  <si>
    <t xml:space="preserve">A Comparison Study of Chaihu Shugan San and Fluoxetine on Antidepression and Regulating Blood Rheology Effects with Chronic Restrained Stress Rats</t>
  </si>
  <si>
    <t xml:space="preserve">Qian M, Peng R, Yue C, Yang Z, Zhu H, Liu B, Xie M.</t>
  </si>
  <si>
    <t xml:space="preserve">10.1155/2020/6426383</t>
  </si>
  <si>
    <t xml:space="preserve">1C1&amp;2</t>
  </si>
  <si>
    <t xml:space="preserve">Role of electrophysiological activity and interactions of lateral habenula in the development of depression-like behavior in a chronic restraint stress model</t>
  </si>
  <si>
    <t xml:space="preserve">Wang, Chang; Sun, Yuting; Xing, Yanjie; Liu, Kezhou; Xu, Kedi</t>
  </si>
  <si>
    <t xml:space="preserve">BRAIN RESEARCH</t>
  </si>
  <si>
    <t xml:space="preserve">10.1016/j.brainres.2024.148914</t>
  </si>
  <si>
    <t xml:space="preserve">3C&amp;D</t>
  </si>
  <si>
    <t xml:space="preserve">1% saccharin</t>
  </si>
  <si>
    <t xml:space="preserve">3H</t>
  </si>
  <si>
    <t xml:space="preserve">CRS method taken from cited article</t>
  </si>
  <si>
    <t xml:space="preserve">text &amp; S1e</t>
  </si>
  <si>
    <t xml:space="preserve">"n&gt;9"</t>
  </si>
  <si>
    <t xml:space="preserve">2G</t>
  </si>
  <si>
    <t xml:space="preserve">Effect of traditional Chinese medicine formula Sinisan on chronic restraint stress-induced nonalcoholic fatty liver disease: a rat study</t>
  </si>
  <si>
    <t xml:space="preserve">Cheng F, Ma C, Wang X, Zhai C, Wang G, Xu X, Mu J, Li C, Wang Z, Zhang X, Yue W, Du X, Lian Y, Zhu W, Yin X, Wei Z, Song W, Wang Q.</t>
  </si>
  <si>
    <t xml:space="preserve">BMC Complement Altern Med</t>
  </si>
  <si>
    <t xml:space="preserve">10.1186/s12906-017-1707-2</t>
  </si>
  <si>
    <t xml:space="preserve">Comparative analysis of gut microbiota and fecal metabolome features among multiple depressive animal models</t>
  </si>
  <si>
    <t xml:space="preserve">Liu X, Li X, Teng T, Jiang Y, Xiang Y, Fan L, Yu Y, Zhou X, Xie P.</t>
  </si>
  <si>
    <t xml:space="preserve">10.1016/j.jad.2022.06.088</t>
  </si>
  <si>
    <t xml:space="preserve">Chronic restraint stress alters rat behavior depending on sex and duration of stress</t>
  </si>
  <si>
    <t xml:space="preserve">Pansarim V, Leite-Panissi CRA, Schmidt A.</t>
  </si>
  <si>
    <t xml:space="preserve">Behav Processes</t>
  </si>
  <si>
    <t xml:space="preserve">10.1016/j.beproc.2023.104856</t>
  </si>
  <si>
    <t xml:space="preserve">Data from after 4 weeks of CRS</t>
  </si>
  <si>
    <t xml:space="preserve">Data from after 8 weeks of CRS</t>
  </si>
  <si>
    <t xml:space="preserve">5H</t>
  </si>
  <si>
    <t xml:space="preserve">Mostardeiro V.B.
Assmann C.E.
Schirmann A.A.
da Silveira M.V.
Rambo B.V.C.
Schott M.
Pereira A.D.S.
Miron V.V.
Soares H.W.
Dambros L.V.
Belinazo S.F.
Vidal T.G.
Bagatini M.D.
Schetinger M.R.C.
Morsch V.M.M.</t>
  </si>
  <si>
    <t xml:space="preserve">6-16</t>
  </si>
  <si>
    <t xml:space="preserve">2E</t>
  </si>
  <si>
    <t xml:space="preserve">Shenyu ningshen tablet reduced neuronal damage in the hippocampus of chronic restraint stress model rat by inhibiting A1-reactive astrocytes</t>
  </si>
  <si>
    <t xml:space="preserve">Wang Y, Li S, Chen M, Zeng M, Zhou L, Yao R, Pang B, Xu Y, Cao S, Guo S, Cui X.</t>
  </si>
  <si>
    <t xml:space="preserve">Heliyon</t>
  </si>
  <si>
    <t xml:space="preserve">10.1016/j.heliyon.2024.e28916</t>
  </si>
  <si>
    <t xml:space="preserve">5A</t>
  </si>
  <si>
    <t xml:space="preserve">Acupuncture Ameliorates Depression-Like Behaviors Through Modulating the Neuroinflammation Mediated by TLR4 Signaling Pathway in Rats Exposed to Chronic Restraint Stress</t>
  </si>
  <si>
    <t xml:space="preserve">Jiang H, Long X, Wang Y, Zhang X, Chen L, Yang X, Zhao B, Zhang Y, Chai Y, Bao T.</t>
  </si>
  <si>
    <t xml:space="preserve">10.1007/s12035-023-03737-6</t>
  </si>
  <si>
    <t xml:space="preserve">Chronic restraint stress produces sex-specific behavioral and molecular outcomes in the dorsal and ventral rat hippocampus</t>
  </si>
  <si>
    <t xml:space="preserve">Olave FA, Aguayo FI, Román-Albasini L, Corrales WA, Silva JP, González PI, Lagos S, García MA, Alarcón-Mardones M, Rojas PS, Xu X, Cidlowski JA, Aliaga E, Fiedler J.</t>
  </si>
  <si>
    <t xml:space="preserve">Neurobiol Stress</t>
  </si>
  <si>
    <t xml:space="preserve">10.1016/j.ynstr.2022.100440</t>
  </si>
  <si>
    <t xml:space="preserve">13-15</t>
  </si>
  <si>
    <r>
      <rPr>
        <sz val="11"/>
        <rFont val="Aptos Narrow"/>
        <family val="2"/>
        <charset val="1"/>
      </rPr>
      <t xml:space="preserve">Gao Z.</t>
    </r>
    <r>
      <rPr>
        <sz val="11"/>
        <rFont val="Aptos Narrow"/>
        <family val="2"/>
      </rPr>
      <t xml:space="preserve">, </t>
    </r>
    <r>
      <rPr>
        <sz val="11"/>
        <rFont val="Aptos Narrow"/>
        <family val="2"/>
        <charset val="1"/>
      </rPr>
      <t xml:space="preserve">Luo K.</t>
    </r>
    <r>
      <rPr>
        <sz val="11"/>
        <rFont val="Aptos Narrow"/>
        <family val="2"/>
      </rPr>
      <t xml:space="preserve">, </t>
    </r>
    <r>
      <rPr>
        <sz val="11"/>
        <rFont val="Aptos Narrow"/>
        <family val="2"/>
        <charset val="1"/>
      </rPr>
      <t xml:space="preserve">Hu Y.</t>
    </r>
    <r>
      <rPr>
        <sz val="11"/>
        <rFont val="Aptos Narrow"/>
        <family val="2"/>
      </rPr>
      <t xml:space="preserve">, </t>
    </r>
    <r>
      <rPr>
        <sz val="11"/>
        <rFont val="Aptos Narrow"/>
        <family val="2"/>
        <charset val="1"/>
      </rPr>
      <t xml:space="preserve">Niu Y.</t>
    </r>
    <r>
      <rPr>
        <sz val="11"/>
        <rFont val="Aptos Narrow"/>
        <family val="2"/>
      </rPr>
      <t xml:space="preserve">, </t>
    </r>
    <r>
      <rPr>
        <sz val="11"/>
        <rFont val="Aptos Narrow"/>
        <family val="2"/>
        <charset val="1"/>
      </rPr>
      <t xml:space="preserve">Zhu X.</t>
    </r>
    <r>
      <rPr>
        <sz val="11"/>
        <rFont val="Aptos Narrow"/>
        <family val="2"/>
      </rPr>
      <t xml:space="preserve">, </t>
    </r>
    <r>
      <rPr>
        <sz val="11"/>
        <rFont val="Aptos Narrow"/>
        <family val="2"/>
        <charset val="1"/>
      </rPr>
      <t xml:space="preserve">Li S.</t>
    </r>
    <r>
      <rPr>
        <sz val="11"/>
        <rFont val="Aptos Narrow"/>
        <family val="2"/>
      </rPr>
      <t xml:space="preserve">, </t>
    </r>
    <r>
      <rPr>
        <sz val="11"/>
        <rFont val="Aptos Narrow"/>
        <family val="2"/>
        <charset val="1"/>
      </rPr>
      <t xml:space="preserve">Zhang H.</t>
    </r>
  </si>
  <si>
    <t xml:space="preserve">7K</t>
  </si>
  <si>
    <t xml:space="preserve">Electroacupuncture prevents depression via PINK1/Parkin-driven suppression of NLRP3 activation</t>
  </si>
  <si>
    <t xml:space="preserve">Li Z, Huang J, Zhang J, Tian B, Guo Y, Zhou X, Mao X, Wang Z, Tian F, Gou C, Mou Q.</t>
  </si>
  <si>
    <t xml:space="preserve">10.1016/j.brainresbull.2025.111609</t>
  </si>
  <si>
    <t xml:space="preserve">Mechanistic analysis of erectile dysfunction in a depression rat model</t>
  </si>
  <si>
    <t xml:space="preserve">Hong ZM, Chen ZL, Feng JL, Wang SJ, Qiu JF, Zeng YL, Wang Q, Wang JS.</t>
  </si>
  <si>
    <t xml:space="preserve">J Int Med Res</t>
  </si>
  <si>
    <t xml:space="preserve">10.1177/03000605221100334</t>
  </si>
  <si>
    <t xml:space="preserve">Novel hippocampal genes involved in enhanced susceptibility to chronic pain-induced behavioral emotionality.</t>
  </si>
  <si>
    <t xml:space="preserve">Garman A.
Ash A.M.
Kokkinos E.K.
Nerland D.
Winter L.
Langreck C.B.
Forgette M.L.
Girgenti M.J.
Banasr M.
Duric V.</t>
  </si>
  <si>
    <t xml:space="preserve">European Journal of Pharmacology</t>
  </si>
  <si>
    <t xml:space="preserve">https://dx.doi.org/10.1016/j.ejphar.2023.176273</t>
  </si>
  <si>
    <t xml:space="preserve">Study of Antidepressant-Like Effects of Albiflorin and Paeoniflorin Through Metabolomics From the Perspective of Cancer-Related Depression</t>
  </si>
  <si>
    <t xml:space="preserve">Zhao D, Zhang J, Zhu Y, He C, Fei W, Yue N, Wang C, Wang L.</t>
  </si>
  <si>
    <t xml:space="preserve">Front Neurol</t>
  </si>
  <si>
    <t xml:space="preserve">10.3389/fneur.2022.828612</t>
  </si>
  <si>
    <t xml:space="preserve">Anti-oxidant and anti-apoptotic effects of gamma-oryzanol on male reproductive function in chronic restraint stress in rats.</t>
  </si>
  <si>
    <r>
      <rPr>
        <sz val="11"/>
        <rFont val="Aptos Narrow"/>
        <family val="2"/>
        <charset val="1"/>
      </rPr>
      <t xml:space="preserve">Alizadeh M.</t>
    </r>
    <r>
      <rPr>
        <sz val="11"/>
        <rFont val="Aptos Narrow"/>
        <family val="2"/>
      </rPr>
      <t xml:space="preserve">, </t>
    </r>
    <r>
      <rPr>
        <sz val="11"/>
        <rFont val="Aptos Narrow"/>
        <family val="2"/>
        <charset val="1"/>
      </rPr>
      <t xml:space="preserve">Moshtagh S.</t>
    </r>
    <r>
      <rPr>
        <sz val="11"/>
        <rFont val="Aptos Narrow"/>
        <family val="2"/>
      </rPr>
      <t xml:space="preserve">, </t>
    </r>
    <r>
      <rPr>
        <sz val="11"/>
        <rFont val="Aptos Narrow"/>
        <family val="2"/>
        <charset val="1"/>
      </rPr>
      <t xml:space="preserve">Amir S.A.</t>
    </r>
    <r>
      <rPr>
        <sz val="11"/>
        <rFont val="Aptos Narrow"/>
        <family val="2"/>
      </rPr>
      <t xml:space="preserve">, </t>
    </r>
    <r>
      <rPr>
        <sz val="11"/>
        <rFont val="Aptos Narrow"/>
        <family val="2"/>
        <charset val="1"/>
      </rPr>
      <t xml:space="preserve">Jeddi M.</t>
    </r>
    <r>
      <rPr>
        <sz val="11"/>
        <rFont val="Aptos Narrow"/>
        <family val="2"/>
      </rPr>
      <t xml:space="preserve">, </t>
    </r>
    <r>
      <rPr>
        <sz val="11"/>
        <rFont val="Aptos Narrow"/>
        <family val="2"/>
        <charset val="1"/>
      </rPr>
      <t xml:space="preserve">Tahmasebzadeh S.</t>
    </r>
    <r>
      <rPr>
        <sz val="11"/>
        <rFont val="Aptos Narrow"/>
        <family val="2"/>
      </rPr>
      <t xml:space="preserve">, </t>
    </r>
    <r>
      <rPr>
        <sz val="11"/>
        <rFont val="Aptos Narrow"/>
        <family val="2"/>
        <charset val="1"/>
      </rPr>
      <t xml:space="preserve">Radman G.</t>
    </r>
    <r>
      <rPr>
        <sz val="11"/>
        <rFont val="Aptos Narrow"/>
        <family val="2"/>
      </rPr>
      <t xml:space="preserve">, </t>
    </r>
    <r>
      <rPr>
        <sz val="11"/>
        <rFont val="Aptos Narrow"/>
        <family val="2"/>
        <charset val="1"/>
      </rPr>
      <t xml:space="preserve">Bagheri A.</t>
    </r>
    <r>
      <rPr>
        <sz val="11"/>
        <rFont val="Aptos Narrow"/>
        <family val="2"/>
      </rPr>
      <t xml:space="preserve">, </t>
    </r>
    <r>
      <rPr>
        <sz val="11"/>
        <rFont val="Aptos Narrow"/>
        <family val="2"/>
        <charset val="1"/>
      </rPr>
      <t xml:space="preserve">Bagheri Y.</t>
    </r>
    <r>
      <rPr>
        <sz val="11"/>
        <rFont val="Aptos Narrow"/>
        <family val="2"/>
      </rPr>
      <t xml:space="preserve">, </t>
    </r>
    <r>
      <rPr>
        <sz val="11"/>
        <rFont val="Aptos Narrow"/>
        <family val="2"/>
        <charset val="1"/>
      </rPr>
      <t xml:space="preserve">Shahabinejad N.</t>
    </r>
  </si>
  <si>
    <t xml:space="preserve">Avicenna Journal of Phytomedicine</t>
  </si>
  <si>
    <t xml:space="preserve">https://dx.doi.org/10.22038/AJP.2024.24819</t>
  </si>
  <si>
    <t xml:space="preserve">3A-b</t>
  </si>
  <si>
    <t xml:space="preserve">Acupuncture Ameliorates Depressive Behaviors by Modulating the Expression of Hippocampal Iba-1 and HMGB1 in Rats Exposed to Chronic Restraint Stress.</t>
  </si>
  <si>
    <t xml:space="preserve">Chen L.
Jiang H.
Bao T.
Wang Y.
Meng H.
Sun Y.
Liu P.
Quan S.
Li W.
Qi S.
Ren X.</t>
  </si>
  <si>
    <t xml:space="preserve">Frontiers in Psychiatry</t>
  </si>
  <si>
    <t xml:space="preserve">https://dx.doi.org/10.3389/fpsyt.2022.903004</t>
  </si>
  <si>
    <t xml:space="preserve">3A/B</t>
  </si>
  <si>
    <t xml:space="preserve">KXS Balances the Tryptophan Metabolism in Mild to Moderate Depressed Patients and Chronic Restraint Stress Induced Depressive Rats</t>
  </si>
  <si>
    <t xml:space="preserve">Wang Y, Li X, Jing R, Yang W, Wang Y, Wang C, Yao L, Cui X, Hu Y.</t>
  </si>
  <si>
    <t xml:space="preserve">Neuropsychiatr Dis Treat</t>
  </si>
  <si>
    <t xml:space="preserve">10.2147/NDT.S377982</t>
  </si>
  <si>
    <t xml:space="preserve">SPT pre-screen done</t>
  </si>
  <si>
    <t xml:space="preserve">Investigation of the Underlying Mechanism of Depression on Male Infertility: A Bioinformatics and Experimental Research Study</t>
  </si>
  <si>
    <t xml:space="preserve">Zhao, Qi; Yan, Fei; Ma, Chuan; Feng, Junlong; Deng, Sheng; Zhao, Cong; Zhang, Huanan; Li, Haisong; Wang, Bin; Wang, Jisheng</t>
  </si>
  <si>
    <t xml:space="preserve">ANDROLOGIA</t>
  </si>
  <si>
    <t xml:space="preserve">10.1155/2023/2820367</t>
  </si>
  <si>
    <t xml:space="preserve">4-5</t>
  </si>
  <si>
    <t xml:space="preserve">Genome-wide transcriptome analysis of hippocampus in rats indicated that TLR/NLR signaling pathway was involved in the pathogenisis of depressive disorder induced by chronic restraint stress</t>
  </si>
  <si>
    <t xml:space="preserve">Wang, Yu; Jiang, Huili; Meng, Hong; Lu, Jun; Li, Jing; Zhang, Xuhui; Yang, Xinjing; Zhao, Bingcong; Sun, Yang; Bao, Tuya</t>
  </si>
  <si>
    <t xml:space="preserve">BRAIN RESEARCH BULLETIN</t>
  </si>
  <si>
    <t xml:space="preserve">10.1016/j.brainresbull.2017.07.021</t>
  </si>
  <si>
    <t xml:space="preserve">Molecular-level effects of acupuncture on depression: a genome-wide transcriptome analysis of pituitary gland in rats exposed to chronic restraint stress</t>
  </si>
  <si>
    <t xml:space="preserve">Wang Y, Jiang H, Li J, Yang X, Zhao B, Yu Q, Liang X, Bao T, Meng H.</t>
  </si>
  <si>
    <t xml:space="preserve">J Tradit Chin Med</t>
  </si>
  <si>
    <t xml:space="preserve">https://www.sciencedirect.com/science/article/pii/S0254627217301553?via%3Dihub</t>
  </si>
  <si>
    <t xml:space="preserve">Y axis mislabeled?</t>
  </si>
  <si>
    <t xml:space="preserve">1A1/2</t>
  </si>
  <si>
    <t xml:space="preserve">Differences in DNA Methylation Reprogramming Underlie the Sexual Dimorphism of Behavioral Disorder Caused by Prenatal Stress in Rats</t>
  </si>
  <si>
    <t xml:space="preserve">Lei, Lei; Wu, Xinmiao; Gu, Hanwen; Ji, Muhuo; Yang, Jianjun</t>
  </si>
  <si>
    <t xml:space="preserve">FRONTIERS IN NEUROSCIENCE</t>
  </si>
  <si>
    <t xml:space="preserve">10.3389/fnins.2020.573107</t>
  </si>
  <si>
    <t xml:space="preserve">Pregnant females restrained from GD12-18</t>
  </si>
  <si>
    <r>
      <rPr>
        <sz val="11"/>
        <rFont val="Aptos Narrow"/>
        <family val="2"/>
        <charset val="1"/>
      </rPr>
      <t xml:space="preserve">Arab H.H.</t>
    </r>
    <r>
      <rPr>
        <sz val="11"/>
        <rFont val="Aptos Narrow"/>
        <family val="2"/>
      </rPr>
      <t xml:space="preserve">, </t>
    </r>
    <r>
      <rPr>
        <sz val="11"/>
        <rFont val="Aptos Narrow"/>
        <family val="2"/>
        <charset val="1"/>
      </rPr>
      <t xml:space="preserve">Khames A.</t>
    </r>
    <r>
      <rPr>
        <sz val="11"/>
        <rFont val="Aptos Narrow"/>
        <family val="2"/>
      </rPr>
      <t xml:space="preserve">, </t>
    </r>
    <r>
      <rPr>
        <sz val="11"/>
        <rFont val="Aptos Narrow"/>
        <family val="2"/>
        <charset val="1"/>
      </rPr>
      <t xml:space="preserve">Mohammad M.K.</t>
    </r>
    <r>
      <rPr>
        <sz val="11"/>
        <rFont val="Aptos Narrow"/>
        <family val="2"/>
      </rPr>
      <t xml:space="preserve">, </t>
    </r>
    <r>
      <rPr>
        <sz val="11"/>
        <rFont val="Aptos Narrow"/>
        <family val="2"/>
        <charset val="1"/>
      </rPr>
      <t xml:space="preserve">Alsufyani S.E.</t>
    </r>
    <r>
      <rPr>
        <sz val="11"/>
        <rFont val="Aptos Narrow"/>
        <family val="2"/>
      </rPr>
      <t xml:space="preserve">, </t>
    </r>
    <r>
      <rPr>
        <sz val="11"/>
        <rFont val="Aptos Narrow"/>
        <family val="2"/>
        <charset val="1"/>
      </rPr>
      <t xml:space="preserve">Ashour A.M.</t>
    </r>
    <r>
      <rPr>
        <sz val="11"/>
        <rFont val="Aptos Narrow"/>
        <family val="2"/>
      </rPr>
      <t xml:space="preserve">, </t>
    </r>
    <r>
      <rPr>
        <sz val="11"/>
        <rFont val="Aptos Narrow"/>
        <family val="2"/>
        <charset val="1"/>
      </rPr>
      <t xml:space="preserve">El-Sheikh A.A.K.</t>
    </r>
    <r>
      <rPr>
        <sz val="11"/>
        <rFont val="Aptos Narrow"/>
        <family val="2"/>
      </rPr>
      <t xml:space="preserve">, </t>
    </r>
    <r>
      <rPr>
        <sz val="11"/>
        <rFont val="Aptos Narrow"/>
        <family val="2"/>
        <charset val="1"/>
      </rPr>
      <t xml:space="preserve">Darwish H.W.</t>
    </r>
    <r>
      <rPr>
        <sz val="11"/>
        <rFont val="Aptos Narrow"/>
        <family val="2"/>
      </rPr>
      <t xml:space="preserve">, </t>
    </r>
    <r>
      <rPr>
        <sz val="11"/>
        <rFont val="Aptos Narrow"/>
        <family val="2"/>
        <charset val="1"/>
      </rPr>
      <t xml:space="preserve">Gad A.M.</t>
    </r>
  </si>
  <si>
    <t xml:space="preserve">Exploring pathogenesis and biomarkers through establishment of a rat model of male infertility with liver depression and kidney deficiency</t>
  </si>
  <si>
    <t xml:space="preserve">Shen Y, Fan J, Liu S, Tao L, Yang Q, Shen X.</t>
  </si>
  <si>
    <t xml:space="preserve">10.1371/journal.pone.0303189</t>
  </si>
  <si>
    <t xml:space="preserve">Limited SPT data provided</t>
  </si>
  <si>
    <t xml:space="preserve">Ketamine induces rapid antidepressant effects via the autophagy-NLRP3 inflammasome pathway</t>
  </si>
  <si>
    <t xml:space="preserve">Lyu D, Wang F, Zhang M, Yang W, Huang H, Huang Q, Wu C, Qian N, Wang M, Zhang H, Zheng S, Chen J, Fu Y, Zhang C, Li Z, Hong W.</t>
  </si>
  <si>
    <t xml:space="preserve">10.1007/s00213-022-06201-w</t>
  </si>
  <si>
    <t xml:space="preserve">S1</t>
  </si>
  <si>
    <t xml:space="preserve">8-12</t>
  </si>
  <si>
    <t xml:space="preserve">3B&amp;C</t>
  </si>
  <si>
    <t xml:space="preserve">Effects of Achillea tenuifolia Lam. hydro-alcoholic extract on anxiety-like behavior and reproductive parameters in rat model of chronic restraint stress</t>
  </si>
  <si>
    <t xml:space="preserve">Bagheri Y, Fathi E, Maghoul A, Moshtagh S, Mokhtari K, Abdollahpour A, Montazersaheb S, Bagheri A.</t>
  </si>
  <si>
    <t xml:space="preserve">Hum Exp Toxicol</t>
  </si>
  <si>
    <t xml:space="preserve">10.1177/09603271211026723</t>
  </si>
  <si>
    <t xml:space="preserve">Chronic stress associated with hypercaloric diet changes the hippocampal BDNF levels in male Wistar rats</t>
  </si>
  <si>
    <t xml:space="preserve">Macedo, I. C.; Rozisky, J. R.; Oliveira, C.; Oliveira, C. M.; Laste, G.; Nonose, Y.; Santos, V. S.; Marques, P. R.; Ribeiro, M. F. M.; Caumo, W.; Torres, I. L. S.</t>
  </si>
  <si>
    <t xml:space="preserve">10.1016/j.npep.2015.01.002</t>
  </si>
  <si>
    <t xml:space="preserve">restrained daily on Mon-Fri each week for 12 weeks</t>
  </si>
  <si>
    <t xml:space="preserve">CONTROL (time spent in open arms (sec or %))</t>
  </si>
  <si>
    <t xml:space="preserve">TEST (time spent in open arms (sec or %))</t>
  </si>
  <si>
    <t xml:space="preserve">EPM total time (min)</t>
  </si>
  <si>
    <t xml:space="preserve">Lateralization of the 5-HT1A receptors in the basolateral amygdala in metabolic and anxiety responses to chronic restraint stress</t>
  </si>
  <si>
    <t xml:space="preserve">Valipour, Habib; Meftahi, Gholam Hossein; Jahromi, Gila Pirzad; Mohammadi, Alireza</t>
  </si>
  <si>
    <t xml:space="preserve">AMINO ACIDS</t>
  </si>
  <si>
    <t xml:space="preserve">10.1007/s00726-023-03380-4</t>
  </si>
  <si>
    <t xml:space="preserve">Quercetin ameliorates cognitive deficit, expression of amyloid precursor gene, and pro-inflammatory cytokines in an experimental models of Alzheimer's disease in Wistar rats</t>
  </si>
  <si>
    <t xml:space="preserve">Safarzadeh, Elham; Ataei, Sina; Akbari, Mehdi; Abolhasani, Rozita; Baziar, Milad; Asghariazar, Vahid; Dadkhah, Masoomeh</t>
  </si>
  <si>
    <t xml:space="preserve">EXPERIMENTAL GERONTOLOGY</t>
  </si>
  <si>
    <t xml:space="preserve">10.1016/j.exger.2024.112466</t>
  </si>
  <si>
    <t xml:space="preserve">Liang S.
Wang T.
Hu X.
Luo J.
Li W.
Wu X.
Duan Y.
Jin F.</t>
  </si>
  <si>
    <t xml:space="preserve">Inhibition of prefrontal glutamatergic neuron activity during the recovery period following chronic stress disrupts fear memory in male rats: potential role of the infralimbic cortex</t>
  </si>
  <si>
    <t xml:space="preserve">Judd, Jessica M.; Peay, Dylan N.; Kim, Jinah L.; Smith, Elliot A.; Donnay, Megan E.; Miller, Joel; Klein, Jean-Paul; Nagy, Erin K.; Acuna, Amanda M.; Olive, M. Foster; Conrad, Cheryl D.</t>
  </si>
  <si>
    <t xml:space="preserve">LEARNING &amp; MEMORY</t>
  </si>
  <si>
    <t xml:space="preserve">10.1101/lm.053957.124</t>
  </si>
  <si>
    <t xml:space="preserve">Short-term antidepressant treatment has long-lasting effects, and reverses stress-induced decreases in bone features in rats.</t>
  </si>
  <si>
    <t xml:space="preserve">Lee S.H.
Mastronardi C.A.
Li R.W.
Paz-Filho G.
Dutcher E.G.
Lewis M.D.
Vincent A.D.
Smith P.N.
Bornstein S.R.
Licinio J.
Wong M.L.</t>
  </si>
  <si>
    <t xml:space="preserve">https://dx.doi.org/10.1038/s41398-018-0351-z</t>
  </si>
  <si>
    <t xml:space="preserve">Chronic stress elicits sex-specific mitochondrial respiratory functional changes in the rat heart</t>
  </si>
  <si>
    <t xml:space="preserve">Odendaal-Gambrell CP, O'Brien C, Cairns M, Maarman GJ, Joseph DE, Smith C, Rautenbach F, Marnewick JL, Essop MF.</t>
  </si>
  <si>
    <t xml:space="preserve">Physiol Rep</t>
  </si>
  <si>
    <t xml:space="preserve">10.14814/phy2.70371</t>
  </si>
  <si>
    <t xml:space="preserve">Table 3</t>
  </si>
  <si>
    <t xml:space="preserve">4D</t>
  </si>
  <si>
    <t xml:space="preserve">NMDAR and JNK Activation in the Spinal Trigeminal Nucleus Caudalis Contributes to Masseter Hyperalgesia Induced by Stress</t>
  </si>
  <si>
    <t xml:space="preserve">Lin, Wenqing; Zhao, Yajuan; Cheng, Baixiang; Zhao, Haidan; Miao, Li; Li, Qiang; Chen, Yongjin; Zhang, Min</t>
  </si>
  <si>
    <t xml:space="preserve">FRONTIERS IN CELLULAR NEUROSCIENCE</t>
  </si>
  <si>
    <t xml:space="preserve">10.3389/fncel.2019.00495</t>
  </si>
  <si>
    <t xml:space="preserve">A study of neurobehavioral and biochemical activities of Acorus Calamus Linn. On restraint stressed wistar rats.</t>
  </si>
  <si>
    <t xml:space="preserve">Subamalani S.
Sasikumar A.
Manikandan S.
Ramaswamy C.</t>
  </si>
  <si>
    <t xml:space="preserve">International Journal of Pharmaceutical Sciences and Research</t>
  </si>
  <si>
    <t xml:space="preserve">https://dx.doi.org/10.13040/IJPSR.0975-8232.9%2811%29.4832-41</t>
  </si>
  <si>
    <t xml:space="preserve">Hippocampal orexin receptor blocking prevented the stress induced social learning and memory deficits</t>
  </si>
  <si>
    <t xml:space="preserve">Bahramzadeh Zoeram S, Elahdadi Salmani M, Lashkarbolouki T, Goudarzi I.</t>
  </si>
  <si>
    <t xml:space="preserve">Neurobiol Learn Mem</t>
  </si>
  <si>
    <t xml:space="preserve">10.1016/j.nlm.2018.11.009</t>
  </si>
  <si>
    <t xml:space="preserve">12-13</t>
  </si>
  <si>
    <t xml:space="preserve">11-12</t>
  </si>
  <si>
    <t xml:space="preserve">Divergent effects of noradrenergic activation and orexin receptor 1 blockade on hippocampal structure, anxiety-like behavior, and social interaction following chronic stress</t>
  </si>
  <si>
    <t xml:space="preserve">Sarfi, Masoumeh; Salmani, Mahmoud Elahdadi; Lashkarbolouki, Taghi; Goudarzi, Iran</t>
  </si>
  <si>
    <t xml:space="preserve">PHARMACOLOGY BIOCHEMISTRY AND BEHAVIOR</t>
  </si>
  <si>
    <t xml:space="preserve">10.1016/j.pbb.2025.173997</t>
  </si>
  <si>
    <t xml:space="preserve">Pre-clinical Investigations of Therapeutic Markers Associated with Acute and Chronic Restraint Stress: A Nuclear Magnetic Resonance Based Contrast Metabolic Approach</t>
  </si>
  <si>
    <t xml:space="preserve">Singh, Sanjay; Tripathy, Sukanya; Rawat, Atul; Dubey, Durgesh; Siddiqui, Sarfraj Ahmad; Ugale, Rajesh; Kumar, Dinesh; Prakash, Anand</t>
  </si>
  <si>
    <t xml:space="preserve">Nanotheranostics</t>
  </si>
  <si>
    <t xml:space="preserve">10.7150/ntno.76294</t>
  </si>
  <si>
    <t xml:space="preserve">Effects of Limonene on Chronic Restraint Stress-Induced Memory Impairment and Anxiety in Male Rats</t>
  </si>
  <si>
    <t xml:space="preserve">Bigdeli, Y.; Asle-Rousta, M.; Rahnema, M.</t>
  </si>
  <si>
    <t xml:space="preserve">10.1007/s11062-019-09800-0</t>
  </si>
  <si>
    <t xml:space="preserve">Ciproxifan differentially modifies cognitive impairment evoked by chronic stress and chronic corticosterone administration in rats</t>
  </si>
  <si>
    <t xml:space="preserve">Trofimiuk, Emil; Braszko, Jan J.</t>
  </si>
  <si>
    <t xml:space="preserve">10.1016/j.bbr.2015.01.038</t>
  </si>
  <si>
    <t xml:space="preserve">Wistar-Crl:WI(Han)</t>
  </si>
  <si>
    <t xml:space="preserve">Strain Differences in Responsiveness to Repeated Restraint Stress Affect Remote Contextual Fear Memory and Blood Transcriptomics</t>
  </si>
  <si>
    <t xml:space="preserve">Jung SH, Meckes JK, Schipma MJ, Lim PH, Jenz ST, Przybyl K, Wert SL, Kim S, Luo W, Gacek SA, Jankord R, Hatcher-Solis C, Redei EE.</t>
  </si>
  <si>
    <t xml:space="preserve">10.1016/j.neuroscience.2020.07.052</t>
  </si>
  <si>
    <t xml:space="preserve">F334</t>
  </si>
  <si>
    <t xml:space="preserve">2N</t>
  </si>
  <si>
    <t xml:space="preserve">Angiotensin (1-7) through modulation of the NMDAR-nNOS-NO pathway and serotonergic metabolism exerts an anxiolytic-like effect in rats</t>
  </si>
  <si>
    <t xml:space="preserve">Zhu, Donglin; Sun, Ming; Liu, Qinqin; Yue, Yu; Lu, Jie; Lin, Xingjian; Shi, Jingping</t>
  </si>
  <si>
    <t xml:space="preserve">10.1016/j.bbr.2020.112671</t>
  </si>
  <si>
    <t xml:space="preserve">Transcranial Direct Current Stimulation (tDCS) Promotes state-dependent Effects on Neuroinflammatory and Behavioral Parameters in rats Chronically Exposed to Stress and a Hyper-Palatable Diet</t>
  </si>
  <si>
    <t xml:space="preserve">de Castro, Josimar Macedo; de Freitas, Joice Soares; Stein, Dirson Joao; de Macedo, Isabel Cristina; Caumo, Wolnei; Torres, Iraci L. S.</t>
  </si>
  <si>
    <t xml:space="preserve">10.1007/s11064-023-03965-1</t>
  </si>
  <si>
    <t xml:space="preserve">Gallic acid ameliorates behavioral dysfunction, oxidative damage, and neuronal loss in the prefrontal cortex and hippocampus in stressed rats</t>
  </si>
  <si>
    <t xml:space="preserve">Meftahi, Gholam Hossein; Aboutaleb, Nahid</t>
  </si>
  <si>
    <t xml:space="preserve">JOURNAL OF CHEMICAL NEUROANATOMY</t>
  </si>
  <si>
    <t xml:space="preserve">10.1016/j.jchemneu.2023.102364</t>
  </si>
  <si>
    <t xml:space="preserve">Effects of morphine on stress induced anxiety in rats: Role of nitric oxide and Hsp70</t>
  </si>
  <si>
    <t xml:space="preserve">Joshi, Jagdish C.; Ray, Arunabha; Gulati, Kavita</t>
  </si>
  <si>
    <t xml:space="preserve">PHYSIOLOGY &amp; BEHAVIOR</t>
  </si>
  <si>
    <t xml:space="preserve">10.1016/j.physbeh.2014.11.056</t>
  </si>
  <si>
    <t xml:space="preserve">Altered Serotonin 5HT-1B Receptor Expression Regulate Sex-dependent Difference for Stress and Anxiety</t>
  </si>
  <si>
    <t xml:space="preserve">Siddiqui, Sarfraj Ahmad; Singh, Sanjay; Ahmad, Mohammad Kaleem; Arshad, Md</t>
  </si>
  <si>
    <t xml:space="preserve">BASIC AND CLINICAL NEUROSCIENCE</t>
  </si>
  <si>
    <t xml:space="preserve">10.32598/bcn.2024.4222.1</t>
  </si>
  <si>
    <t xml:space="preserve">Supp Fig 2 </t>
  </si>
  <si>
    <t xml:space="preserve">Supp Fig 3</t>
  </si>
  <si>
    <t xml:space="preserve">Anxiety and ultrastructural consequences of chronic mild stress in rats</t>
  </si>
  <si>
    <t xml:space="preserve">Zhvania, Mzia; Japaridze, Nadezhda; Tizabi, Yousef; Sharikadze, Irina; Pochkhidze, Nino; Cheishvili, Levan</t>
  </si>
  <si>
    <t xml:space="preserve">10.1016/j.neulet.2021.136390</t>
  </si>
  <si>
    <t xml:space="preserve">5D</t>
  </si>
  <si>
    <t xml:space="preserve">Median given</t>
  </si>
  <si>
    <t xml:space="preserve">Chronic Restraint Stress Induced Neurobehavioral Alterations and Histological Changes in Rat</t>
  </si>
  <si>
    <t xml:space="preserve">Guedri, Kamilia; Frih, Hacene; Chettoum, Aziez; Rouabhi, Rachid</t>
  </si>
  <si>
    <t xml:space="preserve">Toxicology and Environmental Health Sciences</t>
  </si>
  <si>
    <t xml:space="preserve">10.1007/s13530-017-0312-6</t>
  </si>
  <si>
    <t xml:space="preserve">Sub-chronic administration of St. John's wort reverses anxiety- and depressive-like behaviors induced by two different protocols of chronic stress</t>
  </si>
  <si>
    <t xml:space="preserve">Rojas-Carvajal, Mijail; Fornaguera, Jaime; Badilla, Sandra; Brenes, Juan C.; Calvo, Maria F.</t>
  </si>
  <si>
    <t xml:space="preserve">REVISTA MEXICANA DE NEUROCIENCIA</t>
  </si>
  <si>
    <t xml:space="preserve">https://www.researchgate.net/publication/319472376_Sub-chronic_administration_of_St_John's_wort_reverses_anxiety-_and_depressive-like_behaviors_induced_by_two_different_protocols_of_chronic_stress</t>
  </si>
  <si>
    <t xml:space="preserve">restraint stress applied "every other day"</t>
  </si>
  <si>
    <t xml:space="preserve">Effect of Restraint Stress on Plasma PTH Concentration and Its Molecular Targets Expressions in Wistar Rats</t>
  </si>
  <si>
    <t xml:space="preserve">Terzioglu-Usak S, Elibol B, Dalli T, Guler C, Aysan E.</t>
  </si>
  <si>
    <t xml:space="preserve">Int J Endocrinol Metab</t>
  </si>
  <si>
    <t xml:space="preserve">10.5812/ijem.66979</t>
  </si>
  <si>
    <t xml:space="preserve">6B</t>
  </si>
  <si>
    <t xml:space="preserve">Glucocorticoid alleviates hypothalamic nerve injury via remodeling HPA axis homeostasis in stressed rats</t>
  </si>
  <si>
    <t xml:space="preserve">Yi S, Zhao B, Wei L, Yao Z, Yang B.</t>
  </si>
  <si>
    <t xml:space="preserve">10.1016/j.bbr.2024.115223</t>
  </si>
  <si>
    <t xml:space="preserve">Comparative effects of the alcoholic extract of Terminalia chebula and crocin on stress-induced anxiety-like behavior and memory impairment in male rats</t>
  </si>
  <si>
    <t xml:space="preserve">Jahromi, Gila Pirzad; Jangravi, Zohreh; Hadipour, Mohammadmehdi; Shirvani, Hossein; Afarinesh, Mohammad Reza; Meftahi, Gholam Hossein</t>
  </si>
  <si>
    <t xml:space="preserve">10.55782/ane-2023-016</t>
  </si>
  <si>
    <t xml:space="preserve">Chronic restraint stress induces anxiety-like behavior and remodeling of dendritic spines in the central nucleus of the amygdala</t>
  </si>
  <si>
    <t xml:space="preserve">Moreno-Martinez, Saidel; Tendilla-Beltran, Hiram; Sandoval, Vicente; Flores, Gonzalo; Terron, Jose A.</t>
  </si>
  <si>
    <t xml:space="preserve">10.1016/j.bbr.2021.113523</t>
  </si>
  <si>
    <t xml:space="preserve">2B&amp;E</t>
  </si>
  <si>
    <t xml:space="preserve">Metabolomic characteristics of spontaneously hypertensive rats under chronic stress and the treatment effect of Danzhi Xiaoyao Powder, a traditional Chinese medicine formula.</t>
  </si>
  <si>
    <t xml:space="preserve">Chen S.
Hu J.
Lu D.-C.
Liu H.-Y.
Wei S.-S.</t>
  </si>
  <si>
    <t xml:space="preserve">Journal of Integrative Medicine</t>
  </si>
  <si>
    <t xml:space="preserve">https://dx.doi.org/10.1016/j.joim.2021.11.007</t>
  </si>
  <si>
    <t xml:space="preserve">"Spontaneously Hypertensive Rat"</t>
  </si>
  <si>
    <t xml:space="preserve">Environmental enrichment prevents acute restraint stress-induced anxiety-related behavior but not changes in basolateral amygdala spine density</t>
  </si>
  <si>
    <t xml:space="preserve">Novaes, Leonardo Santana; dos Santos, Nilton Barreto; Perfetto, Juliano Genaro; Goosens, Ki Ann; Munhoz, Carolina Demarchi</t>
  </si>
  <si>
    <t xml:space="preserve">PSYCHONEUROENDOCRINOLOGY</t>
  </si>
  <si>
    <t xml:space="preserve">10.1016/j.psyneuen.2018.07.031</t>
  </si>
  <si>
    <t xml:space="preserve">8.5</t>
  </si>
  <si>
    <t xml:space="preserve">10-14</t>
  </si>
  <si>
    <t xml:space="preserve">Data_Sheet_1_Tetramethylpyrazine Alleviates Behavioral and Psychological Symptoms of Dementia Through Facilitating Hippocampal Synaptic Plasticity in Rats With Chronic Cerebral Hypoperfusion.DOCX</t>
  </si>
  <si>
    <t xml:space="preserve">Tan, Zihu; Qiu, Jing; Zhang, Yuting; Yang, Qiong; Yin, Xixi; Li, Jia; Liu, Guangya; Li, Hengfei; Yang, Guang</t>
  </si>
  <si>
    <t xml:space="preserve">Figshare</t>
  </si>
  <si>
    <r>
      <rPr>
        <sz val="11"/>
        <rFont val="Aptos Narrow"/>
        <family val="2"/>
        <charset val="1"/>
      </rPr>
      <t xml:space="preserve">Garman A.</t>
    </r>
    <r>
      <rPr>
        <sz val="11"/>
        <rFont val="Aptos Narrow"/>
        <family val="2"/>
      </rPr>
      <t xml:space="preserve">, </t>
    </r>
    <r>
      <rPr>
        <sz val="11"/>
        <rFont val="Aptos Narrow"/>
        <family val="2"/>
        <charset val="1"/>
      </rPr>
      <t xml:space="preserve">Ash A.M.</t>
    </r>
    <r>
      <rPr>
        <sz val="11"/>
        <rFont val="Aptos Narrow"/>
        <family val="2"/>
      </rPr>
      <t xml:space="preserve">, </t>
    </r>
    <r>
      <rPr>
        <sz val="11"/>
        <rFont val="Aptos Narrow"/>
        <family val="2"/>
        <charset val="1"/>
      </rPr>
      <t xml:space="preserve">Kokkinos E.K.</t>
    </r>
    <r>
      <rPr>
        <sz val="11"/>
        <rFont val="Aptos Narrow"/>
        <family val="2"/>
      </rPr>
      <t xml:space="preserve">, </t>
    </r>
    <r>
      <rPr>
        <sz val="11"/>
        <rFont val="Aptos Narrow"/>
        <family val="2"/>
        <charset val="1"/>
      </rPr>
      <t xml:space="preserve">Nerland D.</t>
    </r>
    <r>
      <rPr>
        <sz val="11"/>
        <rFont val="Aptos Narrow"/>
        <family val="2"/>
      </rPr>
      <t xml:space="preserve">, </t>
    </r>
    <r>
      <rPr>
        <sz val="11"/>
        <rFont val="Aptos Narrow"/>
        <family val="2"/>
        <charset val="1"/>
      </rPr>
      <t xml:space="preserve">Winter L.</t>
    </r>
    <r>
      <rPr>
        <sz val="11"/>
        <rFont val="Aptos Narrow"/>
        <family val="2"/>
      </rPr>
      <t xml:space="preserve">, </t>
    </r>
    <r>
      <rPr>
        <sz val="11"/>
        <rFont val="Aptos Narrow"/>
        <family val="2"/>
        <charset val="1"/>
      </rPr>
      <t xml:space="preserve">Langreck C.B.</t>
    </r>
    <r>
      <rPr>
        <sz val="11"/>
        <rFont val="Aptos Narrow"/>
        <family val="2"/>
      </rPr>
      <t xml:space="preserve">, </t>
    </r>
    <r>
      <rPr>
        <sz val="11"/>
        <rFont val="Aptos Narrow"/>
        <family val="2"/>
        <charset val="1"/>
      </rPr>
      <t xml:space="preserve">Forgette M.L.</t>
    </r>
    <r>
      <rPr>
        <sz val="11"/>
        <rFont val="Aptos Narrow"/>
        <family val="2"/>
      </rPr>
      <t xml:space="preserve">, </t>
    </r>
    <r>
      <rPr>
        <sz val="11"/>
        <rFont val="Aptos Narrow"/>
        <family val="2"/>
        <charset val="1"/>
      </rPr>
      <t xml:space="preserve">Girgenti M.J.</t>
    </r>
    <r>
      <rPr>
        <sz val="11"/>
        <rFont val="Aptos Narrow"/>
        <family val="2"/>
      </rPr>
      <t xml:space="preserve">, </t>
    </r>
    <r>
      <rPr>
        <sz val="11"/>
        <rFont val="Aptos Narrow"/>
        <family val="2"/>
        <charset val="1"/>
      </rPr>
      <t xml:space="preserve">Banasr M.</t>
    </r>
    <r>
      <rPr>
        <sz val="11"/>
        <rFont val="Aptos Narrow"/>
        <family val="2"/>
      </rPr>
      <t xml:space="preserve">, </t>
    </r>
    <r>
      <rPr>
        <sz val="11"/>
        <rFont val="Aptos Narrow"/>
        <family val="2"/>
        <charset val="1"/>
      </rPr>
      <t xml:space="preserve">Duric V.</t>
    </r>
  </si>
  <si>
    <t xml:space="preserve">Short-term exposure to enriched environment rescues chronic stress-induced impaired hippocampal synaptic plasticity, anxiety, and memory deficits</t>
  </si>
  <si>
    <t xml:space="preserve">Bhagya, Venkanna Rao; Srikumar, Bettadapura N.; Veena, Jayagopalan; Rao, Byrathnahalli S. Shankaranarayana</t>
  </si>
  <si>
    <t xml:space="preserve">JOURNAL OF NEUROSCIENCE RESEARCH</t>
  </si>
  <si>
    <t xml:space="preserve">10.1002/jnr.23992</t>
  </si>
  <si>
    <t xml:space="preserve">Tetramethylpyrazine Alleviates Behavioral and Psychological Symptoms of Dementia Through Facilitating Hippocampal Synaptic Plasticity in Rats With Chronic Cerebral Hypoperfusion</t>
  </si>
  <si>
    <t xml:space="preserve">Tan Z, Qiu J, Zhang Y, Yang Q, Yin X, Li J, Liu G, Li H, Yang G.</t>
  </si>
  <si>
    <t xml:space="preserve">10.3389/fnins.2021.646537</t>
  </si>
  <si>
    <t xml:space="preserve">3Dc </t>
  </si>
  <si>
    <t xml:space="preserve">Comparing the Effects of Chlorogenic Acid and Ilex paraguariensis Extracts on Different Markers of Brain Alterations in Rats Subjected to Chronic Restraint Stress.</t>
  </si>
  <si>
    <r>
      <rPr>
        <sz val="11"/>
        <rFont val="Aptos Narrow"/>
        <family val="2"/>
        <charset val="1"/>
      </rPr>
      <t xml:space="preserve">de Lima M.E.</t>
    </r>
    <r>
      <rPr>
        <sz val="11"/>
        <rFont val="Aptos Narrow"/>
        <family val="2"/>
      </rPr>
      <t xml:space="preserve">, </t>
    </r>
    <r>
      <rPr>
        <sz val="11"/>
        <rFont val="Aptos Narrow"/>
        <family val="2"/>
        <charset val="1"/>
      </rPr>
      <t xml:space="preserve">Ceolin Colpo A.Z.</t>
    </r>
    <r>
      <rPr>
        <sz val="11"/>
        <rFont val="Aptos Narrow"/>
        <family val="2"/>
      </rPr>
      <t xml:space="preserve">, </t>
    </r>
    <r>
      <rPr>
        <sz val="11"/>
        <rFont val="Aptos Narrow"/>
        <family val="2"/>
        <charset val="1"/>
      </rPr>
      <t xml:space="preserve">Maya-Lopez M.</t>
    </r>
    <r>
      <rPr>
        <sz val="11"/>
        <rFont val="Aptos Narrow"/>
        <family val="2"/>
      </rPr>
      <t xml:space="preserve">, </t>
    </r>
    <r>
      <rPr>
        <sz val="11"/>
        <rFont val="Aptos Narrow"/>
        <family val="2"/>
        <charset val="1"/>
      </rPr>
      <t xml:space="preserve">Rangel-Lopez E.</t>
    </r>
    <r>
      <rPr>
        <sz val="11"/>
        <rFont val="Aptos Narrow"/>
        <family val="2"/>
      </rPr>
      <t xml:space="preserve">, </t>
    </r>
    <r>
      <rPr>
        <sz val="11"/>
        <rFont val="Aptos Narrow"/>
        <family val="2"/>
        <charset val="1"/>
      </rPr>
      <t xml:space="preserve">Becerril-Chavez H.</t>
    </r>
    <r>
      <rPr>
        <sz val="11"/>
        <rFont val="Aptos Narrow"/>
        <family val="2"/>
      </rPr>
      <t xml:space="preserve">, </t>
    </r>
    <r>
      <rPr>
        <sz val="11"/>
        <rFont val="Aptos Narrow"/>
        <family val="2"/>
        <charset val="1"/>
      </rPr>
      <t xml:space="preserve">Galvan-Arzate S.</t>
    </r>
    <r>
      <rPr>
        <sz val="11"/>
        <rFont val="Aptos Narrow"/>
        <family val="2"/>
      </rPr>
      <t xml:space="preserve">, </t>
    </r>
    <r>
      <rPr>
        <sz val="11"/>
        <rFont val="Aptos Narrow"/>
        <family val="2"/>
        <charset val="1"/>
      </rPr>
      <t xml:space="preserve">Villeda-Hernandez J.</t>
    </r>
    <r>
      <rPr>
        <sz val="11"/>
        <rFont val="Aptos Narrow"/>
        <family val="2"/>
      </rPr>
      <t xml:space="preserve">, </t>
    </r>
    <r>
      <rPr>
        <sz val="11"/>
        <rFont val="Aptos Narrow"/>
        <family val="2"/>
        <charset val="1"/>
      </rPr>
      <t xml:space="preserve">Sanchez-Chapul L.</t>
    </r>
    <r>
      <rPr>
        <sz val="11"/>
        <rFont val="Aptos Narrow"/>
        <family val="2"/>
      </rPr>
      <t xml:space="preserve">, </t>
    </r>
    <r>
      <rPr>
        <sz val="11"/>
        <rFont val="Aptos Narrow"/>
        <family val="2"/>
        <charset val="1"/>
      </rPr>
      <t xml:space="preserve">Tunez I.</t>
    </r>
    <r>
      <rPr>
        <sz val="11"/>
        <rFont val="Aptos Narrow"/>
        <family val="2"/>
      </rPr>
      <t xml:space="preserve">, </t>
    </r>
    <r>
      <rPr>
        <sz val="11"/>
        <rFont val="Aptos Narrow"/>
        <family val="2"/>
        <charset val="1"/>
      </rPr>
      <t xml:space="preserve">Folmer V.</t>
    </r>
    <r>
      <rPr>
        <sz val="11"/>
        <rFont val="Aptos Narrow"/>
        <family val="2"/>
      </rPr>
      <t xml:space="preserve">, </t>
    </r>
    <r>
      <rPr>
        <sz val="11"/>
        <rFont val="Aptos Narrow"/>
        <family val="2"/>
        <charset val="1"/>
      </rPr>
      <t xml:space="preserve">Santamaria A.</t>
    </r>
  </si>
  <si>
    <t xml:space="preserve">Neurotoxicity Research</t>
  </si>
  <si>
    <t xml:space="preserve">https://dx.doi.org/10.1007/s12640-018-9963-6</t>
  </si>
  <si>
    <t xml:space="preserve">Effects of chronic stress on rat heart function following regional ischemia: a sex-dependent investigation</t>
  </si>
  <si>
    <t xml:space="preserve">Cairns M, Odendaal C, O'Brien C, Marais E, Oestlund I, Storbeck KH, Sishi B, Joseph D, Smith C, Essop MF.</t>
  </si>
  <si>
    <t xml:space="preserve">Am J Physiol Heart Circ Physiol</t>
  </si>
  <si>
    <t xml:space="preserve">10.1152/ajpheart.00424.2024</t>
  </si>
  <si>
    <t xml:space="preserve">Differential effects of chronic stress on anxiety-like behavior and contextual fear conditioning in the TgF344-AD rat model of Alzheimer's disease</t>
  </si>
  <si>
    <t xml:space="preserve">Pentkowski NS, Bouquin SJ, Maestas-Olguin CR, Villasenor ZM, Clark BJ.</t>
  </si>
  <si>
    <t xml:space="preserve">10.1016/j.bbr.2021.113661</t>
  </si>
  <si>
    <t xml:space="preserve">TgF344-AD (wild type)</t>
  </si>
  <si>
    <t xml:space="preserve">Tarooneh extract relieves anxiety-like behaviors and cognitive deficits by inhibiting synaptic loss in the hippocampus and frontal cortex in rats subjected to chronic restraint stress</t>
  </si>
  <si>
    <t xml:space="preserve">Hadipour M, Refahi S, Jangravi Z, Meftahi GH.</t>
  </si>
  <si>
    <t xml:space="preserve">3 Biotech</t>
  </si>
  <si>
    <t xml:space="preserve">10.1007/s13205-023-03577-0</t>
  </si>
  <si>
    <t xml:space="preserve">An optimized spectrophotometric assay reveals increased activity of enzymes involved in 2-arachidonoyl glycerol turnover in the cerebral cortex of a rat model of Alzheimer's disease</t>
  </si>
  <si>
    <t xml:space="preserve">Rodrigues MS, Ferreira C, Dias C, Pliássova A, Souza L, Ledo A, Laranjinha J, Cunha RA, Köfalvi A.</t>
  </si>
  <si>
    <t xml:space="preserve">10.1111/ejn.14944</t>
  </si>
  <si>
    <t xml:space="preserve">Wistar Han</t>
  </si>
  <si>
    <t xml:space="preserve">Effect of chronic physiological stress on rat oocyte reserve: Role of IGF-1, AMH and Bcl-2</t>
  </si>
  <si>
    <t xml:space="preserve">Ercetin, Deniz; Sapmaz-Metin, Melike; Topuz, Ruhan Deniz</t>
  </si>
  <si>
    <t xml:space="preserve">INDIAN JOURNAL OF EXPERIMENTAL BIOLOGY</t>
  </si>
  <si>
    <t xml:space="preserve">10.56042/ijeb.v61i06.1929</t>
  </si>
  <si>
    <t xml:space="preserve">Seewoo B.J.
Hennessy L.A.
Feindel K.W.
Etherington S.J.
Croarkin P.E.
Rodger J.</t>
  </si>
  <si>
    <r>
      <rPr>
        <sz val="11"/>
        <rFont val="Aptos Narrow"/>
        <family val="2"/>
        <charset val="1"/>
      </rPr>
      <t xml:space="preserve">Bortolasci C.C.</t>
    </r>
    <r>
      <rPr>
        <sz val="11"/>
        <rFont val="Aptos Narrow"/>
        <family val="2"/>
      </rPr>
      <t xml:space="preserve">, </t>
    </r>
    <r>
      <rPr>
        <sz val="11"/>
        <rFont val="Aptos Narrow"/>
        <family val="2"/>
        <charset val="1"/>
      </rPr>
      <t xml:space="preserve">Kidnapillai S.</t>
    </r>
    <r>
      <rPr>
        <sz val="11"/>
        <rFont val="Aptos Narrow"/>
        <family val="2"/>
      </rPr>
      <t xml:space="preserve">, </t>
    </r>
    <r>
      <rPr>
        <sz val="11"/>
        <rFont val="Aptos Narrow"/>
        <family val="2"/>
        <charset val="1"/>
      </rPr>
      <t xml:space="preserve">Spolding B.</t>
    </r>
    <r>
      <rPr>
        <sz val="11"/>
        <rFont val="Aptos Narrow"/>
        <family val="2"/>
      </rPr>
      <t xml:space="preserve">, </t>
    </r>
    <r>
      <rPr>
        <sz val="11"/>
        <rFont val="Aptos Narrow"/>
        <family val="2"/>
        <charset val="1"/>
      </rPr>
      <t xml:space="preserve">Truong T.T.T.</t>
    </r>
    <r>
      <rPr>
        <sz val="11"/>
        <rFont val="Aptos Narrow"/>
        <family val="2"/>
      </rPr>
      <t xml:space="preserve">, </t>
    </r>
    <r>
      <rPr>
        <sz val="11"/>
        <rFont val="Aptos Narrow"/>
        <family val="2"/>
        <charset val="1"/>
      </rPr>
      <t xml:space="preserve">Connor T.</t>
    </r>
    <r>
      <rPr>
        <sz val="11"/>
        <rFont val="Aptos Narrow"/>
        <family val="2"/>
      </rPr>
      <t xml:space="preserve">, </t>
    </r>
    <r>
      <rPr>
        <sz val="11"/>
        <rFont val="Aptos Narrow"/>
        <family val="2"/>
        <charset val="1"/>
      </rPr>
      <t xml:space="preserve">Swinton C.</t>
    </r>
    <r>
      <rPr>
        <sz val="11"/>
        <rFont val="Aptos Narrow"/>
        <family val="2"/>
      </rPr>
      <t xml:space="preserve">, </t>
    </r>
    <r>
      <rPr>
        <sz val="11"/>
        <rFont val="Aptos Narrow"/>
        <family val="2"/>
        <charset val="1"/>
      </rPr>
      <t xml:space="preserve">Panizzutti B.</t>
    </r>
    <r>
      <rPr>
        <sz val="11"/>
        <rFont val="Aptos Narrow"/>
        <family val="2"/>
      </rPr>
      <t xml:space="preserve">, </t>
    </r>
    <r>
      <rPr>
        <sz val="11"/>
        <rFont val="Aptos Narrow"/>
        <family val="2"/>
        <charset val="1"/>
      </rPr>
      <t xml:space="preserve">Liu Z.S.J.</t>
    </r>
    <r>
      <rPr>
        <sz val="11"/>
        <rFont val="Aptos Narrow"/>
        <family val="2"/>
      </rPr>
      <t xml:space="preserve">, </t>
    </r>
    <r>
      <rPr>
        <sz val="11"/>
        <rFont val="Aptos Narrow"/>
        <family val="2"/>
        <charset val="1"/>
      </rPr>
      <t xml:space="preserve">Sanigorski A.</t>
    </r>
    <r>
      <rPr>
        <sz val="11"/>
        <rFont val="Aptos Narrow"/>
        <family val="2"/>
      </rPr>
      <t xml:space="preserve">, </t>
    </r>
    <r>
      <rPr>
        <sz val="11"/>
        <rFont val="Aptos Narrow"/>
        <family val="2"/>
        <charset val="1"/>
      </rPr>
      <t xml:space="preserve">Dean O.M.</t>
    </r>
    <r>
      <rPr>
        <sz val="11"/>
        <rFont val="Aptos Narrow"/>
        <family val="2"/>
      </rPr>
      <t xml:space="preserve">, </t>
    </r>
    <r>
      <rPr>
        <sz val="11"/>
        <rFont val="Aptos Narrow"/>
        <family val="2"/>
        <charset val="1"/>
      </rPr>
      <t xml:space="preserve">Crowley T.</t>
    </r>
    <r>
      <rPr>
        <sz val="11"/>
        <rFont val="Aptos Narrow"/>
        <family val="2"/>
      </rPr>
      <t xml:space="preserve">, </t>
    </r>
    <r>
      <rPr>
        <sz val="11"/>
        <rFont val="Aptos Narrow"/>
        <family val="2"/>
        <charset val="1"/>
      </rPr>
      <t xml:space="preserve">Richardson M.</t>
    </r>
    <r>
      <rPr>
        <sz val="11"/>
        <rFont val="Aptos Narrow"/>
        <family val="2"/>
      </rPr>
      <t xml:space="preserve">, </t>
    </r>
    <r>
      <rPr>
        <sz val="11"/>
        <rFont val="Aptos Narrow"/>
        <family val="2"/>
        <charset val="1"/>
      </rPr>
      <t xml:space="preserve">Bozaoglu K.</t>
    </r>
    <r>
      <rPr>
        <sz val="11"/>
        <rFont val="Aptos Narrow"/>
        <family val="2"/>
      </rPr>
      <t xml:space="preserve">, </t>
    </r>
    <r>
      <rPr>
        <sz val="11"/>
        <rFont val="Aptos Narrow"/>
        <family val="2"/>
        <charset val="1"/>
      </rPr>
      <t xml:space="preserve">Vlahos K.</t>
    </r>
    <r>
      <rPr>
        <sz val="11"/>
        <rFont val="Aptos Narrow"/>
        <family val="2"/>
      </rPr>
      <t xml:space="preserve">, </t>
    </r>
    <r>
      <rPr>
        <sz val="11"/>
        <rFont val="Aptos Narrow"/>
        <family val="2"/>
        <charset val="1"/>
      </rPr>
      <t xml:space="preserve">Cowdery S.</t>
    </r>
    <r>
      <rPr>
        <sz val="11"/>
        <rFont val="Aptos Narrow"/>
        <family val="2"/>
      </rPr>
      <t xml:space="preserve">, </t>
    </r>
    <r>
      <rPr>
        <sz val="11"/>
        <rFont val="Aptos Narrow"/>
        <family val="2"/>
        <charset val="1"/>
      </rPr>
      <t xml:space="preserve">Watmuff B.</t>
    </r>
    <r>
      <rPr>
        <sz val="11"/>
        <rFont val="Aptos Narrow"/>
        <family val="2"/>
      </rPr>
      <t xml:space="preserve">, </t>
    </r>
    <r>
      <rPr>
        <sz val="11"/>
        <rFont val="Aptos Narrow"/>
        <family val="2"/>
        <charset val="1"/>
      </rPr>
      <t xml:space="preserve">Steyn S.F.</t>
    </r>
    <r>
      <rPr>
        <sz val="11"/>
        <rFont val="Aptos Narrow"/>
        <family val="2"/>
      </rPr>
      <t xml:space="preserve">, </t>
    </r>
    <r>
      <rPr>
        <sz val="11"/>
        <rFont val="Aptos Narrow"/>
        <family val="2"/>
        <charset val="1"/>
      </rPr>
      <t xml:space="preserve">Wolmarans D.W.</t>
    </r>
    <r>
      <rPr>
        <sz val="11"/>
        <rFont val="Aptos Narrow"/>
        <family val="2"/>
      </rPr>
      <t xml:space="preserve">, </t>
    </r>
    <r>
      <rPr>
        <sz val="11"/>
        <rFont val="Aptos Narrow"/>
        <family val="2"/>
        <charset val="1"/>
      </rPr>
      <t xml:space="preserve">Engelbrecht B.J.</t>
    </r>
    <r>
      <rPr>
        <sz val="11"/>
        <rFont val="Aptos Narrow"/>
        <family val="2"/>
      </rPr>
      <t xml:space="preserve">, </t>
    </r>
    <r>
      <rPr>
        <sz val="11"/>
        <rFont val="Aptos Narrow"/>
        <family val="2"/>
        <charset val="1"/>
      </rPr>
      <t xml:space="preserve">Perry C.</t>
    </r>
    <r>
      <rPr>
        <sz val="11"/>
        <rFont val="Aptos Narrow"/>
        <family val="2"/>
      </rPr>
      <t xml:space="preserve">, </t>
    </r>
    <r>
      <rPr>
        <sz val="11"/>
        <rFont val="Aptos Narrow"/>
        <family val="2"/>
        <charset val="1"/>
      </rPr>
      <t xml:space="preserve">Drummond K.</t>
    </r>
    <r>
      <rPr>
        <sz val="11"/>
        <rFont val="Aptos Narrow"/>
        <family val="2"/>
      </rPr>
      <t xml:space="preserve">, </t>
    </r>
    <r>
      <rPr>
        <sz val="11"/>
        <rFont val="Aptos Narrow"/>
        <family val="2"/>
        <charset val="1"/>
      </rPr>
      <t xml:space="preserve">Pang T.</t>
    </r>
    <r>
      <rPr>
        <sz val="11"/>
        <rFont val="Aptos Narrow"/>
        <family val="2"/>
      </rPr>
      <t xml:space="preserve">, 
</t>
    </r>
    <r>
      <rPr>
        <sz val="11"/>
        <rFont val="Aptos Narrow"/>
        <family val="2"/>
        <charset val="1"/>
      </rPr>
      <t xml:space="preserve">Jamain S.</t>
    </r>
    <r>
      <rPr>
        <sz val="11"/>
        <rFont val="Aptos Narrow"/>
        <family val="2"/>
      </rPr>
      <t xml:space="preserve">, </t>
    </r>
    <r>
      <rPr>
        <sz val="11"/>
        <rFont val="Aptos Narrow"/>
        <family val="2"/>
        <charset val="1"/>
      </rPr>
      <t xml:space="preserve">Gray L.</t>
    </r>
    <r>
      <rPr>
        <sz val="11"/>
        <rFont val="Aptos Narrow"/>
        <family val="2"/>
      </rPr>
      <t xml:space="preserve">, </t>
    </r>
    <r>
      <rPr>
        <sz val="11"/>
        <rFont val="Aptos Narrow"/>
        <family val="2"/>
        <charset val="1"/>
      </rPr>
      <t xml:space="preserve">McGee S.L.</t>
    </r>
    <r>
      <rPr>
        <sz val="11"/>
        <rFont val="Aptos Narrow"/>
        <family val="2"/>
      </rPr>
      <t xml:space="preserve">, </t>
    </r>
    <r>
      <rPr>
        <sz val="11"/>
        <rFont val="Aptos Narrow"/>
        <family val="2"/>
        <charset val="1"/>
      </rPr>
      <t xml:space="preserve">Harvey B.H.</t>
    </r>
    <r>
      <rPr>
        <sz val="11"/>
        <rFont val="Aptos Narrow"/>
        <family val="2"/>
      </rPr>
      <t xml:space="preserve">, </t>
    </r>
    <r>
      <rPr>
        <sz val="11"/>
        <rFont val="Aptos Narrow"/>
        <family val="2"/>
        <charset val="1"/>
      </rPr>
      <t xml:space="preserve">Kim J.H.</t>
    </r>
    <r>
      <rPr>
        <sz val="11"/>
        <rFont val="Aptos Narrow"/>
        <family val="2"/>
      </rPr>
      <t xml:space="preserve">, </t>
    </r>
    <r>
      <rPr>
        <sz val="11"/>
        <rFont val="Aptos Narrow"/>
        <family val="2"/>
        <charset val="1"/>
      </rPr>
      <t xml:space="preserve">Leboyer M.</t>
    </r>
    <r>
      <rPr>
        <sz val="11"/>
        <rFont val="Aptos Narrow"/>
        <family val="2"/>
      </rPr>
      <t xml:space="preserve">, </t>
    </r>
    <r>
      <rPr>
        <sz val="11"/>
        <rFont val="Aptos Narrow"/>
        <family val="2"/>
        <charset val="1"/>
      </rPr>
      <t xml:space="preserve">Berk M.</t>
    </r>
    <r>
      <rPr>
        <sz val="11"/>
        <rFont val="Aptos Narrow"/>
        <family val="2"/>
      </rPr>
      <t xml:space="preserve">, </t>
    </r>
    <r>
      <rPr>
        <sz val="11"/>
        <rFont val="Aptos Narrow"/>
        <family val="2"/>
        <charset val="1"/>
      </rPr>
      <t xml:space="preserve">Walder K.</t>
    </r>
  </si>
  <si>
    <t xml:space="preserve">RU486 Reverses Emotional Disorders by Influencing Astrocytes and Endoplasmic Reticulum Stress in Chronic Restraint Stress Challenged Rats</t>
  </si>
  <si>
    <t xml:space="preserve">Dong L, Wang S, Li Y, Zhao Z, Shen Y, Liu L, Xu G, Ma C, Li S, Zhang X, Cong B.</t>
  </si>
  <si>
    <t xml:space="preserve">Cell Physiol Biochem</t>
  </si>
  <si>
    <t xml:space="preserve">10.1159/000478764</t>
  </si>
  <si>
    <t xml:space="preserve">Comparison of Various Dosages of Escitalopram on Anxiety-like Behavior and Body Weight in Male Rats under Severe Chronic Stress</t>
  </si>
  <si>
    <t xml:space="preserve">Radahmadi, Maryam; Farahbakhsh, Zahra</t>
  </si>
  <si>
    <t xml:space="preserve">ADVANCED BIOMEDICAL RESEARCH</t>
  </si>
  <si>
    <t xml:space="preserve">10.4103/abr.abr_467_24</t>
  </si>
  <si>
    <t xml:space="preserve">Proteomic and microbiota analyses of the oral cavity during psychological stress</t>
  </si>
  <si>
    <t xml:space="preserve">Paudel D, Kuramitsu Y, Uehara O, Morikawa T, Yoshida K, Giri S, Islam ST, Kitagawa T, Kondo T, Sasaki K, Matsuoka H, Miura H, Abiko Y.</t>
  </si>
  <si>
    <t xml:space="preserve">10.1371/journal.pone.0268155</t>
  </si>
  <si>
    <t xml:space="preserve">Jie-Yu-He-Huan Capsule Ameliorates Anxiety-Like Behaviours in Rats Exposed to Chronic Restraint Stress via the cAMP/PKA/CREB/BDNF Signalling Pathway</t>
  </si>
  <si>
    <t xml:space="preserve">Geng X, Wu H, Li Z, Li C, Chen D, Zong J, Liu Z, Wei S, Peng W.</t>
  </si>
  <si>
    <t xml:space="preserve">Oxid Med Cell Longev</t>
  </si>
  <si>
    <t xml:space="preserve">10.1155/2021/1703981</t>
  </si>
  <si>
    <t xml:space="preserve">Pretreatment with 4-methylumbilliferon improves anxiety-like behaviors and memory impairment in stressed rats via modulation of neuronal cell death and oxidative stress</t>
  </si>
  <si>
    <t xml:space="preserve">Khankani, Alireza Moradi; Meftahi, Gholam Hossein</t>
  </si>
  <si>
    <t xml:space="preserve">10.1016/j.brainres.2024.149196</t>
  </si>
  <si>
    <t xml:space="preserve">OFT</t>
  </si>
  <si>
    <t xml:space="preserve">OFT total time (min)</t>
  </si>
  <si>
    <t xml:space="preserve">CONTROL (time spent in centre (sec or %))</t>
  </si>
  <si>
    <t xml:space="preserve">TEST (time spent in centre (sec or %))</t>
  </si>
  <si>
    <t xml:space="preserve">Resveratrol reversed chronic restraint stress-induced impaired cognitive function in rats.</t>
  </si>
  <si>
    <t xml:space="preserve">Zhang Q.
Wang X.
Bai X.
Xie Y.
Zhang T.
Bo S.
Chen X.</t>
  </si>
  <si>
    <t xml:space="preserve">Molecular Medicine Reports</t>
  </si>
  <si>
    <t xml:space="preserve">https://dx.doi.org/10.3892/mmr.2017.6851</t>
  </si>
  <si>
    <t xml:space="preserve">Electroacupuncture pretreatment exhibits anti-depressive effects by regulating hippocampal proteomics in rats with chronic restraint stress</t>
  </si>
  <si>
    <t xml:space="preserve">Guo Z, Tu Y, Guo TW, Wu YC, Yang XQ, Sun L, Yang XJ, Zhang WY, Wang Y, Zhang XH.</t>
  </si>
  <si>
    <t xml:space="preserve">Neural Regen Res</t>
  </si>
  <si>
    <t xml:space="preserve">10.4103/1673-5374.162764</t>
  </si>
  <si>
    <t xml:space="preserve">Multi-omics analysis of pathological changes in the amygdala of rats subjected to chronic restraint stress</t>
  </si>
  <si>
    <t xml:space="preserve">Li Z, Gao C, Peng J, Liu M, Cong B.</t>
  </si>
  <si>
    <t xml:space="preserve">10.1016/j.bbr.2020.112735</t>
  </si>
  <si>
    <t xml:space="preserve">Restraint stress activates defensive behaviors in male rats depending on age and housing condition</t>
  </si>
  <si>
    <t xml:space="preserve">Arakawa, Hiroyuki</t>
  </si>
  <si>
    <t xml:space="preserve">10.1016/j.physbeh.2020.113073</t>
  </si>
  <si>
    <t xml:space="preserve">Aged 40 days at testing - pair housed</t>
  </si>
  <si>
    <t xml:space="preserve">1D-F</t>
  </si>
  <si>
    <t xml:space="preserve">Aged 40 days at testing - single housed</t>
  </si>
  <si>
    <t xml:space="preserve">Aged 65 days at testing - pair housed</t>
  </si>
  <si>
    <t xml:space="preserve">Aged 65 days at testing - single housed</t>
  </si>
  <si>
    <t xml:space="preserve">Aged 130 days at testing - pair housed</t>
  </si>
  <si>
    <t xml:space="preserve">Aged 130 days at testing - single housed</t>
  </si>
  <si>
    <t xml:space="preserve">Environmental determinants of behavioural responses to short-term stress in rats: Evidence for inhibitory effect of ambient landmarks</t>
  </si>
  <si>
    <t xml:space="preserve">Faraji, Jamshid; Singh, Surjeet; Soltanpour, Nasrin; Sutherland, Robert J.; Metz, Gerlinde A. S.</t>
  </si>
  <si>
    <t xml:space="preserve">10.1016/j.bbr.2019.112332</t>
  </si>
  <si>
    <t xml:space="preserve">11-13</t>
  </si>
  <si>
    <t xml:space="preserve">Zamani M.
Radahmadi M.
Reisi P.</t>
  </si>
  <si>
    <t xml:space="preserve">Moxibustion upregulates hippocampal progranulin expression</t>
  </si>
  <si>
    <t xml:space="preserve">Yi, Tao; Qi, Li; Li, Ji; Le, Jing-jing; Shao, Lei; Du, Xin; Dong, Jing-cheng</t>
  </si>
  <si>
    <t xml:space="preserve">NEURAL REGENERATION RESEARCH</t>
  </si>
  <si>
    <t xml:space="preserve">10.4103/1673-5374.180746</t>
  </si>
  <si>
    <t xml:space="preserve">The FST used was a "modification of the traditional method", where "swimming endurance capacity was assessed by forcing the rats to swim until exhaustion, which was defined as the point at which the rat's nose remained below the water surface for 10 seconds".</t>
  </si>
  <si>
    <t xml:space="preserve">Effects of electrical lesion of basolateral amygdala nucleus on rat anxiety-like behaviour under acute, sub-chronic, and chronic stresses</t>
  </si>
  <si>
    <t xml:space="preserve">Ranjbar, Hoda; Radahmadi, Maryam; Reisi, Parham; Alaei, Hojjatallah</t>
  </si>
  <si>
    <t xml:space="preserve">CLINICAL AND EXPERIMENTAL PHARMACOLOGY AND PHYSIOLOGY</t>
  </si>
  <si>
    <t xml:space="preserve">10.1111/1440-1681.12727</t>
  </si>
  <si>
    <t xml:space="preserve">The Role of MAPK and Dopaminergic Synapse Signaling Pathways in Antidepressant Effect of Electroacupuncture Pretreatment in Chronic Restraint Stress Rats.</t>
  </si>
  <si>
    <r>
      <rPr>
        <sz val="11"/>
        <rFont val="Aptos Narrow"/>
        <family val="2"/>
        <charset val="1"/>
      </rPr>
      <t xml:space="preserve">Yang X.</t>
    </r>
    <r>
      <rPr>
        <sz val="11"/>
        <rFont val="Aptos Narrow"/>
        <family val="2"/>
      </rPr>
      <t xml:space="preserve">, </t>
    </r>
    <r>
      <rPr>
        <sz val="11"/>
        <rFont val="Aptos Narrow"/>
        <family val="2"/>
        <charset val="1"/>
      </rPr>
      <t xml:space="preserve">Guo Z.</t>
    </r>
    <r>
      <rPr>
        <sz val="11"/>
        <rFont val="Aptos Narrow"/>
        <family val="2"/>
      </rPr>
      <t xml:space="preserve">, </t>
    </r>
    <r>
      <rPr>
        <sz val="11"/>
        <rFont val="Aptos Narrow"/>
        <family val="2"/>
        <charset val="1"/>
      </rPr>
      <t xml:space="preserve">Lu J.</t>
    </r>
    <r>
      <rPr>
        <sz val="11"/>
        <rFont val="Aptos Narrow"/>
        <family val="2"/>
      </rPr>
      <t xml:space="preserve">, </t>
    </r>
    <r>
      <rPr>
        <sz val="11"/>
        <rFont val="Aptos Narrow"/>
        <family val="2"/>
        <charset val="1"/>
      </rPr>
      <t xml:space="preserve">Zhao B.</t>
    </r>
    <r>
      <rPr>
        <sz val="11"/>
        <rFont val="Aptos Narrow"/>
        <family val="2"/>
      </rPr>
      <t xml:space="preserve">, </t>
    </r>
    <r>
      <rPr>
        <sz val="11"/>
        <rFont val="Aptos Narrow"/>
        <family val="2"/>
        <charset val="1"/>
      </rPr>
      <t xml:space="preserve">Fei Y.</t>
    </r>
    <r>
      <rPr>
        <sz val="11"/>
        <rFont val="Aptos Narrow"/>
        <family val="2"/>
      </rPr>
      <t xml:space="preserve">, </t>
    </r>
    <r>
      <rPr>
        <sz val="11"/>
        <rFont val="Aptos Narrow"/>
        <family val="2"/>
        <charset val="1"/>
      </rPr>
      <t xml:space="preserve">Li J.</t>
    </r>
    <r>
      <rPr>
        <sz val="11"/>
        <rFont val="Aptos Narrow"/>
        <family val="2"/>
      </rPr>
      <t xml:space="preserve">, </t>
    </r>
    <r>
      <rPr>
        <sz val="11"/>
        <rFont val="Aptos Narrow"/>
        <family val="2"/>
        <charset val="1"/>
      </rPr>
      <t xml:space="preserve">Jiang H.</t>
    </r>
    <r>
      <rPr>
        <sz val="11"/>
        <rFont val="Aptos Narrow"/>
        <family val="2"/>
      </rPr>
      <t xml:space="preserve">, </t>
    </r>
    <r>
      <rPr>
        <sz val="11"/>
        <rFont val="Aptos Narrow"/>
        <family val="2"/>
        <charset val="1"/>
      </rPr>
      <t xml:space="preserve">Sun L.</t>
    </r>
    <r>
      <rPr>
        <sz val="11"/>
        <rFont val="Aptos Narrow"/>
        <family val="2"/>
      </rPr>
      <t xml:space="preserve">, </t>
    </r>
    <r>
      <rPr>
        <sz val="11"/>
        <rFont val="Aptos Narrow"/>
        <family val="2"/>
        <charset val="1"/>
      </rPr>
      <t xml:space="preserve">Wang Y.</t>
    </r>
    <r>
      <rPr>
        <sz val="11"/>
        <rFont val="Aptos Narrow"/>
        <family val="2"/>
      </rPr>
      <t xml:space="preserve">, </t>
    </r>
    <r>
      <rPr>
        <sz val="11"/>
        <rFont val="Aptos Narrow"/>
        <family val="2"/>
        <charset val="1"/>
      </rPr>
      <t xml:space="preserve">Sun Y.</t>
    </r>
    <r>
      <rPr>
        <sz val="11"/>
        <rFont val="Aptos Narrow"/>
        <family val="2"/>
      </rPr>
      <t xml:space="preserve">, </t>
    </r>
    <r>
      <rPr>
        <sz val="11"/>
        <rFont val="Aptos Narrow"/>
        <family val="2"/>
        <charset val="1"/>
      </rPr>
      <t xml:space="preserve">Bao T.</t>
    </r>
  </si>
  <si>
    <t xml:space="preserve">Evidence-based Complementary and Alternative Medicine</t>
  </si>
  <si>
    <t xml:space="preserve">https://dx.doi.org/10.1155/2017/2357653</t>
  </si>
  <si>
    <t xml:space="preserve">Proteomic Analysis of Liver Proteins in a Rat Model of Chronic Restraint Stress-Induced Depression</t>
  </si>
  <si>
    <t xml:space="preserve">Li C, Guo Z, Zhao R, Sun W, Xie M.</t>
  </si>
  <si>
    <t xml:space="preserve">Biomed Res Int</t>
  </si>
  <si>
    <t xml:space="preserve">10.1155/2017/7508316</t>
  </si>
  <si>
    <t xml:space="preserve">The involvement of Notch1 signaling pathway in mid-aged female rats under chronic restraint stress</t>
  </si>
  <si>
    <t xml:space="preserve">Shen J, Lin L, Liao L, Liang W, Yang X, Lin K, Ke L, Zhang L, Kang J, Ding S, Li C, Zheng Z.</t>
  </si>
  <si>
    <t xml:space="preserve">10.1016/j.neulet.2020.135313</t>
  </si>
  <si>
    <t xml:space="preserve">Hydrogen sulfide antagonizes chronic restraint stress-induced depressive-like behaviors via upregulation of adiponectin.</t>
  </si>
  <si>
    <r>
      <rPr>
        <sz val="11"/>
        <rFont val="Aptos Narrow"/>
        <family val="2"/>
        <charset val="1"/>
      </rPr>
      <t xml:space="preserve">Tian Q.</t>
    </r>
    <r>
      <rPr>
        <sz val="11"/>
        <rFont val="Aptos Narrow"/>
        <family val="2"/>
      </rPr>
      <t xml:space="preserve">, </t>
    </r>
    <r>
      <rPr>
        <sz val="11"/>
        <rFont val="Aptos Narrow"/>
        <family val="2"/>
        <charset val="1"/>
      </rPr>
      <t xml:space="preserve">Chen L.</t>
    </r>
    <r>
      <rPr>
        <sz val="11"/>
        <rFont val="Aptos Narrow"/>
        <family val="2"/>
      </rPr>
      <t xml:space="preserve">, </t>
    </r>
    <r>
      <rPr>
        <sz val="11"/>
        <rFont val="Aptos Narrow"/>
        <family val="2"/>
        <charset val="1"/>
      </rPr>
      <t xml:space="preserve">Luo B.</t>
    </r>
    <r>
      <rPr>
        <sz val="11"/>
        <rFont val="Aptos Narrow"/>
        <family val="2"/>
      </rPr>
      <t xml:space="preserve">, </t>
    </r>
    <r>
      <rPr>
        <sz val="11"/>
        <rFont val="Aptos Narrow"/>
        <family val="2"/>
        <charset val="1"/>
      </rPr>
      <t xml:space="preserve">Wang A.-P.</t>
    </r>
    <r>
      <rPr>
        <sz val="11"/>
        <rFont val="Aptos Narrow"/>
        <family val="2"/>
      </rPr>
      <t xml:space="preserve">, </t>
    </r>
    <r>
      <rPr>
        <sz val="11"/>
        <rFont val="Aptos Narrow"/>
        <family val="2"/>
        <charset val="1"/>
      </rPr>
      <t xml:space="preserve">Zou W.</t>
    </r>
    <r>
      <rPr>
        <sz val="11"/>
        <rFont val="Aptos Narrow"/>
        <family val="2"/>
      </rPr>
      <t xml:space="preserve">, </t>
    </r>
    <r>
      <rPr>
        <sz val="11"/>
        <rFont val="Aptos Narrow"/>
        <family val="2"/>
        <charset val="1"/>
      </rPr>
      <t xml:space="preserve">You Y.</t>
    </r>
    <r>
      <rPr>
        <sz val="11"/>
        <rFont val="Aptos Narrow"/>
        <family val="2"/>
      </rPr>
      <t xml:space="preserve">, </t>
    </r>
    <r>
      <rPr>
        <sz val="11"/>
        <rFont val="Aptos Narrow"/>
        <family val="2"/>
        <charset val="1"/>
      </rPr>
      <t xml:space="preserve">Zhang P.</t>
    </r>
    <r>
      <rPr>
        <sz val="11"/>
        <rFont val="Aptos Narrow"/>
        <family val="2"/>
      </rPr>
      <t xml:space="preserve">, </t>
    </r>
    <r>
      <rPr>
        <sz val="11"/>
        <rFont val="Aptos Narrow"/>
        <family val="2"/>
        <charset val="1"/>
      </rPr>
      <t xml:space="preserve">Tang X.-Q.</t>
    </r>
    <r>
      <rPr>
        <sz val="11"/>
        <rFont val="Aptos Narrow"/>
        <family val="2"/>
      </rPr>
      <t xml:space="preserve">,</t>
    </r>
  </si>
  <si>
    <t xml:space="preserve">https://dx.doi.org/10.3389/fpsyt.2018.00399</t>
  </si>
  <si>
    <t xml:space="preserve">10-15</t>
  </si>
  <si>
    <t xml:space="preserve">Lycopene Alleviates Chronic Stress-Induced Hippocampal Microglial Pyroptosis by Inhibiting the Cathepsin B/NLRP3 Signaling Pathway</t>
  </si>
  <si>
    <t xml:space="preserve">Zhu, Qiuxiang; Gao, Zhicheng; Peng, Jinghui; Liu, Chang; Wang, Xiaoyue; Li, Shoujun; Zhang, Haiyang</t>
  </si>
  <si>
    <t xml:space="preserve">JOURNAL OF AGRICULTURAL AND FOOD CHEMISTRY</t>
  </si>
  <si>
    <t xml:space="preserve">10.1021/acs.jafc.3c02749</t>
  </si>
  <si>
    <t xml:space="preserve">Curcumin Alleviates Restraint Stress-Induced Learning and Memory Deficit and Activity via Modulation of Biochemical, Morphology Changes, and Apoptosis in the Prefrontal Cortex and Hippocampus</t>
  </si>
  <si>
    <t xml:space="preserve">Pourheydar, Bagher; Abar, Mojgan; Farjah, Gholamhossein; Pourheydar, Maryam; Derafshpour, Leila</t>
  </si>
  <si>
    <t xml:space="preserve">BEHAVIORAL NEUROSCIENCE</t>
  </si>
  <si>
    <t xml:space="preserve">10.1037/bne0000498</t>
  </si>
  <si>
    <t xml:space="preserve">P-STAT3 Inhibition Activates Endoplasmic Reticulum Stress-Induced Splenocyte Apoptosis in Chronic Stress</t>
  </si>
  <si>
    <t xml:space="preserve">Song, Manyu; Wang, Chaoran; Yang, Haotian; Chen, Yongping; Feng, Xiujing; Li, Bei; Fan, Honggang</t>
  </si>
  <si>
    <t xml:space="preserve">FRONTIERS IN PHYSIOLOGY</t>
  </si>
  <si>
    <t xml:space="preserve">10.3389/fphys.2020.00680</t>
  </si>
  <si>
    <t xml:space="preserve">Changes in gonadal function at different stages of chronic restraint stress-induced depression animals</t>
  </si>
  <si>
    <t xml:space="preserve">Liu B, Zhao L, Yue C, Qian M, Xie M.</t>
  </si>
  <si>
    <t xml:space="preserve">Physiol Behav</t>
  </si>
  <si>
    <t xml:space="preserve">10.1016/j.physbeh.2019.112656</t>
  </si>
  <si>
    <t xml:space="preserve">Free Wanderer Powder regulates AMPA receptor homeostasis in chronic restraint stress-induced rat model of depression with liver-depression and spleen-deficiency syndrome</t>
  </si>
  <si>
    <t xml:space="preserve">Xi S, Yue G, Liu Y, Wang Y, Qiu Y, Li Z, Ma P, Liu T, Jiang Y, Liang Y, Liu Q, Shi J, Chen J, Yue L.</t>
  </si>
  <si>
    <t xml:space="preserve">Aging (Albany NY)</t>
  </si>
  <si>
    <t xml:space="preserve">10.18632/aging.103912</t>
  </si>
  <si>
    <r>
      <rPr>
        <sz val="11"/>
        <rFont val="Aptos Narrow"/>
        <family val="2"/>
        <charset val="1"/>
      </rPr>
      <t xml:space="preserve">Mostardeiro V.B.</t>
    </r>
    <r>
      <rPr>
        <sz val="11"/>
        <rFont val="Aptos Narrow"/>
        <family val="2"/>
      </rPr>
      <t xml:space="preserve">, </t>
    </r>
    <r>
      <rPr>
        <sz val="11"/>
        <rFont val="Aptos Narrow"/>
        <family val="2"/>
        <charset val="1"/>
      </rPr>
      <t xml:space="preserve">Assmann C.E.</t>
    </r>
    <r>
      <rPr>
        <sz val="11"/>
        <rFont val="Aptos Narrow"/>
        <family val="2"/>
      </rPr>
      <t xml:space="preserve">, </t>
    </r>
    <r>
      <rPr>
        <sz val="11"/>
        <rFont val="Aptos Narrow"/>
        <family val="2"/>
        <charset val="1"/>
      </rPr>
      <t xml:space="preserve">Schirmann A.A.</t>
    </r>
    <r>
      <rPr>
        <sz val="11"/>
        <rFont val="Aptos Narrow"/>
        <family val="2"/>
      </rPr>
      <t xml:space="preserve">, </t>
    </r>
    <r>
      <rPr>
        <sz val="11"/>
        <rFont val="Aptos Narrow"/>
        <family val="2"/>
        <charset val="1"/>
      </rPr>
      <t xml:space="preserve">da Silveira M.V.</t>
    </r>
    <r>
      <rPr>
        <sz val="11"/>
        <rFont val="Aptos Narrow"/>
        <family val="2"/>
      </rPr>
      <t xml:space="preserve">, </t>
    </r>
    <r>
      <rPr>
        <sz val="11"/>
        <rFont val="Aptos Narrow"/>
        <family val="2"/>
        <charset val="1"/>
      </rPr>
      <t xml:space="preserve">Rambo B.V.C.</t>
    </r>
    <r>
      <rPr>
        <sz val="11"/>
        <rFont val="Aptos Narrow"/>
        <family val="2"/>
      </rPr>
      <t xml:space="preserve">, </t>
    </r>
    <r>
      <rPr>
        <sz val="11"/>
        <rFont val="Aptos Narrow"/>
        <family val="2"/>
        <charset val="1"/>
      </rPr>
      <t xml:space="preserve">Schott M.</t>
    </r>
    <r>
      <rPr>
        <sz val="11"/>
        <rFont val="Aptos Narrow"/>
        <family val="2"/>
      </rPr>
      <t xml:space="preserve">, </t>
    </r>
    <r>
      <rPr>
        <sz val="11"/>
        <rFont val="Aptos Narrow"/>
        <family val="2"/>
        <charset val="1"/>
      </rPr>
      <t xml:space="preserve">Pereira A.D.S.</t>
    </r>
    <r>
      <rPr>
        <sz val="11"/>
        <rFont val="Aptos Narrow"/>
        <family val="2"/>
      </rPr>
      <t xml:space="preserve">, </t>
    </r>
    <r>
      <rPr>
        <sz val="11"/>
        <rFont val="Aptos Narrow"/>
        <family val="2"/>
        <charset val="1"/>
      </rPr>
      <t xml:space="preserve">Miron V.V.</t>
    </r>
    <r>
      <rPr>
        <sz val="11"/>
        <rFont val="Aptos Narrow"/>
        <family val="2"/>
      </rPr>
      <t xml:space="preserve">, </t>
    </r>
    <r>
      <rPr>
        <sz val="11"/>
        <rFont val="Aptos Narrow"/>
        <family val="2"/>
        <charset val="1"/>
      </rPr>
      <t xml:space="preserve">Soares H.W.</t>
    </r>
    <r>
      <rPr>
        <sz val="11"/>
        <rFont val="Aptos Narrow"/>
        <family val="2"/>
      </rPr>
      <t xml:space="preserve">, </t>
    </r>
    <r>
      <rPr>
        <sz val="11"/>
        <rFont val="Aptos Narrow"/>
        <family val="2"/>
        <charset val="1"/>
      </rPr>
      <t xml:space="preserve">Dambros</t>
    </r>
    <r>
      <rPr>
        <sz val="11"/>
        <rFont val="Aptos Narrow"/>
        <family val="2"/>
      </rPr>
      <t xml:space="preserve"> </t>
    </r>
    <r>
      <rPr>
        <sz val="11"/>
        <rFont val="Aptos Narrow"/>
        <family val="2"/>
        <charset val="1"/>
      </rPr>
      <t xml:space="preserve">L.V.</t>
    </r>
    <r>
      <rPr>
        <sz val="11"/>
        <rFont val="Aptos Narrow"/>
        <family val="2"/>
      </rPr>
      <t xml:space="preserve">, </t>
    </r>
    <r>
      <rPr>
        <sz val="11"/>
        <rFont val="Aptos Narrow"/>
        <family val="2"/>
        <charset val="1"/>
      </rPr>
      <t xml:space="preserve">Belinazo S.F.</t>
    </r>
    <r>
      <rPr>
        <sz val="11"/>
        <rFont val="Aptos Narrow"/>
        <family val="2"/>
      </rPr>
      <t xml:space="preserve">, </t>
    </r>
    <r>
      <rPr>
        <sz val="11"/>
        <rFont val="Aptos Narrow"/>
        <family val="2"/>
        <charset val="1"/>
      </rPr>
      <t xml:space="preserve">Vidal T.G.</t>
    </r>
    <r>
      <rPr>
        <sz val="11"/>
        <rFont val="Aptos Narrow"/>
        <family val="2"/>
      </rPr>
      <t xml:space="preserve">, </t>
    </r>
    <r>
      <rPr>
        <sz val="11"/>
        <rFont val="Aptos Narrow"/>
        <family val="2"/>
        <charset val="1"/>
      </rPr>
      <t xml:space="preserve">Bagatini M.D.</t>
    </r>
    <r>
      <rPr>
        <sz val="11"/>
        <rFont val="Aptos Narrow"/>
        <family val="2"/>
      </rPr>
      <t xml:space="preserve">, </t>
    </r>
    <r>
      <rPr>
        <sz val="11"/>
        <rFont val="Aptos Narrow"/>
        <family val="2"/>
        <charset val="1"/>
      </rPr>
      <t xml:space="preserve">Schetinger M.R.C.</t>
    </r>
    <r>
      <rPr>
        <sz val="11"/>
        <rFont val="Aptos Narrow"/>
        <family val="2"/>
      </rPr>
      <t xml:space="preserve">, </t>
    </r>
    <r>
      <rPr>
        <sz val="11"/>
        <rFont val="Aptos Narrow"/>
        <family val="2"/>
        <charset val="1"/>
      </rPr>
      <t xml:space="preserve">Morsch V.M.M.</t>
    </r>
  </si>
  <si>
    <t xml:space="preserve">Multiple SPTs and OFTs done</t>
  </si>
  <si>
    <t xml:space="preserve">1Bb</t>
  </si>
  <si>
    <t xml:space="preserve">Cannabidiol/cannabidiolic acid-rich hemp (Cannabis sativa L.) extract attenuates cognitive impairments and glial activations in rats exposed to chronic stress</t>
  </si>
  <si>
    <t xml:space="preserve">Kamsrijai, Utcharaporn; Charoensup, Rawiwan; Jaidee, Wuttichai; Hawiset, Thaneeya; Thaweethee-Sukjai, Benjamard; Praman, Siwaporn</t>
  </si>
  <si>
    <t xml:space="preserve">10.1016/j.jep.2024.119113</t>
  </si>
  <si>
    <t xml:space="preserve">Lycopene Alleviates Chronic Stress-Induced Spleen Apoptosis and Immunosuppression via Inhibiting the Notch Signaling Pathway in Rats</t>
  </si>
  <si>
    <t xml:space="preserve">Zhang, Jiuyan; Zhao, Yuan; Sun, Ning; Song, Manyu; Chen, Yongping; Li, Lin; Cui, Hailin; Yang, Haotian; Wang, Chuqiao; Zhang, Haiyang; Fan, Honggang</t>
  </si>
  <si>
    <t xml:space="preserve">10.1021/acs.jafc.1c07550</t>
  </si>
  <si>
    <t xml:space="preserve">Spinal alarmin HMGB1 and the activation of TLR4 lead to chronic stress-induced nociceptive hypersensitivity in rodents</t>
  </si>
  <si>
    <t xml:space="preserve">Rodriguez-Palma, Erick J.; Velazquez-Lagunas, Isabel; Salinas-Abarca, Ana Belen; Vidal-Cantu, Guadalupe C.; Escoto-Rosales, Maria J.; Castaneda-Corral, Gabriela; Fernandez-Guasti, Alonso; Granados-Soto, Vinicio</t>
  </si>
  <si>
    <t xml:space="preserve">EUROPEAN JOURNAL OF PHARMACOLOGY</t>
  </si>
  <si>
    <t xml:space="preserve">10.1016/j.ejphar.2023.175804</t>
  </si>
  <si>
    <t xml:space="preserve">Effects of chronic mild stress on ammorphine induced behavioral sensitization in different brain regions of rats in relation to serotonin mange</t>
  </si>
  <si>
    <t xml:space="preserve">Farhan, Muhammad; Haleem, Darakshan Jabeen</t>
  </si>
  <si>
    <t xml:space="preserve">ADVANCEMENTS IN LIFE SCIENCES</t>
  </si>
  <si>
    <t xml:space="preserve">https://www.als-journal.com/314-15/</t>
  </si>
  <si>
    <t xml:space="preserve">de Lima M.E.
Ceolin Colpo A.Z.
Maya-Lopez M.
Rangel-Lopez E.
Becerril-Chavez H.
Galvan-Arzate S.
Villeda-Hernandez J.
Sanchez-Chapul L.
Tunez I.
Folmer V.
Santamaria A.</t>
  </si>
  <si>
    <t xml:space="preserve">Age-related effects of chronic restraint stress on ethanol drinking, ethanol-induced sedation, and on basal and stress-induced anxiety response</t>
  </si>
  <si>
    <t xml:space="preserve">Fernández MS, Fabio MC, Miranda-Morales RS, Virgolini MB, De Giovanni LN, Hansen C, Wille-Bille A, Nizhnikov ME, Spear LP, Pautassi RM.</t>
  </si>
  <si>
    <t xml:space="preserve">Alcohol</t>
  </si>
  <si>
    <t xml:space="preserve">10.1016/j.alcohol.2015.11.009</t>
  </si>
  <si>
    <t xml:space="preserve">7 (at testing)</t>
  </si>
  <si>
    <t xml:space="preserve">11 (at testing)</t>
  </si>
  <si>
    <t xml:space="preserve">Co-exposure of chronic stress and alumina nanoparticles aggravates hippocampal microglia pyroptosis by activating cathepsin B/NLRP3 signaling pathway</t>
  </si>
  <si>
    <t xml:space="preserve">Zhang H, Wang J, Ruan C, Gao Z, Zhu Q, Li S.</t>
  </si>
  <si>
    <t xml:space="preserve">J Hazard Mater</t>
  </si>
  <si>
    <t xml:space="preserve">10.1016/j.jhazmat.2022.129093</t>
  </si>
  <si>
    <t xml:space="preserve">Protective effect of ginsenoside Rb1 against chronic restraint stress (CRS)-induced memory impairments in rats</t>
  </si>
  <si>
    <t xml:space="preserve">Jiang N, Wang K, Zhang Y, Huang H, Lv JW, Wang Q, Wang HX, Xia TJ, Liu XM.</t>
  </si>
  <si>
    <t xml:space="preserve">10.1016/j.bbr.2021.113146</t>
  </si>
  <si>
    <t xml:space="preserve">Effect of Chlorogenic Acid via Upregulating Resolvin D1 Inhibiting the NF-kappaB Pathway on Chronic Restraint Stress-Induced Liver Inflammation.</t>
  </si>
  <si>
    <t xml:space="preserve">Wang H.
Zhao Y.
Zhang Y.
Yang T.
Zhao S.
Sun N.
Tan H.
Zhang H.
Wang C.
Fan H.</t>
  </si>
  <si>
    <t xml:space="preserve">Journal of agricultural and food chemistry</t>
  </si>
  <si>
    <t xml:space="preserve">https://dx.doi.org/10.1021/acs.jafc.2c04593</t>
  </si>
  <si>
    <t xml:space="preserve">Antidepressant Mechanism Research of Acupuncture: Insights from a Genome-Wide Transcriptome Analysis of Frontal Cortex in Rats with Chronic Restraint Stress.</t>
  </si>
  <si>
    <t xml:space="preserve">Wang Y.
Jiang H.
Meng H.
Li J.
Yang X.
Zhao B.
Sun Y.
Bao T.</t>
  </si>
  <si>
    <t xml:space="preserve">https://dx.doi.org/10.1155/2017/1676808</t>
  </si>
  <si>
    <t xml:space="preserve">Activation of satellite glial cells in the trigeminal ganglion contributes to masseter mechanical allodynia induced by restraint stress in rats</t>
  </si>
  <si>
    <t xml:space="preserve">Zhao, Ya-Juan; Liu, Yang; Zhao, Yin-Hua; Li, Qiang; Zhang, Min; Chen, Yong-Jin</t>
  </si>
  <si>
    <t xml:space="preserve">10.1016/j.neulet.2015.06.048</t>
  </si>
  <si>
    <t xml:space="preserve">Involvement of trigeminal astrocyte activation in masseter hyperalgesia under stress</t>
  </si>
  <si>
    <t xml:space="preserve">Zhao YJ, Liu Y, Li Q, Zhao YH, Wang J, Zhang M, Chen YJ.</t>
  </si>
  <si>
    <t xml:space="preserve">10.1016/j.physbeh.2015.02.005</t>
  </si>
  <si>
    <t xml:space="preserve">Lycopene Alleviates Chronic Stress-Induced Liver Injury by Inhibiting Oxidative Stress-Mediated Endoplasmic Reticulum Stress Pathway Apoptosis in Rats</t>
  </si>
  <si>
    <t xml:space="preserve">Sun, Ning; Yang, Tianyuan; Tang, Yulin; Zhao, Yuan; Li, Lin; Fan, Honggang</t>
  </si>
  <si>
    <t xml:space="preserve">10.1021/acs.jafc.2c06650</t>
  </si>
  <si>
    <t xml:space="preserve">Date palm spathe extract reverses chronic stress-induced changes in dendritic arborization in the amygdala and impairment of hippocampal long-term potentiation</t>
  </si>
  <si>
    <t xml:space="preserve">Hadipour M, Meftahi GH, Jahromi GP.</t>
  </si>
  <si>
    <t xml:space="preserve">Synapse</t>
  </si>
  <si>
    <t xml:space="preserve">10.1002/syn.22278</t>
  </si>
  <si>
    <t xml:space="preserve">TCM Formula Xiaoyaosan Decoction Improves Depressive-Like Behaviors in Rats with Type 2 Diabetes.</t>
  </si>
  <si>
    <t xml:space="preserve">Li N.
Liu Q.
Li X.-J.
Bai X.-H.
Liu Y.-Y.
Zhao H.-B.
Jin Z.-Y.
Jing Y.-X.
Yan Z.-Y.
Chen J.-X.</t>
  </si>
  <si>
    <t xml:space="preserve">https://dx.doi.org/10.1155/2015/415243</t>
  </si>
  <si>
    <t xml:space="preserve">Xiaoyaosan improves depressive-like behavior in rats with chronic immobilization stress through modulation of the gut microbiota</t>
  </si>
  <si>
    <t xml:space="preserve">Zhu, Hui-Zheng; Liang, Yu-Dan; Ma, Qing-Yu; Hao, Wen-Zhi; Li, Xiao-Juan; Wu, Man-Si; Deng, Li-Juan; Li, Yu-Ming; Chen, Jia-Xu</t>
  </si>
  <si>
    <t xml:space="preserve">10.1016/j.biopha.2019.108621</t>
  </si>
</sst>
</file>

<file path=xl/styles.xml><?xml version="1.0" encoding="utf-8"?>
<styleSheet xmlns="http://schemas.openxmlformats.org/spreadsheetml/2006/main">
  <numFmts count="5">
    <numFmt numFmtId="164" formatCode="General"/>
    <numFmt numFmtId="165" formatCode="@"/>
    <numFmt numFmtId="166" formatCode="0.0"/>
    <numFmt numFmtId="167" formatCode="0.00"/>
    <numFmt numFmtId="168" formatCode="0"/>
  </numFmts>
  <fonts count="11">
    <font>
      <sz val="11"/>
      <color theme="1"/>
      <name val="Aptos Narrow"/>
      <family val="2"/>
      <charset val="1"/>
    </font>
    <font>
      <sz val="10"/>
      <name val="Arial"/>
      <family val="0"/>
    </font>
    <font>
      <sz val="10"/>
      <name val="Arial"/>
      <family val="0"/>
    </font>
    <font>
      <sz val="10"/>
      <name val="Arial"/>
      <family val="0"/>
    </font>
    <font>
      <sz val="11"/>
      <color rgb="FFFF0000"/>
      <name val="Aptos Narrow"/>
      <family val="2"/>
      <charset val="1"/>
    </font>
    <font>
      <b val="true"/>
      <sz val="11"/>
      <name val="Aptos Narrow"/>
      <family val="2"/>
      <charset val="1"/>
    </font>
    <font>
      <sz val="11"/>
      <name val="Aptos Narrow"/>
      <family val="2"/>
      <charset val="1"/>
    </font>
    <font>
      <b val="true"/>
      <sz val="11"/>
      <color theme="1"/>
      <name val="Aptos Narrow"/>
      <family val="2"/>
      <charset val="1"/>
    </font>
    <font>
      <u val="single"/>
      <sz val="10"/>
      <color rgb="FF0000FF"/>
      <name val="Arial"/>
      <family val="2"/>
      <charset val="1"/>
    </font>
    <font>
      <sz val="12"/>
      <name val="Aptos Narrow"/>
      <family val="2"/>
      <charset val="1"/>
    </font>
    <font>
      <sz val="11"/>
      <name val="Aptos Narrow"/>
      <family val="2"/>
    </font>
  </fonts>
  <fills count="9">
    <fill>
      <patternFill patternType="none"/>
    </fill>
    <fill>
      <patternFill patternType="gray125"/>
    </fill>
    <fill>
      <patternFill patternType="solid">
        <fgColor theme="9" tint="0.7999"/>
        <bgColor rgb="FFE8E8E8"/>
      </patternFill>
    </fill>
    <fill>
      <patternFill patternType="solid">
        <fgColor theme="9" tint="0.3999"/>
        <bgColor rgb="FFC0C0C0"/>
      </patternFill>
    </fill>
    <fill>
      <patternFill patternType="solid">
        <fgColor theme="2"/>
        <bgColor rgb="FFDCEAF7"/>
      </patternFill>
    </fill>
    <fill>
      <patternFill patternType="solid">
        <fgColor theme="3" tint="0.8999"/>
        <bgColor rgb="FFE8E8E8"/>
      </patternFill>
    </fill>
    <fill>
      <patternFill patternType="solid">
        <fgColor theme="0" tint="-0.05"/>
        <bgColor rgb="FFE8E8E8"/>
      </patternFill>
    </fill>
    <fill>
      <patternFill patternType="solid">
        <fgColor theme="1" tint="0.4999"/>
        <bgColor rgb="FF969696"/>
      </patternFill>
    </fill>
    <fill>
      <patternFill patternType="solid">
        <fgColor rgb="FFFFC000"/>
        <bgColor rgb="FFFF99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right" vertical="top" textRotation="0" wrapText="false" indent="0" shrinkToFit="false"/>
      <protection locked="true" hidden="false"/>
    </xf>
    <xf numFmtId="164" fontId="5" fillId="2" borderId="0" xfId="0" applyFont="true" applyBorder="false" applyAlignment="true" applyProtection="false">
      <alignment horizontal="left" vertical="top" textRotation="0" wrapText="false" indent="0" shrinkToFit="false"/>
      <protection locked="true" hidden="false"/>
    </xf>
    <xf numFmtId="164" fontId="6" fillId="2" borderId="0" xfId="0" applyFont="true" applyBorder="false" applyAlignment="true" applyProtection="false">
      <alignment horizontal="left" vertical="top" textRotation="0" wrapText="false" indent="0" shrinkToFit="false"/>
      <protection locked="true" hidden="false"/>
    </xf>
    <xf numFmtId="165" fontId="6" fillId="2" borderId="0" xfId="0" applyFont="true" applyBorder="false" applyAlignment="true" applyProtection="false">
      <alignment horizontal="right"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7" fillId="3" borderId="0" xfId="0" applyFont="true" applyBorder="false" applyAlignment="true" applyProtection="false">
      <alignment horizontal="left" vertical="top" textRotation="0" wrapText="false" indent="0" shrinkToFit="false"/>
      <protection locked="true" hidden="false"/>
    </xf>
    <xf numFmtId="164" fontId="0" fillId="3" borderId="0" xfId="0" applyFont="false" applyBorder="false" applyAlignment="true" applyProtection="false">
      <alignment horizontal="left" vertical="top" textRotation="0" wrapText="false" indent="0" shrinkToFit="false"/>
      <protection locked="true" hidden="false"/>
    </xf>
    <xf numFmtId="165" fontId="0" fillId="3" borderId="0" xfId="0" applyFont="false" applyBorder="false" applyAlignment="true" applyProtection="false">
      <alignment horizontal="right"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6" fontId="5" fillId="2" borderId="0" xfId="0" applyFont="true" applyBorder="false" applyAlignment="true" applyProtection="false">
      <alignment horizontal="right" vertical="top" textRotation="0" wrapText="false" indent="0" shrinkToFit="false"/>
      <protection locked="true" hidden="false"/>
    </xf>
    <xf numFmtId="164" fontId="5" fillId="2" borderId="0" xfId="0" applyFont="true" applyBorder="false" applyAlignment="true" applyProtection="false">
      <alignment horizontal="right" vertical="top" textRotation="0" wrapText="false" indent="0" shrinkToFit="false"/>
      <protection locked="true" hidden="false"/>
    </xf>
    <xf numFmtId="165" fontId="5" fillId="2" borderId="0" xfId="0" applyFont="true" applyBorder="false" applyAlignment="true" applyProtection="false">
      <alignment horizontal="right" vertical="top" textRotation="0" wrapText="false" indent="0" shrinkToFit="false"/>
      <protection locked="true" hidden="false"/>
    </xf>
    <xf numFmtId="166" fontId="7" fillId="3" borderId="0" xfId="0" applyFont="true" applyBorder="false" applyAlignment="true" applyProtection="false">
      <alignment horizontal="right" vertical="top" textRotation="0" wrapText="false" indent="0" shrinkToFit="false"/>
      <protection locked="true" hidden="false"/>
    </xf>
    <xf numFmtId="164" fontId="7" fillId="3" borderId="0" xfId="0" applyFont="true" applyBorder="false" applyAlignment="true" applyProtection="false">
      <alignment horizontal="right" vertical="top" textRotation="0" wrapText="false" indent="0" shrinkToFit="false"/>
      <protection locked="true" hidden="false"/>
    </xf>
    <xf numFmtId="165" fontId="7" fillId="3" borderId="0" xfId="0" applyFont="true" applyBorder="false" applyAlignment="true" applyProtection="false">
      <alignment horizontal="right"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5" fontId="6" fillId="0" borderId="0" xfId="0" applyFont="true" applyBorder="false" applyAlignment="true" applyProtection="false">
      <alignment horizontal="right" vertical="top" textRotation="0" wrapText="false" indent="0" shrinkToFit="false"/>
      <protection locked="true" hidden="false"/>
    </xf>
    <xf numFmtId="166" fontId="6" fillId="0" borderId="0" xfId="0" applyFont="true" applyBorder="false" applyAlignment="true" applyProtection="false">
      <alignment horizontal="right" vertical="top" textRotation="0" wrapText="false" indent="0" shrinkToFit="false"/>
      <protection locked="true" hidden="false"/>
    </xf>
    <xf numFmtId="165" fontId="6" fillId="0" borderId="0" xfId="0" applyFont="true" applyBorder="false" applyAlignment="true" applyProtection="false">
      <alignment horizontal="right" vertical="bottom" textRotation="0" wrapText="false" indent="0" shrinkToFit="false"/>
      <protection locked="true" hidden="false"/>
    </xf>
    <xf numFmtId="164" fontId="6" fillId="4" borderId="0" xfId="0" applyFont="true" applyBorder="false" applyAlignment="true" applyProtection="false">
      <alignment horizontal="right" vertical="bottom" textRotation="0" wrapText="false" indent="0" shrinkToFit="false"/>
      <protection locked="true" hidden="false"/>
    </xf>
    <xf numFmtId="165" fontId="6" fillId="4" borderId="0" xfId="0" applyFont="true" applyBorder="false" applyAlignment="true" applyProtection="false">
      <alignment horizontal="right" vertical="bottom" textRotation="0" wrapText="false" indent="0" shrinkToFit="false"/>
      <protection locked="true" hidden="false"/>
    </xf>
    <xf numFmtId="164" fontId="0" fillId="4" borderId="0" xfId="0" applyFont="false" applyBorder="false" applyAlignment="true" applyProtection="false">
      <alignment horizontal="right" vertical="bottom" textRotation="0" wrapText="false" indent="0" shrinkToFit="false"/>
      <protection locked="true" hidden="false"/>
    </xf>
    <xf numFmtId="165" fontId="0" fillId="4" borderId="0" xfId="0" applyFont="fals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right" vertical="top" textRotation="0" wrapText="false" indent="0" shrinkToFit="false"/>
      <protection locked="true" hidden="false"/>
    </xf>
    <xf numFmtId="164" fontId="6" fillId="0" borderId="0" xfId="0" applyFont="true" applyBorder="false" applyAlignment="true" applyProtection="false">
      <alignment horizontal="right" vertical="top" textRotation="0" wrapText="false" indent="0" shrinkToFit="false"/>
      <protection locked="true" hidden="false"/>
    </xf>
    <xf numFmtId="167" fontId="6" fillId="0" borderId="0" xfId="0" applyFont="true" applyBorder="false" applyAlignment="true" applyProtection="false">
      <alignment horizontal="right" vertical="top" textRotation="0" wrapText="false" indent="0" shrinkToFit="false"/>
      <protection locked="true" hidden="false"/>
    </xf>
    <xf numFmtId="167" fontId="0" fillId="0" borderId="0" xfId="0" applyFont="true" applyBorder="false" applyAlignment="true" applyProtection="false">
      <alignment horizontal="right" vertical="top"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8" fontId="8"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8" fontId="8" fillId="0" borderId="0" xfId="0" applyFont="true" applyBorder="false" applyAlignment="true" applyProtection="false">
      <alignment horizontal="general" vertical="top"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right"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6" fillId="4" borderId="0" xfId="0" applyFont="true" applyBorder="false" applyAlignment="true" applyProtection="false">
      <alignment horizontal="right" vertical="top" textRotation="0" wrapText="false" indent="0" shrinkToFit="false"/>
      <protection locked="true" hidden="false"/>
    </xf>
    <xf numFmtId="164" fontId="6" fillId="4" borderId="0" xfId="0" applyFont="true" applyBorder="false" applyAlignment="true" applyProtection="false">
      <alignment horizontal="right" vertical="top" textRotation="0" wrapText="false" indent="0" shrinkToFit="false"/>
      <protection locked="true" hidden="false"/>
    </xf>
    <xf numFmtId="164" fontId="0" fillId="4" borderId="0" xfId="0" applyFont="false" applyBorder="false" applyAlignment="true" applyProtection="false">
      <alignment horizontal="right" vertical="top" textRotation="0" wrapText="false" indent="0" shrinkToFit="false"/>
      <protection locked="true" hidden="false"/>
    </xf>
    <xf numFmtId="165" fontId="0" fillId="4" borderId="0" xfId="0" applyFont="false" applyBorder="false" applyAlignment="true" applyProtection="false">
      <alignment horizontal="right" vertical="top"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5" fillId="3" borderId="0" xfId="0" applyFont="true" applyBorder="false" applyAlignment="true" applyProtection="false">
      <alignment horizontal="left" vertical="top" textRotation="0" wrapText="false" indent="0" shrinkToFit="false"/>
      <protection locked="true" hidden="false"/>
    </xf>
    <xf numFmtId="164" fontId="6" fillId="3" borderId="0" xfId="0" applyFont="true" applyBorder="false" applyAlignment="true" applyProtection="false">
      <alignment horizontal="left" vertical="top" textRotation="0" wrapText="false" indent="0" shrinkToFit="false"/>
      <protection locked="true" hidden="false"/>
    </xf>
    <xf numFmtId="165" fontId="6" fillId="3" borderId="0" xfId="0" applyFont="true" applyBorder="false" applyAlignment="true" applyProtection="false">
      <alignment horizontal="right" vertical="top" textRotation="0" wrapText="false" indent="0" shrinkToFit="false"/>
      <protection locked="true" hidden="false"/>
    </xf>
    <xf numFmtId="166" fontId="5" fillId="3" borderId="0" xfId="0" applyFont="true" applyBorder="false" applyAlignment="true" applyProtection="false">
      <alignment horizontal="right" vertical="top" textRotation="0" wrapText="false" indent="0" shrinkToFit="false"/>
      <protection locked="true" hidden="false"/>
    </xf>
    <xf numFmtId="164" fontId="5" fillId="3" borderId="0" xfId="0" applyFont="true" applyBorder="false" applyAlignment="true" applyProtection="false">
      <alignment horizontal="right" vertical="top" textRotation="0" wrapText="false" indent="0" shrinkToFit="false"/>
      <protection locked="true" hidden="false"/>
    </xf>
    <xf numFmtId="165" fontId="5" fillId="3" borderId="0" xfId="0" applyFont="true" applyBorder="false" applyAlignment="true" applyProtection="false">
      <alignment horizontal="right" vertical="top" textRotation="0" wrapText="false" indent="0" shrinkToFit="false"/>
      <protection locked="true" hidden="false"/>
    </xf>
    <xf numFmtId="164" fontId="6" fillId="8"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top" textRotation="0" wrapText="true" indent="0" shrinkToFit="false"/>
      <protection locked="true" hidden="false"/>
    </xf>
    <xf numFmtId="165" fontId="6" fillId="5" borderId="0" xfId="0" applyFont="true" applyBorder="fals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E8E8E8"/>
      <rgbColor rgb="FFDC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FCC99"/>
      <rgbColor rgb="FF3366FF"/>
      <rgbColor rgb="FF33CCCC"/>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x.doi.org/10.1016/j.ibneur.2025.07.014" TargetMode="External"/><Relationship Id="rId2" Type="http://schemas.openxmlformats.org/officeDocument/2006/relationships/hyperlink" Target="https://dx.doi.org/10.1016/j.ibneur.2025.07.014" TargetMode="External"/><Relationship Id="rId3" Type="http://schemas.openxmlformats.org/officeDocument/2006/relationships/hyperlink" Target="https://dx.doi.org/10.32598/bcn.11.4.1775.2" TargetMode="External"/><Relationship Id="rId4" Type="http://schemas.openxmlformats.org/officeDocument/2006/relationships/hyperlink" Target="https://dx.doi.org/10.61186/jambr.32.151.144" TargetMode="External"/><Relationship Id="rId5" Type="http://schemas.openxmlformats.org/officeDocument/2006/relationships/hyperlink" Target="https://dx.doi.org/10.1016/j.ynirp.2022.100104" TargetMode="External"/><Relationship Id="rId6" Type="http://schemas.openxmlformats.org/officeDocument/2006/relationships/hyperlink" Target="https://dx.doi.org/10.3390/brainsci15070709" TargetMode="External"/><Relationship Id="rId7" Type="http://schemas.openxmlformats.org/officeDocument/2006/relationships/hyperlink" Target="https://dx.doi.org/10.22159/ajpcr.2018.v11i1.21593" TargetMode="External"/><Relationship Id="rId8" Type="http://schemas.openxmlformats.org/officeDocument/2006/relationships/hyperlink" Target="https://dx.doi.org/10.1038/s41398-024-02887-y" TargetMode="External"/><Relationship Id="rId9" Type="http://schemas.openxmlformats.org/officeDocument/2006/relationships/hyperlink" Target="https://dx.doi.org/10.1038/s41398-024-02887-y" TargetMode="External"/><Relationship Id="rId10" Type="http://schemas.openxmlformats.org/officeDocument/2006/relationships/hyperlink" Target="https://dx.doi.org/10.1038/mp.2016.174" TargetMode="External"/><Relationship Id="rId11" Type="http://schemas.openxmlformats.org/officeDocument/2006/relationships/hyperlink" Target="https://dx.doi.org/10.1523/ENEURO.0113-20.2020" TargetMode="External"/><Relationship Id="rId12" Type="http://schemas.openxmlformats.org/officeDocument/2006/relationships/hyperlink" Target="https://dx.doi.org/10.7324/JAPS.2024.148021" TargetMode="External"/><Relationship Id="rId13" Type="http://schemas.openxmlformats.org/officeDocument/2006/relationships/hyperlink" Target="https://dx.doi.org/10.7324/JAPS.2024.148021" TargetMode="External"/><Relationship Id="rId14" Type="http://schemas.openxmlformats.org/officeDocument/2006/relationships/hyperlink" Target="https://dx.doi.org/10.7324/JAPS.2024.148021" TargetMode="External"/><Relationship Id="rId15" Type="http://schemas.openxmlformats.org/officeDocument/2006/relationships/hyperlink" Target="https://dx.doi.org/10.7324/JAPS.2024.148021" TargetMode="External"/><Relationship Id="rId16" Type="http://schemas.openxmlformats.org/officeDocument/2006/relationships/hyperlink" Target="https://dx.doi.org/10.3390/ph16060848" TargetMode="External"/><Relationship Id="rId17" Type="http://schemas.openxmlformats.org/officeDocument/2006/relationships/hyperlink" Target="https://dx.doi.org/10.1111/bdi.13319" TargetMode="External"/><Relationship Id="rId18" Type="http://schemas.openxmlformats.org/officeDocument/2006/relationships/hyperlink" Target="https://dx.doi.org/10.1016/j.jhazmat.2021.125179"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dx.doi.org/10.1016/j.neuroscience.2015.09.033" TargetMode="External"/><Relationship Id="rId2" Type="http://schemas.openxmlformats.org/officeDocument/2006/relationships/hyperlink" Target="https://dx.doi.org/10.1016/j.ynirp.2022.100104" TargetMode="External"/><Relationship Id="rId3" Type="http://schemas.openxmlformats.org/officeDocument/2006/relationships/hyperlink" Target="https://dx.doi.org/10.3390/brainsci15070709" TargetMode="External"/><Relationship Id="rId4" Type="http://schemas.openxmlformats.org/officeDocument/2006/relationships/hyperlink" Target="https://dx.doi.org/10.1038/s41398-024-02887-y" TargetMode="External"/><Relationship Id="rId5" Type="http://schemas.openxmlformats.org/officeDocument/2006/relationships/hyperlink" Target="https://dx.doi.org/10.1038/s41398-024-02887-y" TargetMode="External"/><Relationship Id="rId6" Type="http://schemas.openxmlformats.org/officeDocument/2006/relationships/hyperlink" Target="https://dx.doi.org/10.1016/j.ejphar.2023.176273" TargetMode="External"/><Relationship Id="rId7" Type="http://schemas.openxmlformats.org/officeDocument/2006/relationships/hyperlink" Target="https://dx.doi.org/10.22038/AJP.2024.24819" TargetMode="External"/><Relationship Id="rId8" Type="http://schemas.openxmlformats.org/officeDocument/2006/relationships/hyperlink" Target="https://dx.doi.org/10.3389/fpsyt.2022.903004" TargetMode="External"/><Relationship Id="rId9" Type="http://schemas.openxmlformats.org/officeDocument/2006/relationships/hyperlink" Target="https://dx.doi.org/10.3389/fpsyt.2022.903004" TargetMode="External"/><Relationship Id="rId10" Type="http://schemas.openxmlformats.org/officeDocument/2006/relationships/hyperlink" Target="https://dx.doi.org/10.3389/fpsyt.2022.903004" TargetMode="External"/><Relationship Id="rId11" Type="http://schemas.openxmlformats.org/officeDocument/2006/relationships/hyperlink" Target="https://dx.doi.org/10.1111/bdi.13319" TargetMode="External"/><Relationship Id="rId12" Type="http://schemas.openxmlformats.org/officeDocument/2006/relationships/hyperlink" Target="https://dx.doi.org/10.1016/j.jhazmat.2021.125179"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dx.doi.org/10.1016/j.neuroscience.2015.09.033" TargetMode="External"/><Relationship Id="rId2" Type="http://schemas.openxmlformats.org/officeDocument/2006/relationships/hyperlink" Target="https://dx.doi.org/10.1038/s41398-018-0351-z" TargetMode="External"/><Relationship Id="rId3" Type="http://schemas.openxmlformats.org/officeDocument/2006/relationships/hyperlink" Target="https://dx.doi.org/10.13040/IJPSR.0975-8232.9%2811%29.4832-41" TargetMode="External"/><Relationship Id="rId4" Type="http://schemas.openxmlformats.org/officeDocument/2006/relationships/hyperlink" Target="https://dx.doi.org/10.1016/j.ynirp.2022.100104" TargetMode="External"/><Relationship Id="rId5" Type="http://schemas.openxmlformats.org/officeDocument/2006/relationships/hyperlink" Target="https://dx.doi.org/10.3390/brainsci15070709" TargetMode="External"/><Relationship Id="rId6" Type="http://schemas.openxmlformats.org/officeDocument/2006/relationships/hyperlink" Target="https://dx.doi.org/10.1016/j.joim.2021.11.007" TargetMode="External"/><Relationship Id="rId7" Type="http://schemas.openxmlformats.org/officeDocument/2006/relationships/hyperlink" Target="https://dx.doi.org/10.1016/j.ejphar.2023.176273" TargetMode="External"/><Relationship Id="rId8" Type="http://schemas.openxmlformats.org/officeDocument/2006/relationships/hyperlink" Target="https://dx.doi.org/10.1007/s12640-018-9963-6" TargetMode="External"/><Relationship Id="rId9" Type="http://schemas.openxmlformats.org/officeDocument/2006/relationships/hyperlink" Target="https://dx.doi.org/10.1523/ENEURO.0113-20.2020" TargetMode="External"/><Relationship Id="rId10" Type="http://schemas.openxmlformats.org/officeDocument/2006/relationships/hyperlink" Target="https://dx.doi.org/10.1111/bdi.13319"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dx.doi.org/10.1016/j.neuroscience.2015.09.033" TargetMode="External"/><Relationship Id="rId2" Type="http://schemas.openxmlformats.org/officeDocument/2006/relationships/hyperlink" Target="https://dx.doi.org/10.3892/mmr.2017.6851" TargetMode="External"/><Relationship Id="rId3" Type="http://schemas.openxmlformats.org/officeDocument/2006/relationships/hyperlink" Target="https://dx.doi.org/10.1038/s41398-018-0351-z" TargetMode="External"/><Relationship Id="rId4" Type="http://schemas.openxmlformats.org/officeDocument/2006/relationships/hyperlink" Target="https://dx.doi.org/10.13040/IJPSR.0975-8232.9%2811%29.4832-41" TargetMode="External"/><Relationship Id="rId5" Type="http://schemas.openxmlformats.org/officeDocument/2006/relationships/hyperlink" Target="https://dx.doi.org/10.61186/jambr.32.151.144" TargetMode="External"/><Relationship Id="rId6" Type="http://schemas.openxmlformats.org/officeDocument/2006/relationships/hyperlink" Target="https://dx.doi.org/10.1155/2017/2357653" TargetMode="External"/><Relationship Id="rId7" Type="http://schemas.openxmlformats.org/officeDocument/2006/relationships/hyperlink" Target="https://dx.doi.org/10.3389/fpsyt.2018.00399" TargetMode="External"/><Relationship Id="rId8" Type="http://schemas.openxmlformats.org/officeDocument/2006/relationships/hyperlink" Target="https://dx.doi.org/10.3390/brainsci15070709" TargetMode="External"/><Relationship Id="rId9" Type="http://schemas.openxmlformats.org/officeDocument/2006/relationships/hyperlink" Target="https://dx.doi.org/10.1038/s41398-024-02887-y" TargetMode="External"/><Relationship Id="rId10" Type="http://schemas.openxmlformats.org/officeDocument/2006/relationships/hyperlink" Target="https://dx.doi.org/10.1038/s41398-024-02887-y" TargetMode="External"/><Relationship Id="rId11" Type="http://schemas.openxmlformats.org/officeDocument/2006/relationships/hyperlink" Target="https://dx.doi.org/10.1007/s12640-018-9963-6" TargetMode="External"/><Relationship Id="rId12" Type="http://schemas.openxmlformats.org/officeDocument/2006/relationships/hyperlink" Target="https://dx.doi.org/10.1021/acs.jafc.2c04593" TargetMode="External"/><Relationship Id="rId13" Type="http://schemas.openxmlformats.org/officeDocument/2006/relationships/hyperlink" Target="https://dx.doi.org/10.1155/2017/1676808" TargetMode="External"/><Relationship Id="rId14" Type="http://schemas.openxmlformats.org/officeDocument/2006/relationships/hyperlink" Target="https://dx.doi.org/10.7324/JAPS.2024.148021" TargetMode="External"/><Relationship Id="rId15" Type="http://schemas.openxmlformats.org/officeDocument/2006/relationships/hyperlink" Target="https://dx.doi.org/10.3390/ph16060848" TargetMode="External"/><Relationship Id="rId16" Type="http://schemas.openxmlformats.org/officeDocument/2006/relationships/hyperlink" Target="https://dx.doi.org/10.1111/bdi.13319" TargetMode="External"/><Relationship Id="rId17" Type="http://schemas.openxmlformats.org/officeDocument/2006/relationships/hyperlink" Target="https://dx.doi.org/10.1155/2015/4152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52" activeCellId="0" sqref="D52"/>
    </sheetView>
  </sheetViews>
  <sheetFormatPr defaultColWidth="8.59765625" defaultRowHeight="15" customHeight="false" zeroHeight="false" outlineLevelRow="0" outlineLevelCol="0"/>
  <cols>
    <col collapsed="false" customWidth="true" hidden="false" outlineLevel="0" max="1" min="1" style="0" width="10.86"/>
    <col collapsed="false" customWidth="true" hidden="false" outlineLevel="0" max="2" min="2" style="1" width="9.14"/>
    <col collapsed="false" customWidth="true" hidden="false" outlineLevel="0" max="3" min="3" style="1" width="33"/>
    <col collapsed="false" customWidth="true" hidden="false" outlineLevel="0" max="4" min="4" style="1" width="12.14"/>
    <col collapsed="false" customWidth="true" hidden="false" outlineLevel="0" max="5" min="5" style="1" width="15.57"/>
    <col collapsed="false" customWidth="true" hidden="false" outlineLevel="0" max="6" min="6" style="1" width="9.14"/>
    <col collapsed="false" customWidth="true" hidden="false" outlineLevel="0" max="7" min="7" style="1" width="20.43"/>
    <col collapsed="false" customWidth="true" hidden="false" outlineLevel="0" max="8" min="8" style="0" width="4.29"/>
    <col collapsed="false" customWidth="true" hidden="false" outlineLevel="0" max="9" min="9" style="0" width="26.71"/>
    <col collapsed="false" customWidth="true" hidden="false" outlineLevel="0" max="10" min="10" style="0" width="11.72"/>
    <col collapsed="false" customWidth="true" hidden="false" outlineLevel="0" max="11" min="11" style="2" width="17.57"/>
    <col collapsed="false" customWidth="true" hidden="false" outlineLevel="0" max="12" min="12" style="0" width="16.72"/>
    <col collapsed="false" customWidth="true" hidden="false" outlineLevel="0" max="13" min="13" style="0" width="13.43"/>
    <col collapsed="false" customWidth="true" hidden="false" outlineLevel="0" max="14" min="14" style="3" width="19.72"/>
    <col collapsed="false" customWidth="true" hidden="false" outlineLevel="0" max="15" min="15" style="3" width="19"/>
    <col collapsed="false" customWidth="true" hidden="false" outlineLevel="0" max="16" min="16" style="0" width="9"/>
    <col collapsed="false" customWidth="true" hidden="false" outlineLevel="0" max="18" min="17" style="0" width="16.72"/>
    <col collapsed="false" customWidth="true" hidden="false" outlineLevel="0" max="19" min="19" style="3" width="10.71"/>
    <col collapsed="false" customWidth="true" hidden="false" outlineLevel="0" max="20" min="20" style="4" width="14"/>
    <col collapsed="false" customWidth="true" hidden="false" outlineLevel="0" max="21" min="21" style="4" width="11.86"/>
    <col collapsed="false" customWidth="true" hidden="false" outlineLevel="0" max="23" min="22" style="5" width="8.86"/>
    <col collapsed="false" customWidth="true" hidden="false" outlineLevel="0" max="24" min="24" style="4" width="18.86"/>
    <col collapsed="false" customWidth="true" hidden="false" outlineLevel="0" max="25" min="25" style="4" width="2.71"/>
    <col collapsed="false" customWidth="true" hidden="false" outlineLevel="0" max="26" min="26" style="4" width="14.14"/>
    <col collapsed="false" customWidth="true" hidden="false" outlineLevel="0" max="27" min="27" style="4" width="11.86"/>
    <col collapsed="false" customWidth="false" hidden="false" outlineLevel="0" max="29" min="28" style="5" width="8.57"/>
    <col collapsed="false" customWidth="true" hidden="false" outlineLevel="0" max="30" min="30" style="4" width="18.86"/>
    <col collapsed="false" customWidth="true" hidden="false" outlineLevel="0" max="31" min="31" style="3" width="3.72"/>
    <col collapsed="false" customWidth="true" hidden="false" outlineLevel="0" max="32" min="32" style="0" width="25.29"/>
  </cols>
  <sheetData>
    <row r="1" customFormat="false" ht="15" hidden="false" customHeight="false" outlineLevel="0" collapsed="false">
      <c r="T1" s="6" t="s">
        <v>0</v>
      </c>
      <c r="U1" s="7"/>
      <c r="V1" s="8"/>
      <c r="W1" s="8"/>
      <c r="X1" s="7"/>
      <c r="Y1" s="9"/>
      <c r="Z1" s="10" t="s">
        <v>1</v>
      </c>
      <c r="AA1" s="11"/>
      <c r="AB1" s="12"/>
      <c r="AC1" s="12"/>
      <c r="AD1" s="11"/>
    </row>
    <row r="2" customFormat="false" ht="15" hidden="false" customHeight="false" outlineLevel="0" collapsed="false">
      <c r="A2" s="13" t="s">
        <v>2</v>
      </c>
      <c r="B2" s="13" t="s">
        <v>3</v>
      </c>
      <c r="C2" s="13" t="s">
        <v>4</v>
      </c>
      <c r="D2" s="13" t="s">
        <v>5</v>
      </c>
      <c r="E2" s="13" t="s">
        <v>6</v>
      </c>
      <c r="F2" s="13" t="s">
        <v>7</v>
      </c>
      <c r="G2" s="13" t="s">
        <v>8</v>
      </c>
      <c r="H2" s="13" t="s">
        <v>9</v>
      </c>
      <c r="I2" s="13" t="s">
        <v>10</v>
      </c>
      <c r="J2" s="13" t="s">
        <v>11</v>
      </c>
      <c r="K2" s="14" t="s">
        <v>12</v>
      </c>
      <c r="L2" s="13" t="s">
        <v>13</v>
      </c>
      <c r="M2" s="13" t="s">
        <v>14</v>
      </c>
      <c r="N2" s="15" t="s">
        <v>15</v>
      </c>
      <c r="O2" s="15" t="s">
        <v>16</v>
      </c>
      <c r="P2" s="13" t="s">
        <v>17</v>
      </c>
      <c r="Q2" s="13" t="s">
        <v>18</v>
      </c>
      <c r="R2" s="13" t="s">
        <v>19</v>
      </c>
      <c r="S2" s="16" t="s">
        <v>20</v>
      </c>
      <c r="T2" s="17" t="s">
        <v>21</v>
      </c>
      <c r="U2" s="18" t="s">
        <v>22</v>
      </c>
      <c r="V2" s="19" t="s">
        <v>23</v>
      </c>
      <c r="W2" s="19" t="s">
        <v>24</v>
      </c>
      <c r="X2" s="18" t="s">
        <v>25</v>
      </c>
      <c r="Z2" s="20" t="s">
        <v>26</v>
      </c>
      <c r="AA2" s="21" t="s">
        <v>27</v>
      </c>
      <c r="AB2" s="22" t="s">
        <v>23</v>
      </c>
      <c r="AC2" s="22" t="s">
        <v>24</v>
      </c>
      <c r="AD2" s="21" t="s">
        <v>25</v>
      </c>
    </row>
    <row r="3" customFormat="false" ht="15" hidden="false" customHeight="false" outlineLevel="0" collapsed="false">
      <c r="A3" s="0" t="n">
        <v>1016</v>
      </c>
      <c r="B3" s="23"/>
      <c r="C3" s="23" t="s">
        <v>28</v>
      </c>
      <c r="D3" s="23" t="s">
        <v>29</v>
      </c>
      <c r="E3" s="23" t="s">
        <v>30</v>
      </c>
      <c r="F3" s="23" t="n">
        <v>2022</v>
      </c>
      <c r="G3" s="23" t="s">
        <v>31</v>
      </c>
      <c r="H3" s="0" t="n">
        <v>1</v>
      </c>
      <c r="I3" s="0" t="s">
        <v>32</v>
      </c>
      <c r="J3" s="0" t="s">
        <v>33</v>
      </c>
      <c r="K3" s="2" t="s">
        <v>34</v>
      </c>
      <c r="L3" s="0" t="n">
        <v>360</v>
      </c>
      <c r="M3" s="0" t="n">
        <v>1</v>
      </c>
      <c r="N3" s="3" t="n">
        <v>28</v>
      </c>
      <c r="O3" s="24" t="n">
        <f aca="false">N3*L3</f>
        <v>10080</v>
      </c>
      <c r="Q3" s="0" t="n">
        <v>6</v>
      </c>
      <c r="R3" s="0" t="n">
        <v>4</v>
      </c>
      <c r="S3" s="3" t="s">
        <v>35</v>
      </c>
      <c r="T3" s="3" t="n">
        <v>26</v>
      </c>
      <c r="U3" s="2" t="s">
        <v>36</v>
      </c>
      <c r="V3" s="25" t="s">
        <v>36</v>
      </c>
      <c r="W3" s="25" t="s">
        <v>36</v>
      </c>
      <c r="X3" s="26" t="n">
        <f aca="false">U3*(SQRT(W3))</f>
        <v>22.6274169979695</v>
      </c>
      <c r="Z3" s="4" t="n">
        <v>140</v>
      </c>
      <c r="AA3" s="4" t="n">
        <v>32</v>
      </c>
      <c r="AB3" s="25" t="s">
        <v>36</v>
      </c>
      <c r="AC3" s="25" t="s">
        <v>36</v>
      </c>
      <c r="AD3" s="26" t="n">
        <f aca="false">AA3*(SQRT(AC3))</f>
        <v>90.5096679918781</v>
      </c>
    </row>
    <row r="4" s="32" customFormat="true" ht="15" hidden="false" customHeight="false" outlineLevel="0" collapsed="false">
      <c r="A4" s="23" t="n">
        <v>1287</v>
      </c>
      <c r="B4" s="23"/>
      <c r="C4" s="23" t="s">
        <v>37</v>
      </c>
      <c r="D4" s="23" t="s">
        <v>38</v>
      </c>
      <c r="E4" s="23" t="s">
        <v>39</v>
      </c>
      <c r="F4" s="23" t="n">
        <v>2024</v>
      </c>
      <c r="G4" s="23" t="s">
        <v>40</v>
      </c>
      <c r="H4" s="23" t="n">
        <v>1</v>
      </c>
      <c r="I4" s="23" t="s">
        <v>32</v>
      </c>
      <c r="J4" s="23" t="s">
        <v>33</v>
      </c>
      <c r="K4" s="27" t="s">
        <v>41</v>
      </c>
      <c r="L4" s="23" t="n">
        <v>300</v>
      </c>
      <c r="M4" s="23" t="n">
        <v>1</v>
      </c>
      <c r="N4" s="24" t="n">
        <v>21</v>
      </c>
      <c r="O4" s="24" t="n">
        <f aca="false">L4*M4*N4</f>
        <v>6300</v>
      </c>
      <c r="P4" s="23"/>
      <c r="Q4" s="23" t="n">
        <v>5</v>
      </c>
      <c r="R4" s="23" t="n">
        <v>5</v>
      </c>
      <c r="S4" s="28"/>
      <c r="T4" s="28"/>
      <c r="U4" s="28"/>
      <c r="V4" s="29"/>
      <c r="W4" s="29"/>
      <c r="X4" s="28"/>
      <c r="Y4" s="4"/>
      <c r="Z4" s="30"/>
      <c r="AA4" s="30"/>
      <c r="AB4" s="31"/>
      <c r="AC4" s="31"/>
      <c r="AD4" s="30"/>
      <c r="AE4" s="3"/>
    </row>
    <row r="5" s="32" customFormat="true" ht="15" hidden="false" customHeight="false" outlineLevel="0" collapsed="false">
      <c r="A5" s="23" t="n">
        <v>1407</v>
      </c>
      <c r="B5" s="23"/>
      <c r="C5" s="23" t="s">
        <v>42</v>
      </c>
      <c r="D5" s="23" t="s">
        <v>43</v>
      </c>
      <c r="E5" s="23" t="s">
        <v>44</v>
      </c>
      <c r="F5" s="23" t="n">
        <v>2021</v>
      </c>
      <c r="G5" s="23" t="s">
        <v>45</v>
      </c>
      <c r="H5" s="23" t="n">
        <v>1</v>
      </c>
      <c r="I5" s="23" t="s">
        <v>32</v>
      </c>
      <c r="J5" s="23" t="s">
        <v>33</v>
      </c>
      <c r="K5" s="27" t="s">
        <v>41</v>
      </c>
      <c r="L5" s="23" t="n">
        <v>60</v>
      </c>
      <c r="M5" s="23" t="n">
        <v>1</v>
      </c>
      <c r="N5" s="24" t="n">
        <v>14</v>
      </c>
      <c r="O5" s="24" t="n">
        <f aca="false">L5*M5*N5</f>
        <v>840</v>
      </c>
      <c r="P5" s="23"/>
      <c r="Q5" s="23" t="n">
        <v>6</v>
      </c>
      <c r="R5" s="23" t="n">
        <v>6</v>
      </c>
      <c r="S5" s="24" t="s">
        <v>46</v>
      </c>
      <c r="T5" s="23" t="n">
        <v>343</v>
      </c>
      <c r="U5" s="23" t="n">
        <v>10</v>
      </c>
      <c r="V5" s="25" t="s">
        <v>36</v>
      </c>
      <c r="W5" s="25" t="s">
        <v>36</v>
      </c>
      <c r="X5" s="26" t="n">
        <f aca="false">U5*(SQRT(W5))</f>
        <v>28.2842712474619</v>
      </c>
      <c r="Y5" s="4"/>
      <c r="Z5" s="4" t="n">
        <v>339</v>
      </c>
      <c r="AA5" s="4" t="n">
        <v>7</v>
      </c>
      <c r="AB5" s="25" t="s">
        <v>36</v>
      </c>
      <c r="AC5" s="25" t="s">
        <v>36</v>
      </c>
      <c r="AD5" s="26" t="n">
        <f aca="false">AA5*(SQRT(AC5))</f>
        <v>19.7989898732233</v>
      </c>
      <c r="AE5" s="3"/>
    </row>
    <row r="6" customFormat="false" ht="15" hidden="false" customHeight="false" outlineLevel="0" collapsed="false">
      <c r="A6" s="23" t="n">
        <v>1502</v>
      </c>
      <c r="B6" s="23"/>
      <c r="C6" s="23" t="s">
        <v>47</v>
      </c>
      <c r="D6" s="23" t="s">
        <v>48</v>
      </c>
      <c r="E6" s="23" t="s">
        <v>49</v>
      </c>
      <c r="F6" s="23" t="n">
        <v>2018</v>
      </c>
      <c r="G6" s="23" t="s">
        <v>50</v>
      </c>
      <c r="H6" s="23" t="n">
        <v>1</v>
      </c>
      <c r="I6" s="23" t="s">
        <v>51</v>
      </c>
      <c r="J6" s="27" t="s">
        <v>41</v>
      </c>
      <c r="K6" s="27"/>
      <c r="L6" s="23" t="n">
        <v>360</v>
      </c>
      <c r="M6" s="23" t="n">
        <v>1</v>
      </c>
      <c r="N6" s="24" t="n">
        <v>7</v>
      </c>
      <c r="O6" s="24" t="n">
        <f aca="false">L6*M6*N6</f>
        <v>2520</v>
      </c>
      <c r="P6" s="23"/>
      <c r="Q6" s="23" t="n">
        <v>6</v>
      </c>
      <c r="R6" s="23" t="n">
        <v>6</v>
      </c>
      <c r="S6" s="24" t="s">
        <v>52</v>
      </c>
      <c r="T6" s="23" t="n">
        <v>40</v>
      </c>
      <c r="U6" s="23" t="n">
        <v>3</v>
      </c>
      <c r="V6" s="5" t="s">
        <v>53</v>
      </c>
      <c r="W6" s="5" t="s">
        <v>53</v>
      </c>
      <c r="X6" s="26" t="n">
        <f aca="false">U6*(SQRT(W6))</f>
        <v>6.70820393249937</v>
      </c>
      <c r="Z6" s="4" t="n">
        <v>50</v>
      </c>
      <c r="AA6" s="4" t="n">
        <v>5</v>
      </c>
      <c r="AB6" s="5" t="s">
        <v>53</v>
      </c>
      <c r="AC6" s="5" t="s">
        <v>53</v>
      </c>
      <c r="AD6" s="26" t="n">
        <f aca="false">AA6*(SQRT(AC6))</f>
        <v>11.1803398874989</v>
      </c>
    </row>
    <row r="7" customFormat="false" ht="15" hidden="false" customHeight="false" outlineLevel="0" collapsed="false">
      <c r="A7" s="23" t="n">
        <v>1565</v>
      </c>
      <c r="B7" s="23"/>
      <c r="C7" s="23" t="s">
        <v>54</v>
      </c>
      <c r="D7" s="23" t="s">
        <v>55</v>
      </c>
      <c r="E7" s="23" t="s">
        <v>56</v>
      </c>
      <c r="F7" s="23" t="n">
        <v>2019</v>
      </c>
      <c r="G7" s="23" t="s">
        <v>57</v>
      </c>
      <c r="H7" s="23" t="n">
        <v>1</v>
      </c>
      <c r="I7" s="23" t="s">
        <v>51</v>
      </c>
      <c r="J7" s="23" t="s">
        <v>33</v>
      </c>
      <c r="K7" s="27" t="s">
        <v>58</v>
      </c>
      <c r="L7" s="23" t="n">
        <v>120</v>
      </c>
      <c r="M7" s="23" t="n">
        <v>1</v>
      </c>
      <c r="N7" s="24" t="n">
        <v>10</v>
      </c>
      <c r="O7" s="24" t="n">
        <f aca="false">L7*M7*N7</f>
        <v>1200</v>
      </c>
      <c r="P7" s="23"/>
      <c r="Q7" s="23" t="n">
        <v>5</v>
      </c>
      <c r="R7" s="23" t="n">
        <v>5</v>
      </c>
      <c r="S7" s="24" t="s">
        <v>59</v>
      </c>
      <c r="T7" s="23" t="n">
        <v>65</v>
      </c>
      <c r="U7" s="23" t="n">
        <v>6</v>
      </c>
      <c r="V7" s="25" t="s">
        <v>60</v>
      </c>
      <c r="W7" s="25" t="s">
        <v>61</v>
      </c>
      <c r="X7" s="26" t="n">
        <f aca="false">U7*(SQRT(W7))</f>
        <v>15.8745078663875</v>
      </c>
      <c r="Z7" s="4" t="n">
        <v>114</v>
      </c>
      <c r="AA7" s="4" t="n">
        <v>10</v>
      </c>
      <c r="AB7" s="25" t="s">
        <v>60</v>
      </c>
      <c r="AC7" s="25" t="s">
        <v>61</v>
      </c>
      <c r="AD7" s="26" t="n">
        <f aca="false">AA7*(SQRT(AC7))</f>
        <v>26.4575131106459</v>
      </c>
    </row>
    <row r="8" customFormat="false" ht="15" hidden="false" customHeight="false" outlineLevel="0" collapsed="false">
      <c r="A8" s="23" t="n">
        <v>1764</v>
      </c>
      <c r="B8" s="23" t="n">
        <v>30740068</v>
      </c>
      <c r="C8" s="23" t="s">
        <v>62</v>
      </c>
      <c r="D8" s="23" t="s">
        <v>63</v>
      </c>
      <c r="E8" s="23" t="s">
        <v>64</v>
      </c>
      <c r="F8" s="23" t="n">
        <v>2019</v>
      </c>
      <c r="G8" s="23" t="s">
        <v>65</v>
      </c>
      <c r="H8" s="23" t="n">
        <v>1</v>
      </c>
      <c r="I8" s="23" t="s">
        <v>32</v>
      </c>
      <c r="J8" s="23" t="s">
        <v>33</v>
      </c>
      <c r="K8" s="27" t="s">
        <v>36</v>
      </c>
      <c r="L8" s="23" t="n">
        <v>240</v>
      </c>
      <c r="M8" s="23" t="n">
        <v>1</v>
      </c>
      <c r="N8" s="24" t="n">
        <v>21</v>
      </c>
      <c r="O8" s="24" t="n">
        <f aca="false">N8*L8</f>
        <v>5040</v>
      </c>
      <c r="P8" s="23"/>
      <c r="Q8" s="23" t="n">
        <v>5</v>
      </c>
      <c r="R8" s="23" t="n">
        <v>5</v>
      </c>
      <c r="S8" s="24" t="s">
        <v>46</v>
      </c>
      <c r="T8" s="24" t="n">
        <v>32</v>
      </c>
      <c r="U8" s="24" t="n">
        <v>6.5</v>
      </c>
      <c r="V8" s="27" t="n">
        <v>10</v>
      </c>
      <c r="W8" s="27" t="n">
        <v>10</v>
      </c>
      <c r="X8" s="26" t="n">
        <f aca="false">U8*(SQRT(W8))</f>
        <v>20.5548047910945</v>
      </c>
      <c r="Y8" s="3"/>
      <c r="Z8" s="3" t="n">
        <v>71</v>
      </c>
      <c r="AA8" s="3" t="n">
        <v>10</v>
      </c>
      <c r="AB8" s="2" t="n">
        <v>10</v>
      </c>
      <c r="AC8" s="2" t="n">
        <v>10</v>
      </c>
      <c r="AD8" s="33" t="n">
        <f aca="false">AA8*(SQRT(AC8))</f>
        <v>31.6227766016838</v>
      </c>
    </row>
    <row r="9" customFormat="false" ht="15" hidden="false" customHeight="false" outlineLevel="0" collapsed="false">
      <c r="A9" s="23" t="n">
        <v>1796</v>
      </c>
      <c r="B9" s="23" t="n">
        <v>25446675</v>
      </c>
      <c r="C9" s="23" t="s">
        <v>66</v>
      </c>
      <c r="D9" s="23" t="s">
        <v>67</v>
      </c>
      <c r="E9" s="23" t="s">
        <v>68</v>
      </c>
      <c r="F9" s="23" t="n">
        <v>2015</v>
      </c>
      <c r="G9" s="23" t="s">
        <v>69</v>
      </c>
      <c r="H9" s="23" t="n">
        <v>1</v>
      </c>
      <c r="I9" s="23" t="s">
        <v>32</v>
      </c>
      <c r="J9" s="23" t="s">
        <v>33</v>
      </c>
      <c r="K9" s="27" t="s">
        <v>36</v>
      </c>
      <c r="L9" s="23" t="n">
        <v>240</v>
      </c>
      <c r="M9" s="23" t="n">
        <v>1</v>
      </c>
      <c r="N9" s="24" t="n">
        <v>10</v>
      </c>
      <c r="O9" s="24" t="n">
        <f aca="false">N9*L9</f>
        <v>2400</v>
      </c>
      <c r="P9" s="23"/>
      <c r="Q9" s="23" t="n">
        <v>5</v>
      </c>
      <c r="R9" s="23" t="n">
        <v>5</v>
      </c>
      <c r="S9" s="24" t="s">
        <v>70</v>
      </c>
      <c r="T9" s="34" t="n">
        <v>29</v>
      </c>
      <c r="U9" s="35" t="s">
        <v>71</v>
      </c>
      <c r="V9" s="25" t="s">
        <v>61</v>
      </c>
      <c r="W9" s="25"/>
      <c r="X9" s="26" t="n">
        <v>8</v>
      </c>
      <c r="Z9" s="4" t="n">
        <v>60</v>
      </c>
      <c r="AA9" s="36" t="s">
        <v>71</v>
      </c>
      <c r="AB9" s="5" t="s">
        <v>61</v>
      </c>
      <c r="AD9" s="33" t="n">
        <v>3</v>
      </c>
    </row>
    <row r="10" customFormat="false" ht="15" hidden="false" customHeight="false" outlineLevel="0" collapsed="false">
      <c r="A10" s="23" t="n">
        <v>1983</v>
      </c>
      <c r="B10" s="23"/>
      <c r="C10" s="23" t="s">
        <v>72</v>
      </c>
      <c r="D10" s="23" t="s">
        <v>73</v>
      </c>
      <c r="E10" s="23" t="s">
        <v>74</v>
      </c>
      <c r="F10" s="23" t="n">
        <v>2017</v>
      </c>
      <c r="G10" s="23" t="s">
        <v>75</v>
      </c>
      <c r="H10" s="23" t="n">
        <v>1</v>
      </c>
      <c r="I10" s="23" t="s">
        <v>51</v>
      </c>
      <c r="J10" s="23" t="s">
        <v>33</v>
      </c>
      <c r="K10" s="27"/>
      <c r="L10" s="23" t="n">
        <v>180</v>
      </c>
      <c r="M10" s="23" t="n">
        <v>1</v>
      </c>
      <c r="N10" s="24" t="n">
        <v>15</v>
      </c>
      <c r="O10" s="24" t="n">
        <f aca="false">L10*M10*N10</f>
        <v>2700</v>
      </c>
      <c r="P10" s="23" t="s">
        <v>76</v>
      </c>
      <c r="Q10" s="23" t="n">
        <v>5</v>
      </c>
      <c r="R10" s="23" t="n">
        <v>5</v>
      </c>
      <c r="S10" s="24" t="s">
        <v>77</v>
      </c>
      <c r="T10" s="23" t="n">
        <v>260</v>
      </c>
      <c r="U10" s="23" t="n">
        <v>3</v>
      </c>
      <c r="V10" s="25" t="s">
        <v>78</v>
      </c>
      <c r="W10" s="25" t="s">
        <v>78</v>
      </c>
      <c r="X10" s="33" t="n">
        <f aca="false">U10*(SQRT(W10))</f>
        <v>9.48683298050514</v>
      </c>
      <c r="Z10" s="4" t="n">
        <v>287</v>
      </c>
      <c r="AA10" s="4" t="n">
        <v>1</v>
      </c>
      <c r="AB10" s="5" t="s">
        <v>79</v>
      </c>
      <c r="AC10" s="5" t="s">
        <v>79</v>
      </c>
      <c r="AD10" s="33" t="n">
        <f aca="false">AA10*(SQRT(AC10))</f>
        <v>3</v>
      </c>
    </row>
    <row r="11" customFormat="false" ht="15" hidden="false" customHeight="false" outlineLevel="0" collapsed="false">
      <c r="A11" s="23" t="n">
        <v>2075</v>
      </c>
      <c r="B11" s="23" t="n">
        <v>35814204</v>
      </c>
      <c r="C11" s="23" t="s">
        <v>80</v>
      </c>
      <c r="D11" s="23" t="s">
        <v>81</v>
      </c>
      <c r="E11" s="23" t="s">
        <v>82</v>
      </c>
      <c r="F11" s="23" t="n">
        <v>2022</v>
      </c>
      <c r="G11" s="23" t="s">
        <v>83</v>
      </c>
      <c r="H11" s="23" t="n">
        <v>1</v>
      </c>
      <c r="I11" s="23" t="s">
        <v>32</v>
      </c>
      <c r="J11" s="23" t="s">
        <v>33</v>
      </c>
      <c r="K11" s="27" t="s">
        <v>36</v>
      </c>
      <c r="L11" s="23" t="n">
        <v>180</v>
      </c>
      <c r="M11" s="23" t="n">
        <v>1</v>
      </c>
      <c r="N11" s="24" t="n">
        <v>21</v>
      </c>
      <c r="O11" s="24" t="n">
        <f aca="false">N11*L11</f>
        <v>3780</v>
      </c>
      <c r="P11" s="23"/>
      <c r="Q11" s="23" t="n">
        <v>6</v>
      </c>
      <c r="R11" s="23" t="n">
        <v>6</v>
      </c>
      <c r="S11" s="34" t="s">
        <v>46</v>
      </c>
      <c r="T11" s="34" t="n">
        <v>99</v>
      </c>
      <c r="U11" s="34" t="n">
        <v>9</v>
      </c>
      <c r="V11" s="25" t="s">
        <v>84</v>
      </c>
      <c r="W11" s="25" t="s">
        <v>84</v>
      </c>
      <c r="X11" s="26" t="n">
        <f aca="false">U11*(SQRT(W11))</f>
        <v>31.1769145362398</v>
      </c>
      <c r="Z11" s="4" t="n">
        <v>233</v>
      </c>
      <c r="AA11" s="4" t="n">
        <v>26</v>
      </c>
      <c r="AB11" s="5" t="s">
        <v>84</v>
      </c>
      <c r="AC11" s="5" t="s">
        <v>84</v>
      </c>
      <c r="AD11" s="33" t="n">
        <f aca="false">AA11*(SQRT(AC11))</f>
        <v>90.0666419935816</v>
      </c>
    </row>
    <row r="12" customFormat="false" ht="15" hidden="false" customHeight="false" outlineLevel="0" collapsed="false">
      <c r="A12" s="23" t="n">
        <v>2300</v>
      </c>
      <c r="B12" s="23" t="n">
        <v>29561292</v>
      </c>
      <c r="C12" s="23" t="s">
        <v>85</v>
      </c>
      <c r="D12" s="23" t="s">
        <v>86</v>
      </c>
      <c r="E12" s="23" t="s">
        <v>87</v>
      </c>
      <c r="F12" s="23" t="n">
        <v>2018</v>
      </c>
      <c r="G12" s="23" t="s">
        <v>88</v>
      </c>
      <c r="H12" s="23" t="n">
        <v>1</v>
      </c>
      <c r="I12" s="23" t="s">
        <v>51</v>
      </c>
      <c r="J12" s="23" t="s">
        <v>33</v>
      </c>
      <c r="K12" s="27"/>
      <c r="L12" s="23" t="n">
        <v>360</v>
      </c>
      <c r="M12" s="23" t="n">
        <v>1</v>
      </c>
      <c r="N12" s="24" t="n">
        <v>28</v>
      </c>
      <c r="O12" s="24" t="n">
        <f aca="false">N12*L12</f>
        <v>10080</v>
      </c>
      <c r="P12" s="23"/>
      <c r="Q12" s="23" t="n">
        <v>5</v>
      </c>
      <c r="R12" s="23" t="n">
        <v>5</v>
      </c>
      <c r="S12" s="25" t="s">
        <v>89</v>
      </c>
      <c r="T12" s="34" t="n">
        <v>64</v>
      </c>
      <c r="U12" s="34" t="n">
        <v>3</v>
      </c>
      <c r="V12" s="25" t="s">
        <v>36</v>
      </c>
      <c r="W12" s="25" t="s">
        <v>36</v>
      </c>
      <c r="X12" s="26" t="n">
        <f aca="false">U12*(SQRT(W12))</f>
        <v>8.48528137423857</v>
      </c>
      <c r="Z12" s="4" t="n">
        <v>117</v>
      </c>
      <c r="AA12" s="4" t="n">
        <v>11</v>
      </c>
      <c r="AB12" s="5" t="s">
        <v>36</v>
      </c>
      <c r="AC12" s="5" t="s">
        <v>36</v>
      </c>
      <c r="AD12" s="33" t="n">
        <f aca="false">AA12*(SQRT(AC12))</f>
        <v>31.1126983722081</v>
      </c>
    </row>
    <row r="13" customFormat="false" ht="16.4" hidden="false" customHeight="false" outlineLevel="0" collapsed="false">
      <c r="A13" s="37" t="n">
        <v>2319</v>
      </c>
      <c r="B13" s="37"/>
      <c r="C13" s="38" t="s">
        <v>90</v>
      </c>
      <c r="D13" s="38" t="s">
        <v>91</v>
      </c>
      <c r="E13" s="38" t="s">
        <v>92</v>
      </c>
      <c r="F13" s="38" t="n">
        <v>2025</v>
      </c>
      <c r="G13" s="39" t="s">
        <v>93</v>
      </c>
      <c r="H13" s="37" t="n">
        <v>1</v>
      </c>
      <c r="I13" s="23" t="s">
        <v>51</v>
      </c>
      <c r="J13" s="37" t="s">
        <v>33</v>
      </c>
      <c r="K13" s="27" t="s">
        <v>94</v>
      </c>
      <c r="L13" s="23" t="s">
        <v>95</v>
      </c>
      <c r="M13" s="23"/>
      <c r="N13" s="24" t="n">
        <v>21</v>
      </c>
      <c r="O13" s="24" t="n">
        <v>2520</v>
      </c>
      <c r="P13" s="23"/>
      <c r="Q13" s="23" t="n">
        <v>6</v>
      </c>
      <c r="R13" s="23" t="n">
        <v>4</v>
      </c>
      <c r="S13" s="24" t="s">
        <v>96</v>
      </c>
      <c r="T13" s="23" t="n">
        <v>150</v>
      </c>
      <c r="U13" s="23" t="n">
        <v>5</v>
      </c>
      <c r="V13" s="27" t="n">
        <v>5</v>
      </c>
      <c r="W13" s="27" t="n">
        <v>5</v>
      </c>
      <c r="X13" s="26" t="n">
        <f aca="false">U13*(SQRT(W13))</f>
        <v>11.1803398874989</v>
      </c>
      <c r="Z13" s="4" t="n">
        <v>171</v>
      </c>
      <c r="AA13" s="30"/>
      <c r="AB13" s="27" t="n">
        <v>5</v>
      </c>
      <c r="AC13" s="27" t="n">
        <v>5</v>
      </c>
      <c r="AD13" s="30"/>
    </row>
    <row r="14" customFormat="false" ht="16.4" hidden="false" customHeight="false" outlineLevel="0" collapsed="false">
      <c r="A14" s="37" t="n">
        <v>2319</v>
      </c>
      <c r="B14" s="37"/>
      <c r="C14" s="38" t="s">
        <v>90</v>
      </c>
      <c r="D14" s="38" t="s">
        <v>91</v>
      </c>
      <c r="E14" s="38" t="s">
        <v>92</v>
      </c>
      <c r="F14" s="38" t="n">
        <v>2025</v>
      </c>
      <c r="G14" s="39" t="s">
        <v>93</v>
      </c>
      <c r="H14" s="37" t="n">
        <v>1</v>
      </c>
      <c r="I14" s="23" t="s">
        <v>51</v>
      </c>
      <c r="J14" s="37" t="s">
        <v>97</v>
      </c>
      <c r="K14" s="27" t="s">
        <v>94</v>
      </c>
      <c r="L14" s="23" t="s">
        <v>95</v>
      </c>
      <c r="M14" s="23"/>
      <c r="N14" s="24" t="n">
        <v>21</v>
      </c>
      <c r="O14" s="24" t="n">
        <v>2520</v>
      </c>
      <c r="P14" s="23"/>
      <c r="Q14" s="23" t="n">
        <v>6</v>
      </c>
      <c r="R14" s="23" t="n">
        <v>4</v>
      </c>
      <c r="S14" s="24" t="s">
        <v>98</v>
      </c>
      <c r="T14" s="23" t="n">
        <v>114</v>
      </c>
      <c r="U14" s="23" t="n">
        <v>3</v>
      </c>
      <c r="V14" s="27" t="n">
        <v>5</v>
      </c>
      <c r="W14" s="27" t="n">
        <v>5</v>
      </c>
      <c r="X14" s="26" t="n">
        <f aca="false">U14*(SQRT(W14))</f>
        <v>6.70820393249937</v>
      </c>
      <c r="Z14" s="4" t="n">
        <v>172</v>
      </c>
      <c r="AA14" s="4" t="n">
        <v>8</v>
      </c>
      <c r="AB14" s="27" t="n">
        <v>5</v>
      </c>
      <c r="AC14" s="27" t="n">
        <v>5</v>
      </c>
      <c r="AD14" s="26" t="n">
        <f aca="false">AA14*(SQRT(AC14))</f>
        <v>17.8885438199983</v>
      </c>
    </row>
    <row r="15" customFormat="false" ht="15" hidden="false" customHeight="false" outlineLevel="0" collapsed="false">
      <c r="A15" s="23" t="n">
        <v>2504</v>
      </c>
      <c r="B15" s="23" t="n">
        <v>36162616</v>
      </c>
      <c r="C15" s="23" t="s">
        <v>99</v>
      </c>
      <c r="D15" s="23" t="s">
        <v>100</v>
      </c>
      <c r="E15" s="23" t="s">
        <v>101</v>
      </c>
      <c r="F15" s="23" t="n">
        <v>2022</v>
      </c>
      <c r="G15" s="23" t="s">
        <v>102</v>
      </c>
      <c r="H15" s="23" t="n">
        <v>1</v>
      </c>
      <c r="I15" s="23" t="s">
        <v>51</v>
      </c>
      <c r="J15" s="23" t="s">
        <v>33</v>
      </c>
      <c r="K15" s="27"/>
      <c r="L15" s="23" t="n">
        <v>360</v>
      </c>
      <c r="M15" s="23" t="n">
        <v>1</v>
      </c>
      <c r="N15" s="24" t="n">
        <v>21</v>
      </c>
      <c r="O15" s="24" t="n">
        <f aca="false">N15*L15</f>
        <v>7560</v>
      </c>
      <c r="P15" s="23" t="s">
        <v>103</v>
      </c>
      <c r="Q15" s="23" t="n">
        <v>20</v>
      </c>
      <c r="R15" s="23" t="n">
        <v>5</v>
      </c>
      <c r="S15" s="24" t="s">
        <v>46</v>
      </c>
      <c r="T15" s="34" t="n">
        <v>99</v>
      </c>
      <c r="U15" s="35" t="s">
        <v>71</v>
      </c>
      <c r="V15" s="25" t="s">
        <v>84</v>
      </c>
      <c r="W15" s="25"/>
      <c r="X15" s="26" t="n">
        <v>11</v>
      </c>
      <c r="Z15" s="4" t="n">
        <v>229</v>
      </c>
      <c r="AA15" s="36" t="s">
        <v>71</v>
      </c>
      <c r="AB15" s="5" t="s">
        <v>84</v>
      </c>
      <c r="AD15" s="33" t="n">
        <v>28</v>
      </c>
    </row>
    <row r="16" customFormat="false" ht="15" hidden="false" customHeight="false" outlineLevel="0" collapsed="false">
      <c r="A16" s="23" t="n">
        <v>2506</v>
      </c>
      <c r="B16" s="23" t="n">
        <v>30735600</v>
      </c>
      <c r="C16" s="23" t="s">
        <v>104</v>
      </c>
      <c r="D16" s="23" t="s">
        <v>105</v>
      </c>
      <c r="E16" s="23" t="s">
        <v>106</v>
      </c>
      <c r="F16" s="23" t="n">
        <v>2019</v>
      </c>
      <c r="G16" s="23" t="s">
        <v>107</v>
      </c>
      <c r="H16" s="23" t="n">
        <v>1</v>
      </c>
      <c r="I16" s="23" t="s">
        <v>32</v>
      </c>
      <c r="J16" s="23" t="s">
        <v>33</v>
      </c>
      <c r="K16" s="27"/>
      <c r="L16" s="23" t="n">
        <v>360</v>
      </c>
      <c r="M16" s="23" t="n">
        <v>1</v>
      </c>
      <c r="N16" s="24" t="n">
        <v>14</v>
      </c>
      <c r="O16" s="24" t="n">
        <f aca="false">N16*L16</f>
        <v>5040</v>
      </c>
      <c r="P16" s="23"/>
      <c r="Q16" s="23" t="n">
        <v>7</v>
      </c>
      <c r="R16" s="23" t="n">
        <v>5</v>
      </c>
      <c r="S16" s="24" t="s">
        <v>59</v>
      </c>
      <c r="T16" s="34" t="n">
        <v>49</v>
      </c>
      <c r="U16" s="34" t="n">
        <v>7</v>
      </c>
      <c r="V16" s="27" t="n">
        <v>10</v>
      </c>
      <c r="W16" s="27" t="n">
        <v>10</v>
      </c>
      <c r="X16" s="26" t="n">
        <f aca="false">U16*(SQRT(W16))</f>
        <v>22.1359436211787</v>
      </c>
      <c r="Z16" s="4" t="n">
        <v>115</v>
      </c>
      <c r="AA16" s="4" t="n">
        <v>10</v>
      </c>
      <c r="AB16" s="2" t="n">
        <v>10</v>
      </c>
      <c r="AC16" s="2" t="n">
        <v>10</v>
      </c>
      <c r="AD16" s="33" t="n">
        <f aca="false">AA16*(SQRT(AC16))</f>
        <v>31.6227766016838</v>
      </c>
    </row>
    <row r="17" customFormat="false" ht="15" hidden="false" customHeight="false" outlineLevel="0" collapsed="false">
      <c r="A17" s="23" t="n">
        <v>2714</v>
      </c>
      <c r="B17" s="23" t="n">
        <v>36746244</v>
      </c>
      <c r="C17" s="23" t="s">
        <v>108</v>
      </c>
      <c r="D17" s="23" t="s">
        <v>109</v>
      </c>
      <c r="E17" s="23" t="s">
        <v>110</v>
      </c>
      <c r="F17" s="23" t="n">
        <v>2023</v>
      </c>
      <c r="G17" s="23" t="s">
        <v>111</v>
      </c>
      <c r="H17" s="23" t="n">
        <v>1</v>
      </c>
      <c r="I17" s="23" t="s">
        <v>32</v>
      </c>
      <c r="J17" s="23" t="s">
        <v>41</v>
      </c>
      <c r="K17" s="27"/>
      <c r="L17" s="23" t="n">
        <v>360</v>
      </c>
      <c r="M17" s="23" t="n">
        <v>1</v>
      </c>
      <c r="N17" s="24" t="n">
        <v>28</v>
      </c>
      <c r="O17" s="24" t="n">
        <f aca="false">N17*L17</f>
        <v>10080</v>
      </c>
      <c r="P17" s="23"/>
      <c r="Q17" s="23" t="n">
        <v>15</v>
      </c>
      <c r="R17" s="23" t="n">
        <v>5</v>
      </c>
      <c r="S17" s="24" t="s">
        <v>112</v>
      </c>
      <c r="T17" s="34" t="n">
        <v>100</v>
      </c>
      <c r="U17" s="34" t="n">
        <v>2</v>
      </c>
      <c r="V17" s="25" t="s">
        <v>78</v>
      </c>
      <c r="W17" s="25" t="s">
        <v>78</v>
      </c>
      <c r="X17" s="26" t="n">
        <f aca="false">U17*(SQRT(W17))</f>
        <v>6.32455532033676</v>
      </c>
      <c r="Z17" s="4" t="n">
        <v>116</v>
      </c>
      <c r="AA17" s="4" t="n">
        <v>3</v>
      </c>
      <c r="AB17" s="5" t="s">
        <v>78</v>
      </c>
      <c r="AC17" s="5" t="s">
        <v>78</v>
      </c>
      <c r="AD17" s="33" t="n">
        <f aca="false">AA17*(SQRT(AC17))</f>
        <v>9.48683298050514</v>
      </c>
    </row>
    <row r="18" customFormat="false" ht="15" hidden="false" customHeight="false" outlineLevel="0" collapsed="false">
      <c r="A18" s="23" t="n">
        <v>2744</v>
      </c>
      <c r="B18" s="23" t="n">
        <v>37259443</v>
      </c>
      <c r="C18" s="23" t="s">
        <v>113</v>
      </c>
      <c r="D18" s="23" t="s">
        <v>114</v>
      </c>
      <c r="E18" s="23" t="s">
        <v>115</v>
      </c>
      <c r="F18" s="23" t="n">
        <v>2023</v>
      </c>
      <c r="G18" s="23" t="s">
        <v>116</v>
      </c>
      <c r="H18" s="23" t="n">
        <v>1</v>
      </c>
      <c r="I18" s="23" t="s">
        <v>51</v>
      </c>
      <c r="J18" s="23" t="s">
        <v>33</v>
      </c>
      <c r="K18" s="27"/>
      <c r="L18" s="23" t="n">
        <v>360</v>
      </c>
      <c r="M18" s="23" t="n">
        <v>1</v>
      </c>
      <c r="N18" s="24" t="n">
        <v>21</v>
      </c>
      <c r="O18" s="24" t="n">
        <f aca="false">N18*L18</f>
        <v>7560</v>
      </c>
      <c r="P18" s="23" t="s">
        <v>117</v>
      </c>
      <c r="Q18" s="23" t="n">
        <v>5</v>
      </c>
      <c r="R18" s="23" t="n">
        <v>5</v>
      </c>
      <c r="S18" s="24" t="s">
        <v>118</v>
      </c>
      <c r="T18" s="28"/>
      <c r="U18" s="28"/>
      <c r="V18" s="29"/>
      <c r="W18" s="29"/>
      <c r="X18" s="28"/>
      <c r="Z18" s="30"/>
      <c r="AA18" s="30"/>
      <c r="AB18" s="31"/>
      <c r="AC18" s="31"/>
      <c r="AD18" s="30"/>
    </row>
    <row r="19" customFormat="false" ht="15" hidden="false" customHeight="false" outlineLevel="0" collapsed="false">
      <c r="A19" s="23" t="n">
        <v>2795</v>
      </c>
      <c r="B19" s="23"/>
      <c r="C19" s="23" t="s">
        <v>119</v>
      </c>
      <c r="D19" s="23" t="s">
        <v>120</v>
      </c>
      <c r="E19" s="23" t="s">
        <v>121</v>
      </c>
      <c r="F19" s="23" t="n">
        <v>2022</v>
      </c>
      <c r="G19" s="23" t="s">
        <v>122</v>
      </c>
      <c r="H19" s="23" t="n">
        <v>1</v>
      </c>
      <c r="I19" s="23" t="s">
        <v>123</v>
      </c>
      <c r="J19" s="23" t="s">
        <v>33</v>
      </c>
      <c r="K19" s="27"/>
      <c r="L19" s="23" t="n">
        <v>360</v>
      </c>
      <c r="M19" s="23" t="n">
        <v>1</v>
      </c>
      <c r="N19" s="24" t="n">
        <v>28</v>
      </c>
      <c r="O19" s="24" t="n">
        <f aca="false">L19*M19*N19</f>
        <v>10080</v>
      </c>
      <c r="P19" s="23"/>
      <c r="Q19" s="23" t="n">
        <v>4</v>
      </c>
      <c r="R19" s="23" t="n">
        <v>3</v>
      </c>
      <c r="S19" s="24" t="s">
        <v>124</v>
      </c>
      <c r="T19" s="23" t="n">
        <v>20</v>
      </c>
      <c r="U19" s="23" t="n">
        <v>13</v>
      </c>
      <c r="V19" s="25" t="s">
        <v>36</v>
      </c>
      <c r="W19" s="25" t="s">
        <v>36</v>
      </c>
      <c r="X19" s="26" t="n">
        <f aca="false">U19*(SQRT(W19))</f>
        <v>36.7695526217005</v>
      </c>
      <c r="Z19" s="4" t="n">
        <v>89</v>
      </c>
      <c r="AA19" s="4" t="n">
        <v>32</v>
      </c>
      <c r="AB19" s="5" t="s">
        <v>78</v>
      </c>
      <c r="AC19" s="5" t="s">
        <v>78</v>
      </c>
      <c r="AD19" s="26" t="n">
        <f aca="false">AA19*(SQRT(AC19))</f>
        <v>101.192885125388</v>
      </c>
    </row>
    <row r="20" customFormat="false" ht="15" hidden="false" customHeight="false" outlineLevel="0" collapsed="false">
      <c r="A20" s="23" t="n">
        <v>2926</v>
      </c>
      <c r="B20" s="23" t="n">
        <v>27957715</v>
      </c>
      <c r="C20" s="23" t="s">
        <v>125</v>
      </c>
      <c r="D20" s="23" t="s">
        <v>126</v>
      </c>
      <c r="E20" s="23" t="s">
        <v>127</v>
      </c>
      <c r="F20" s="23" t="n">
        <v>2017</v>
      </c>
      <c r="G20" s="23" t="s">
        <v>128</v>
      </c>
      <c r="H20" s="23" t="n">
        <v>1</v>
      </c>
      <c r="I20" s="23" t="s">
        <v>51</v>
      </c>
      <c r="J20" s="23" t="s">
        <v>97</v>
      </c>
      <c r="K20" s="27" t="s">
        <v>129</v>
      </c>
      <c r="L20" s="23" t="n">
        <v>360</v>
      </c>
      <c r="M20" s="23" t="n">
        <v>1</v>
      </c>
      <c r="N20" s="24" t="n">
        <v>21</v>
      </c>
      <c r="O20" s="24" t="n">
        <f aca="false">N20*L20</f>
        <v>7560</v>
      </c>
      <c r="P20" s="23"/>
      <c r="Q20" s="23" t="n">
        <v>5</v>
      </c>
      <c r="R20" s="23" t="n">
        <v>5</v>
      </c>
      <c r="S20" s="24" t="s">
        <v>59</v>
      </c>
      <c r="T20" s="34" t="n">
        <v>82</v>
      </c>
      <c r="U20" s="34" t="n">
        <v>11</v>
      </c>
      <c r="V20" s="27" t="n">
        <v>5</v>
      </c>
      <c r="W20" s="27" t="n">
        <v>5</v>
      </c>
      <c r="X20" s="26" t="n">
        <f aca="false">U20*(SQRT(W20))</f>
        <v>24.5967477524977</v>
      </c>
      <c r="Z20" s="4" t="n">
        <v>120</v>
      </c>
      <c r="AA20" s="4" t="n">
        <v>7</v>
      </c>
      <c r="AB20" s="5" t="n">
        <v>5</v>
      </c>
      <c r="AC20" s="5" t="n">
        <v>5</v>
      </c>
      <c r="AD20" s="33" t="n">
        <f aca="false">AA20*(SQRT(AC20))</f>
        <v>15.6524758424985</v>
      </c>
    </row>
    <row r="21" customFormat="false" ht="15" hidden="false" customHeight="false" outlineLevel="0" collapsed="false">
      <c r="A21" s="23" t="n">
        <v>3077</v>
      </c>
      <c r="B21" s="23" t="n">
        <v>28763303</v>
      </c>
      <c r="C21" s="23" t="s">
        <v>130</v>
      </c>
      <c r="D21" s="23" t="s">
        <v>131</v>
      </c>
      <c r="E21" s="23" t="s">
        <v>87</v>
      </c>
      <c r="F21" s="23" t="n">
        <v>2018</v>
      </c>
      <c r="G21" s="23" t="s">
        <v>132</v>
      </c>
      <c r="H21" s="23" t="n">
        <v>1</v>
      </c>
      <c r="I21" s="23" t="s">
        <v>51</v>
      </c>
      <c r="J21" s="23" t="s">
        <v>33</v>
      </c>
      <c r="K21" s="27"/>
      <c r="L21" s="23" t="n">
        <v>360</v>
      </c>
      <c r="M21" s="23" t="n">
        <v>1</v>
      </c>
      <c r="N21" s="24" t="n">
        <v>28</v>
      </c>
      <c r="O21" s="24" t="n">
        <f aca="false">N21*L21</f>
        <v>10080</v>
      </c>
      <c r="P21" s="23"/>
      <c r="Q21" s="23" t="n">
        <v>5</v>
      </c>
      <c r="R21" s="23" t="n">
        <v>5</v>
      </c>
      <c r="S21" s="24" t="s">
        <v>133</v>
      </c>
      <c r="T21" s="34" t="n">
        <v>54</v>
      </c>
      <c r="U21" s="34" t="n">
        <v>4</v>
      </c>
      <c r="V21" s="27" t="n">
        <v>12</v>
      </c>
      <c r="W21" s="27" t="n">
        <v>12</v>
      </c>
      <c r="X21" s="26" t="n">
        <f aca="false">U21*(SQRT(W21))</f>
        <v>13.856406460551</v>
      </c>
      <c r="Z21" s="4" t="n">
        <v>105</v>
      </c>
      <c r="AA21" s="4" t="n">
        <v>4</v>
      </c>
      <c r="AB21" s="2" t="n">
        <v>12</v>
      </c>
      <c r="AC21" s="2" t="n">
        <v>12</v>
      </c>
      <c r="AD21" s="33" t="n">
        <f aca="false">AA21*(SQRT(AC21))</f>
        <v>13.856406460551</v>
      </c>
    </row>
    <row r="22" customFormat="false" ht="15" hidden="false" customHeight="false" outlineLevel="0" collapsed="false">
      <c r="A22" s="23" t="n">
        <v>3263</v>
      </c>
      <c r="B22" s="23"/>
      <c r="C22" s="23" t="s">
        <v>134</v>
      </c>
      <c r="D22" s="23" t="s">
        <v>135</v>
      </c>
      <c r="E22" s="23" t="s">
        <v>136</v>
      </c>
      <c r="F22" s="23" t="n">
        <v>2023</v>
      </c>
      <c r="G22" s="23" t="s">
        <v>137</v>
      </c>
      <c r="H22" s="23" t="n">
        <v>1</v>
      </c>
      <c r="I22" s="23" t="s">
        <v>51</v>
      </c>
      <c r="J22" s="23" t="s">
        <v>33</v>
      </c>
      <c r="K22" s="27"/>
      <c r="L22" s="40" t="s">
        <v>138</v>
      </c>
      <c r="M22" s="40"/>
      <c r="N22" s="40"/>
      <c r="O22" s="24" t="n">
        <v>98</v>
      </c>
      <c r="P22" s="23" t="s">
        <v>139</v>
      </c>
      <c r="Q22" s="23" t="n">
        <v>5</v>
      </c>
      <c r="R22" s="23" t="n">
        <v>5</v>
      </c>
      <c r="S22" s="24" t="s">
        <v>140</v>
      </c>
      <c r="T22" s="23" t="n">
        <v>159</v>
      </c>
      <c r="U22" s="23" t="n">
        <v>6</v>
      </c>
      <c r="V22" s="25" t="s">
        <v>36</v>
      </c>
      <c r="W22" s="25" t="s">
        <v>36</v>
      </c>
      <c r="X22" s="26" t="n">
        <f aca="false">U22*(SQRT(W22))</f>
        <v>16.9705627484771</v>
      </c>
      <c r="Z22" s="4" t="n">
        <v>134</v>
      </c>
      <c r="AA22" s="4" t="n">
        <v>11</v>
      </c>
      <c r="AB22" s="25" t="s">
        <v>36</v>
      </c>
      <c r="AC22" s="25" t="s">
        <v>36</v>
      </c>
      <c r="AD22" s="26" t="n">
        <f aca="false">AA22*(SQRT(AC22))</f>
        <v>31.1126983722081</v>
      </c>
    </row>
    <row r="23" customFormat="false" ht="16.4" hidden="false" customHeight="false" outlineLevel="0" collapsed="false">
      <c r="A23" s="0" t="n">
        <v>3385</v>
      </c>
      <c r="B23" s="23"/>
      <c r="C23" s="41" t="s">
        <v>141</v>
      </c>
      <c r="D23" s="41" t="s">
        <v>142</v>
      </c>
      <c r="E23" s="41" t="s">
        <v>143</v>
      </c>
      <c r="F23" s="41" t="n">
        <v>2021</v>
      </c>
      <c r="G23" s="23"/>
      <c r="H23" s="0" t="n">
        <v>1</v>
      </c>
      <c r="I23" s="0" t="s">
        <v>51</v>
      </c>
      <c r="J23" s="0" t="s">
        <v>33</v>
      </c>
      <c r="K23" s="2" t="s">
        <v>144</v>
      </c>
      <c r="L23" s="0" t="n">
        <v>120</v>
      </c>
      <c r="M23" s="0" t="n">
        <v>1</v>
      </c>
      <c r="N23" s="3" t="n">
        <v>14</v>
      </c>
      <c r="O23" s="24" t="n">
        <f aca="false">N23*L23</f>
        <v>1680</v>
      </c>
      <c r="Q23" s="23" t="n">
        <v>5</v>
      </c>
      <c r="R23" s="23" t="n">
        <v>5</v>
      </c>
      <c r="S23" s="3" t="n">
        <v>4</v>
      </c>
      <c r="T23" s="3" t="n">
        <v>53</v>
      </c>
      <c r="U23" s="2" t="s">
        <v>53</v>
      </c>
      <c r="V23" s="25" t="n">
        <v>10</v>
      </c>
      <c r="W23" s="25" t="n">
        <v>10</v>
      </c>
      <c r="X23" s="26" t="n">
        <f aca="false">U23*(SQRT(W23))</f>
        <v>15.8113883008419</v>
      </c>
      <c r="Z23" s="4" t="n">
        <v>66</v>
      </c>
      <c r="AA23" s="4" t="n">
        <v>5</v>
      </c>
      <c r="AB23" s="25" t="n">
        <v>10</v>
      </c>
      <c r="AC23" s="25" t="n">
        <v>10</v>
      </c>
      <c r="AD23" s="26" t="n">
        <f aca="false">AA23*(SQRT(AC23))</f>
        <v>15.8113883008419</v>
      </c>
    </row>
    <row r="24" customFormat="false" ht="15" hidden="false" customHeight="false" outlineLevel="0" collapsed="false">
      <c r="A24" s="23" t="n">
        <v>3516</v>
      </c>
      <c r="B24" s="23"/>
      <c r="C24" s="41" t="s">
        <v>145</v>
      </c>
      <c r="D24" s="41" t="s">
        <v>146</v>
      </c>
      <c r="E24" s="41" t="s">
        <v>147</v>
      </c>
      <c r="F24" s="41" t="n">
        <v>2020</v>
      </c>
      <c r="G24" s="42" t="s">
        <v>148</v>
      </c>
      <c r="H24" s="23" t="n">
        <v>1</v>
      </c>
      <c r="I24" s="23" t="s">
        <v>51</v>
      </c>
      <c r="J24" s="23" t="s">
        <v>33</v>
      </c>
      <c r="K24" s="27"/>
      <c r="L24" s="23" t="n">
        <v>360</v>
      </c>
      <c r="M24" s="23" t="n">
        <v>1</v>
      </c>
      <c r="N24" s="24" t="n">
        <v>21</v>
      </c>
      <c r="O24" s="24" t="n">
        <f aca="false">L24*M24*N24</f>
        <v>7560</v>
      </c>
      <c r="P24" s="23"/>
      <c r="Q24" s="23" t="n">
        <v>5</v>
      </c>
      <c r="R24" s="23" t="n">
        <v>5</v>
      </c>
      <c r="S24" s="24" t="n">
        <v>4</v>
      </c>
      <c r="T24" s="23" t="n">
        <v>86</v>
      </c>
      <c r="U24" s="35" t="s">
        <v>71</v>
      </c>
      <c r="V24" s="25" t="s">
        <v>36</v>
      </c>
      <c r="W24" s="25"/>
      <c r="X24" s="34" t="n">
        <v>4</v>
      </c>
      <c r="Z24" s="4" t="n">
        <v>242</v>
      </c>
      <c r="AA24" s="35" t="s">
        <v>71</v>
      </c>
      <c r="AB24" s="25" t="s">
        <v>36</v>
      </c>
      <c r="AC24" s="25"/>
      <c r="AD24" s="4" t="n">
        <v>12</v>
      </c>
    </row>
    <row r="25" customFormat="false" ht="15" hidden="false" customHeight="false" outlineLevel="0" collapsed="false">
      <c r="A25" s="23" t="n">
        <v>3569</v>
      </c>
      <c r="B25" s="23"/>
      <c r="C25" s="41" t="s">
        <v>149</v>
      </c>
      <c r="D25" s="41" t="s">
        <v>150</v>
      </c>
      <c r="E25" s="41" t="s">
        <v>151</v>
      </c>
      <c r="F25" s="41" t="n">
        <v>2024</v>
      </c>
      <c r="G25" s="42" t="s">
        <v>152</v>
      </c>
      <c r="H25" s="23" t="n">
        <v>1</v>
      </c>
      <c r="I25" s="23" t="s">
        <v>51</v>
      </c>
      <c r="J25" s="23" t="s">
        <v>33</v>
      </c>
      <c r="K25" s="27"/>
      <c r="L25" s="23" t="n">
        <v>360</v>
      </c>
      <c r="M25" s="23" t="n">
        <v>1</v>
      </c>
      <c r="N25" s="24" t="n">
        <v>14</v>
      </c>
      <c r="O25" s="24" t="n">
        <f aca="false">L25*M25*N25</f>
        <v>5040</v>
      </c>
      <c r="P25" s="23"/>
      <c r="Q25" s="28" t="s">
        <v>153</v>
      </c>
      <c r="R25" s="28"/>
      <c r="S25" s="28"/>
      <c r="T25" s="28"/>
      <c r="U25" s="28"/>
      <c r="V25" s="29"/>
      <c r="W25" s="29"/>
      <c r="X25" s="28"/>
      <c r="Z25" s="30"/>
      <c r="AA25" s="30"/>
      <c r="AB25" s="31"/>
      <c r="AC25" s="31"/>
      <c r="AD25" s="30"/>
    </row>
    <row r="26" customFormat="false" ht="15" hidden="false" customHeight="false" outlineLevel="0" collapsed="false">
      <c r="A26" s="23" t="n">
        <v>3670</v>
      </c>
      <c r="B26" s="23"/>
      <c r="C26" s="23" t="s">
        <v>154</v>
      </c>
      <c r="D26" s="23" t="s">
        <v>155</v>
      </c>
      <c r="E26" s="23" t="s">
        <v>156</v>
      </c>
      <c r="F26" s="23" t="n">
        <v>2021</v>
      </c>
      <c r="G26" s="23" t="s">
        <v>157</v>
      </c>
      <c r="H26" s="23" t="n">
        <v>1</v>
      </c>
      <c r="I26" s="23" t="s">
        <v>51</v>
      </c>
      <c r="J26" s="23" t="s">
        <v>33</v>
      </c>
      <c r="K26" s="27" t="s">
        <v>36</v>
      </c>
      <c r="L26" s="23" t="n">
        <v>360</v>
      </c>
      <c r="M26" s="23" t="n">
        <v>1</v>
      </c>
      <c r="N26" s="24" t="n">
        <v>28</v>
      </c>
      <c r="O26" s="24" t="n">
        <f aca="false">L26*M26*N26</f>
        <v>10080</v>
      </c>
      <c r="P26" s="23"/>
      <c r="Q26" s="23" t="n">
        <v>5</v>
      </c>
      <c r="R26" s="23" t="n">
        <v>5</v>
      </c>
      <c r="S26" s="24" t="s">
        <v>133</v>
      </c>
      <c r="T26" s="23" t="n">
        <v>75</v>
      </c>
      <c r="U26" s="23" t="n">
        <v>7</v>
      </c>
      <c r="V26" s="25" t="s">
        <v>158</v>
      </c>
      <c r="W26" s="25" t="s">
        <v>36</v>
      </c>
      <c r="X26" s="26" t="n">
        <f aca="false">U26*(SQRT(W26))</f>
        <v>19.7989898732233</v>
      </c>
      <c r="Z26" s="4" t="n">
        <v>113</v>
      </c>
      <c r="AA26" s="4" t="n">
        <v>7</v>
      </c>
      <c r="AB26" s="25" t="s">
        <v>158</v>
      </c>
      <c r="AC26" s="25" t="s">
        <v>36</v>
      </c>
      <c r="AD26" s="26" t="n">
        <f aca="false">AA26*(SQRT(AC26))</f>
        <v>19.7989898732233</v>
      </c>
    </row>
    <row r="27" customFormat="false" ht="15" hidden="false" customHeight="false" outlineLevel="0" collapsed="false">
      <c r="A27" s="23" t="n">
        <v>3676</v>
      </c>
      <c r="B27" s="23" t="n">
        <v>38992775</v>
      </c>
      <c r="C27" s="23" t="s">
        <v>159</v>
      </c>
      <c r="D27" s="23" t="s">
        <v>160</v>
      </c>
      <c r="E27" s="23" t="s">
        <v>161</v>
      </c>
      <c r="F27" s="23" t="n">
        <v>2024</v>
      </c>
      <c r="G27" s="23" t="s">
        <v>162</v>
      </c>
      <c r="H27" s="23" t="n">
        <v>1</v>
      </c>
      <c r="I27" s="23" t="s">
        <v>32</v>
      </c>
      <c r="J27" s="23" t="s">
        <v>33</v>
      </c>
      <c r="K27" s="27" t="n">
        <v>4</v>
      </c>
      <c r="L27" s="23" t="n">
        <v>120</v>
      </c>
      <c r="M27" s="23" t="n">
        <v>1</v>
      </c>
      <c r="N27" s="24" t="n">
        <v>14</v>
      </c>
      <c r="O27" s="24" t="n">
        <f aca="false">N27*L27</f>
        <v>1680</v>
      </c>
      <c r="P27" s="23"/>
      <c r="Q27" s="23" t="n">
        <v>5</v>
      </c>
      <c r="R27" s="23" t="n">
        <v>5</v>
      </c>
      <c r="S27" s="25" t="s">
        <v>163</v>
      </c>
      <c r="T27" s="34" t="n">
        <v>21</v>
      </c>
      <c r="U27" s="34" t="n">
        <v>13</v>
      </c>
      <c r="V27" s="34" t="s">
        <v>78</v>
      </c>
      <c r="W27" s="34" t="s">
        <v>78</v>
      </c>
      <c r="X27" s="26" t="n">
        <f aca="false">U27*(SQRT(W27))</f>
        <v>41.1096095821889</v>
      </c>
      <c r="Z27" s="4" t="n">
        <v>84</v>
      </c>
      <c r="AA27" s="4" t="n">
        <v>9</v>
      </c>
      <c r="AB27" s="4" t="s">
        <v>78</v>
      </c>
      <c r="AC27" s="4" t="s">
        <v>78</v>
      </c>
      <c r="AD27" s="33" t="n">
        <f aca="false">AA27*(SQRT(AC27))</f>
        <v>28.4604989415154</v>
      </c>
    </row>
    <row r="28" customFormat="false" ht="15" hidden="false" customHeight="false" outlineLevel="0" collapsed="false">
      <c r="A28" s="37" t="n">
        <v>3926</v>
      </c>
      <c r="B28" s="37"/>
      <c r="C28" s="37" t="s">
        <v>164</v>
      </c>
      <c r="D28" s="37" t="s">
        <v>165</v>
      </c>
      <c r="E28" s="37" t="s">
        <v>166</v>
      </c>
      <c r="F28" s="37" t="n">
        <v>2023</v>
      </c>
      <c r="G28" s="37" t="s">
        <v>167</v>
      </c>
      <c r="H28" s="37" t="n">
        <v>1</v>
      </c>
      <c r="I28" s="23" t="s">
        <v>32</v>
      </c>
      <c r="J28" s="37" t="s">
        <v>33</v>
      </c>
      <c r="K28" s="27" t="s">
        <v>34</v>
      </c>
      <c r="L28" s="23" t="n">
        <v>240</v>
      </c>
      <c r="M28" s="23" t="n">
        <v>1</v>
      </c>
      <c r="N28" s="24" t="n">
        <v>21</v>
      </c>
      <c r="O28" s="24" t="n">
        <f aca="false">L28*M28*N28</f>
        <v>5040</v>
      </c>
      <c r="P28" s="23"/>
      <c r="Q28" s="23" t="n">
        <v>6</v>
      </c>
      <c r="R28" s="23" t="n">
        <v>6</v>
      </c>
      <c r="S28" s="24" t="s">
        <v>124</v>
      </c>
      <c r="T28" s="23" t="n">
        <v>105</v>
      </c>
      <c r="U28" s="23" t="n">
        <v>27</v>
      </c>
      <c r="V28" s="25" t="s">
        <v>168</v>
      </c>
      <c r="W28" s="25" t="s">
        <v>168</v>
      </c>
      <c r="X28" s="33" t="n">
        <f aca="false">U28*(SQRT(W28))</f>
        <v>66.1362230551458</v>
      </c>
      <c r="Z28" s="4" t="n">
        <v>138</v>
      </c>
      <c r="AA28" s="4" t="n">
        <v>37</v>
      </c>
      <c r="AB28" s="5" t="s">
        <v>168</v>
      </c>
      <c r="AC28" s="5" t="s">
        <v>168</v>
      </c>
      <c r="AD28" s="33" t="n">
        <f aca="false">AA28*(SQRT(AC28))</f>
        <v>90.6311204829776</v>
      </c>
    </row>
    <row r="29" customFormat="false" ht="15" hidden="false" customHeight="false" outlineLevel="0" collapsed="false">
      <c r="A29" s="37" t="n">
        <v>3926</v>
      </c>
      <c r="B29" s="37"/>
      <c r="C29" s="37" t="s">
        <v>164</v>
      </c>
      <c r="D29" s="37" t="s">
        <v>165</v>
      </c>
      <c r="E29" s="37" t="s">
        <v>166</v>
      </c>
      <c r="F29" s="37" t="n">
        <v>2023</v>
      </c>
      <c r="G29" s="37" t="s">
        <v>167</v>
      </c>
      <c r="H29" s="37" t="n">
        <v>1</v>
      </c>
      <c r="I29" s="23" t="s">
        <v>32</v>
      </c>
      <c r="J29" s="37" t="s">
        <v>97</v>
      </c>
      <c r="K29" s="27" t="s">
        <v>34</v>
      </c>
      <c r="L29" s="23" t="n">
        <v>240</v>
      </c>
      <c r="M29" s="23" t="n">
        <v>1</v>
      </c>
      <c r="N29" s="24" t="n">
        <v>21</v>
      </c>
      <c r="O29" s="24" t="n">
        <f aca="false">L29*M29*N29</f>
        <v>5040</v>
      </c>
      <c r="P29" s="23"/>
      <c r="Q29" s="23" t="n">
        <v>6</v>
      </c>
      <c r="R29" s="23" t="n">
        <v>6</v>
      </c>
      <c r="S29" s="43"/>
      <c r="T29" s="43"/>
      <c r="U29" s="43"/>
      <c r="V29" s="43"/>
      <c r="W29" s="43"/>
      <c r="X29" s="43"/>
      <c r="Y29" s="23"/>
      <c r="Z29" s="43"/>
      <c r="AA29" s="43"/>
      <c r="AB29" s="43"/>
      <c r="AC29" s="43"/>
      <c r="AD29" s="43"/>
    </row>
    <row r="30" customFormat="false" ht="15" hidden="false" customHeight="false" outlineLevel="0" collapsed="false">
      <c r="A30" s="23" t="n">
        <v>4002</v>
      </c>
      <c r="B30" s="23" t="n">
        <v>28420875</v>
      </c>
      <c r="C30" s="23" t="s">
        <v>169</v>
      </c>
      <c r="D30" s="23" t="s">
        <v>170</v>
      </c>
      <c r="E30" s="23" t="s">
        <v>171</v>
      </c>
      <c r="F30" s="23" t="n">
        <v>2017</v>
      </c>
      <c r="G30" s="23" t="s">
        <v>172</v>
      </c>
      <c r="H30" s="23" t="n">
        <v>1</v>
      </c>
      <c r="I30" s="23" t="s">
        <v>32</v>
      </c>
      <c r="J30" s="23" t="s">
        <v>33</v>
      </c>
      <c r="K30" s="27"/>
      <c r="L30" s="23" t="n">
        <v>120</v>
      </c>
      <c r="M30" s="23" t="n">
        <v>1</v>
      </c>
      <c r="N30" s="24" t="n">
        <v>14</v>
      </c>
      <c r="O30" s="24" t="n">
        <f aca="false">N30*L30</f>
        <v>1680</v>
      </c>
      <c r="P30" s="23" t="s">
        <v>173</v>
      </c>
      <c r="Q30" s="23" t="n">
        <v>5</v>
      </c>
      <c r="R30" s="23" t="n">
        <v>5</v>
      </c>
      <c r="S30" s="24" t="s">
        <v>174</v>
      </c>
      <c r="T30" s="34" t="n">
        <v>120</v>
      </c>
      <c r="U30" s="34" t="n">
        <v>12</v>
      </c>
      <c r="V30" s="27" t="n">
        <v>20</v>
      </c>
      <c r="W30" s="27" t="n">
        <v>20</v>
      </c>
      <c r="X30" s="26" t="n">
        <f aca="false">U30*(SQRT(W30))</f>
        <v>53.665631459995</v>
      </c>
      <c r="Z30" s="4" t="n">
        <v>170</v>
      </c>
      <c r="AA30" s="4" t="n">
        <v>15</v>
      </c>
      <c r="AB30" s="5" t="n">
        <v>20</v>
      </c>
      <c r="AC30" s="5" t="n">
        <v>20</v>
      </c>
      <c r="AD30" s="33" t="n">
        <f aca="false">AA30*(SQRT(AC30))</f>
        <v>67.0820393249937</v>
      </c>
    </row>
    <row r="31" customFormat="false" ht="15" hidden="false" customHeight="false" outlineLevel="0" collapsed="false">
      <c r="A31" s="23" t="n">
        <v>4025</v>
      </c>
      <c r="B31" s="23" t="n">
        <v>33291797</v>
      </c>
      <c r="C31" s="23" t="s">
        <v>175</v>
      </c>
      <c r="D31" s="23" t="s">
        <v>176</v>
      </c>
      <c r="E31" s="23" t="s">
        <v>177</v>
      </c>
      <c r="F31" s="23" t="n">
        <v>2020</v>
      </c>
      <c r="G31" s="23" t="s">
        <v>178</v>
      </c>
      <c r="H31" s="23" t="n">
        <v>1</v>
      </c>
      <c r="I31" s="23" t="s">
        <v>32</v>
      </c>
      <c r="J31" s="23" t="s">
        <v>33</v>
      </c>
      <c r="K31" s="27" t="n">
        <v>6</v>
      </c>
      <c r="L31" s="23" t="n">
        <v>120</v>
      </c>
      <c r="M31" s="23" t="n">
        <v>1</v>
      </c>
      <c r="N31" s="24" t="n">
        <v>21</v>
      </c>
      <c r="O31" s="24" t="n">
        <f aca="false">N31*L31</f>
        <v>2520</v>
      </c>
      <c r="P31" s="23" t="s">
        <v>179</v>
      </c>
      <c r="Q31" s="23" t="n">
        <v>5</v>
      </c>
      <c r="R31" s="23" t="n">
        <v>5</v>
      </c>
      <c r="S31" s="25" t="s">
        <v>124</v>
      </c>
      <c r="T31" s="28"/>
      <c r="U31" s="28"/>
      <c r="V31" s="29"/>
      <c r="W31" s="29"/>
      <c r="X31" s="28"/>
      <c r="Z31" s="30"/>
      <c r="AA31" s="30"/>
      <c r="AB31" s="31"/>
      <c r="AC31" s="31"/>
      <c r="AD31" s="30"/>
    </row>
    <row r="32" customFormat="false" ht="15" hidden="false" customHeight="false" outlineLevel="0" collapsed="false">
      <c r="A32" s="23" t="n">
        <v>4027</v>
      </c>
      <c r="B32" s="23" t="n">
        <v>39411919</v>
      </c>
      <c r="C32" s="23" t="s">
        <v>180</v>
      </c>
      <c r="D32" s="23" t="s">
        <v>181</v>
      </c>
      <c r="E32" s="23" t="s">
        <v>182</v>
      </c>
      <c r="F32" s="23" t="n">
        <v>2025</v>
      </c>
      <c r="G32" s="23" t="s">
        <v>183</v>
      </c>
      <c r="H32" s="23" t="n">
        <v>1</v>
      </c>
      <c r="I32" s="23" t="s">
        <v>32</v>
      </c>
      <c r="J32" s="23" t="s">
        <v>33</v>
      </c>
      <c r="K32" s="27" t="s">
        <v>61</v>
      </c>
      <c r="L32" s="23" t="n">
        <v>120</v>
      </c>
      <c r="M32" s="23" t="n">
        <v>1</v>
      </c>
      <c r="N32" s="24" t="n">
        <v>10</v>
      </c>
      <c r="O32" s="24" t="n">
        <f aca="false">L32*M32*N32</f>
        <v>1200</v>
      </c>
      <c r="P32" s="23"/>
      <c r="Q32" s="23" t="n">
        <v>5</v>
      </c>
      <c r="R32" s="23" t="n">
        <v>5</v>
      </c>
      <c r="S32" s="24" t="s">
        <v>184</v>
      </c>
      <c r="T32" s="23" t="n">
        <v>14</v>
      </c>
      <c r="U32" s="23" t="n">
        <v>2</v>
      </c>
      <c r="V32" s="25" t="s">
        <v>78</v>
      </c>
      <c r="W32" s="25" t="s">
        <v>78</v>
      </c>
      <c r="X32" s="26" t="n">
        <f aca="false">U32*(SQRT(W32))</f>
        <v>6.32455532033676</v>
      </c>
      <c r="Z32" s="4" t="n">
        <v>39</v>
      </c>
      <c r="AA32" s="4" t="n">
        <v>8</v>
      </c>
      <c r="AB32" s="25" t="s">
        <v>78</v>
      </c>
      <c r="AC32" s="25" t="s">
        <v>78</v>
      </c>
      <c r="AD32" s="26" t="n">
        <f aca="false">AA32*(SQRT(AC32))</f>
        <v>25.298221281347</v>
      </c>
    </row>
    <row r="33" customFormat="false" ht="15" hidden="false" customHeight="false" outlineLevel="0" collapsed="false">
      <c r="A33" s="23" t="n">
        <v>4041</v>
      </c>
      <c r="B33" s="23"/>
      <c r="C33" s="23" t="s">
        <v>185</v>
      </c>
      <c r="D33" s="23" t="s">
        <v>186</v>
      </c>
      <c r="E33" s="23" t="s">
        <v>187</v>
      </c>
      <c r="F33" s="23" t="n">
        <v>2020</v>
      </c>
      <c r="G33" s="23" t="s">
        <v>188</v>
      </c>
      <c r="H33" s="23" t="n">
        <v>1</v>
      </c>
      <c r="I33" s="23" t="s">
        <v>51</v>
      </c>
      <c r="J33" s="23" t="s">
        <v>33</v>
      </c>
      <c r="K33" s="27"/>
      <c r="L33" s="23" t="n">
        <v>360</v>
      </c>
      <c r="M33" s="23" t="n">
        <v>1</v>
      </c>
      <c r="N33" s="24" t="n">
        <v>21</v>
      </c>
      <c r="O33" s="24" t="n">
        <f aca="false">L33*M33*N33</f>
        <v>7560</v>
      </c>
      <c r="P33" s="23"/>
      <c r="Q33" s="23" t="n">
        <v>5</v>
      </c>
      <c r="R33" s="23" t="n">
        <v>5</v>
      </c>
      <c r="S33" s="24" t="s">
        <v>189</v>
      </c>
      <c r="T33" s="23" t="n">
        <v>87</v>
      </c>
      <c r="U33" s="23" t="n">
        <v>8</v>
      </c>
      <c r="V33" s="25" t="s">
        <v>168</v>
      </c>
      <c r="W33" s="25" t="s">
        <v>168</v>
      </c>
      <c r="X33" s="26" t="n">
        <f aca="false">U33*(SQRT(W33))</f>
        <v>19.5959179422654</v>
      </c>
      <c r="Z33" s="4" t="n">
        <v>218</v>
      </c>
      <c r="AA33" s="4" t="n">
        <v>9</v>
      </c>
      <c r="AB33" s="25" t="s">
        <v>168</v>
      </c>
      <c r="AC33" s="25" t="s">
        <v>168</v>
      </c>
      <c r="AD33" s="26" t="n">
        <f aca="false">AA33*(SQRT(AC33))</f>
        <v>22.0454076850486</v>
      </c>
    </row>
    <row r="34" customFormat="false" ht="15" hidden="false" customHeight="false" outlineLevel="0" collapsed="false">
      <c r="A34" s="23" t="n">
        <v>4070</v>
      </c>
      <c r="B34" s="23" t="n">
        <v>29317595</v>
      </c>
      <c r="C34" s="23" t="s">
        <v>190</v>
      </c>
      <c r="D34" s="23" t="s">
        <v>191</v>
      </c>
      <c r="E34" s="23" t="s">
        <v>192</v>
      </c>
      <c r="F34" s="23" t="n">
        <v>2018</v>
      </c>
      <c r="G34" s="23" t="s">
        <v>193</v>
      </c>
      <c r="H34" s="23" t="n">
        <v>1</v>
      </c>
      <c r="I34" s="23" t="s">
        <v>32</v>
      </c>
      <c r="J34" s="23" t="s">
        <v>33</v>
      </c>
      <c r="K34" s="27"/>
      <c r="L34" s="23" t="n">
        <v>360</v>
      </c>
      <c r="M34" s="23" t="n">
        <v>1</v>
      </c>
      <c r="N34" s="24" t="n">
        <v>21</v>
      </c>
      <c r="O34" s="24" t="n">
        <f aca="false">N34*L34</f>
        <v>7560</v>
      </c>
      <c r="P34" s="23"/>
      <c r="Q34" s="23" t="n">
        <v>5</v>
      </c>
      <c r="R34" s="23" t="n">
        <v>5</v>
      </c>
      <c r="S34" s="25" t="s">
        <v>194</v>
      </c>
      <c r="T34" s="28"/>
      <c r="U34" s="28"/>
      <c r="V34" s="28"/>
      <c r="W34" s="28"/>
      <c r="X34" s="28"/>
      <c r="Z34" s="30"/>
      <c r="AA34" s="30"/>
      <c r="AB34" s="30"/>
      <c r="AC34" s="30"/>
      <c r="AD34" s="30"/>
    </row>
    <row r="35" customFormat="false" ht="15" hidden="false" customHeight="false" outlineLevel="0" collapsed="false">
      <c r="A35" s="23" t="n">
        <v>4832</v>
      </c>
      <c r="B35" s="23" t="n">
        <v>26555398</v>
      </c>
      <c r="C35" s="23" t="s">
        <v>195</v>
      </c>
      <c r="D35" s="23" t="s">
        <v>196</v>
      </c>
      <c r="E35" s="23" t="s">
        <v>197</v>
      </c>
      <c r="F35" s="23" t="n">
        <v>2016</v>
      </c>
      <c r="G35" s="23" t="s">
        <v>198</v>
      </c>
      <c r="H35" s="23" t="n">
        <v>1</v>
      </c>
      <c r="I35" s="23" t="s">
        <v>32</v>
      </c>
      <c r="J35" s="23" t="s">
        <v>33</v>
      </c>
      <c r="K35" s="27"/>
      <c r="L35" s="23" t="n">
        <v>240</v>
      </c>
      <c r="M35" s="23" t="n">
        <v>1</v>
      </c>
      <c r="N35" s="24" t="n">
        <v>5</v>
      </c>
      <c r="O35" s="24" t="n">
        <f aca="false">N35*L35</f>
        <v>1200</v>
      </c>
      <c r="P35" s="23" t="s">
        <v>199</v>
      </c>
      <c r="Q35" s="23" t="n">
        <v>5</v>
      </c>
      <c r="R35" s="23" t="n">
        <v>5</v>
      </c>
      <c r="S35" s="24" t="s">
        <v>140</v>
      </c>
      <c r="T35" s="34" t="n">
        <v>115</v>
      </c>
      <c r="U35" s="34" t="n">
        <v>3</v>
      </c>
      <c r="V35" s="25" t="s">
        <v>200</v>
      </c>
      <c r="W35" s="25" t="s">
        <v>78</v>
      </c>
      <c r="X35" s="26" t="n">
        <f aca="false">U35*(SQRT(W35))</f>
        <v>9.48683298050514</v>
      </c>
      <c r="Z35" s="4" t="n">
        <v>92</v>
      </c>
      <c r="AA35" s="4" t="n">
        <v>6</v>
      </c>
      <c r="AB35" s="5" t="s">
        <v>200</v>
      </c>
      <c r="AC35" s="5" t="s">
        <v>78</v>
      </c>
      <c r="AD35" s="33" t="n">
        <f aca="false">AA35*(SQRT(AC35))</f>
        <v>18.9736659610103</v>
      </c>
    </row>
    <row r="36" customFormat="false" ht="15" hidden="false" customHeight="false" outlineLevel="0" collapsed="false">
      <c r="A36" s="23" t="n">
        <v>4846</v>
      </c>
      <c r="B36" s="23" t="n">
        <v>25139647</v>
      </c>
      <c r="C36" s="23" t="s">
        <v>201</v>
      </c>
      <c r="D36" s="23" t="s">
        <v>202</v>
      </c>
      <c r="E36" s="23" t="s">
        <v>203</v>
      </c>
      <c r="F36" s="23" t="n">
        <v>2015</v>
      </c>
      <c r="G36" s="23" t="s">
        <v>204</v>
      </c>
      <c r="H36" s="23" t="n">
        <v>1</v>
      </c>
      <c r="I36" s="23" t="s">
        <v>51</v>
      </c>
      <c r="J36" s="23" t="s">
        <v>33</v>
      </c>
      <c r="K36" s="27" t="s">
        <v>205</v>
      </c>
      <c r="L36" s="23" t="n">
        <v>360</v>
      </c>
      <c r="M36" s="23" t="n">
        <v>1</v>
      </c>
      <c r="N36" s="24" t="n">
        <v>21</v>
      </c>
      <c r="O36" s="24" t="n">
        <f aca="false">N36*L36</f>
        <v>7560</v>
      </c>
      <c r="P36" s="23" t="s">
        <v>206</v>
      </c>
      <c r="Q36" s="23" t="n">
        <v>5</v>
      </c>
      <c r="R36" s="23" t="n">
        <v>5</v>
      </c>
      <c r="S36" s="24" t="n">
        <v>3</v>
      </c>
      <c r="T36" s="28"/>
      <c r="U36" s="28"/>
      <c r="V36" s="28"/>
      <c r="W36" s="28"/>
      <c r="X36" s="28"/>
      <c r="Z36" s="30"/>
      <c r="AA36" s="30"/>
      <c r="AB36" s="30"/>
      <c r="AC36" s="30"/>
      <c r="AD36" s="30"/>
    </row>
    <row r="37" customFormat="false" ht="15" hidden="false" customHeight="false" outlineLevel="0" collapsed="false">
      <c r="A37" s="23" t="n">
        <v>4911</v>
      </c>
      <c r="B37" s="23" t="n">
        <v>39432823</v>
      </c>
      <c r="C37" s="23" t="s">
        <v>207</v>
      </c>
      <c r="D37" s="23" t="s">
        <v>208</v>
      </c>
      <c r="E37" s="23" t="s">
        <v>209</v>
      </c>
      <c r="F37" s="23" t="n">
        <v>2024</v>
      </c>
      <c r="G37" s="23" t="s">
        <v>210</v>
      </c>
      <c r="H37" s="23" t="n">
        <v>1</v>
      </c>
      <c r="I37" s="23" t="s">
        <v>32</v>
      </c>
      <c r="J37" s="23" t="s">
        <v>33</v>
      </c>
      <c r="K37" s="27" t="s">
        <v>168</v>
      </c>
      <c r="L37" s="23" t="n">
        <v>480</v>
      </c>
      <c r="M37" s="23" t="n">
        <v>1</v>
      </c>
      <c r="N37" s="24" t="n">
        <v>28</v>
      </c>
      <c r="O37" s="24" t="n">
        <f aca="false">L37*M37*N37</f>
        <v>13440</v>
      </c>
      <c r="P37" s="23" t="s">
        <v>211</v>
      </c>
      <c r="Q37" s="23" t="n">
        <v>4</v>
      </c>
      <c r="R37" s="23" t="n">
        <v>4</v>
      </c>
      <c r="S37" s="24" t="s">
        <v>70</v>
      </c>
      <c r="T37" s="28"/>
      <c r="U37" s="28"/>
      <c r="V37" s="28"/>
      <c r="W37" s="28"/>
      <c r="X37" s="28"/>
      <c r="Z37" s="30"/>
      <c r="AA37" s="30"/>
      <c r="AB37" s="30"/>
      <c r="AC37" s="30"/>
      <c r="AD37" s="30"/>
    </row>
    <row r="38" customFormat="false" ht="15" hidden="false" customHeight="false" outlineLevel="0" collapsed="false">
      <c r="A38" s="23" t="n">
        <v>4961</v>
      </c>
      <c r="B38" s="23" t="n">
        <v>38882046</v>
      </c>
      <c r="C38" s="23" t="s">
        <v>212</v>
      </c>
      <c r="D38" s="23" t="s">
        <v>213</v>
      </c>
      <c r="E38" s="23" t="s">
        <v>214</v>
      </c>
      <c r="F38" s="23" t="n">
        <v>2024</v>
      </c>
      <c r="G38" s="23" t="s">
        <v>215</v>
      </c>
      <c r="H38" s="23" t="n">
        <v>1</v>
      </c>
      <c r="I38" s="23" t="s">
        <v>32</v>
      </c>
      <c r="J38" s="23" t="s">
        <v>33</v>
      </c>
      <c r="K38" s="27"/>
      <c r="L38" s="23" t="n">
        <v>180</v>
      </c>
      <c r="M38" s="23" t="n">
        <v>1</v>
      </c>
      <c r="N38" s="24" t="n">
        <v>28</v>
      </c>
      <c r="O38" s="24" t="n">
        <f aca="false">N38*L38</f>
        <v>5040</v>
      </c>
      <c r="P38" s="23"/>
      <c r="Q38" s="23" t="n">
        <v>5</v>
      </c>
      <c r="R38" s="23" t="n">
        <v>4</v>
      </c>
      <c r="S38" s="25" t="s">
        <v>216</v>
      </c>
      <c r="T38" s="35" t="n">
        <v>24</v>
      </c>
      <c r="U38" s="35" t="s">
        <v>71</v>
      </c>
      <c r="V38" s="25" t="s">
        <v>168</v>
      </c>
      <c r="W38" s="25"/>
      <c r="X38" s="26" t="n">
        <v>2.6</v>
      </c>
      <c r="Z38" s="36" t="n">
        <v>22</v>
      </c>
      <c r="AA38" s="36" t="s">
        <v>71</v>
      </c>
      <c r="AB38" s="5" t="s">
        <v>168</v>
      </c>
      <c r="AD38" s="33" t="n">
        <v>6</v>
      </c>
    </row>
    <row r="39" customFormat="false" ht="16.4" hidden="false" customHeight="false" outlineLevel="0" collapsed="false">
      <c r="A39" s="23" t="n">
        <v>4973</v>
      </c>
      <c r="B39" s="23"/>
      <c r="C39" s="41" t="s">
        <v>217</v>
      </c>
      <c r="D39" s="41" t="s">
        <v>218</v>
      </c>
      <c r="E39" s="41" t="s">
        <v>219</v>
      </c>
      <c r="F39" s="41" t="n">
        <v>2022</v>
      </c>
      <c r="G39" s="42" t="s">
        <v>220</v>
      </c>
      <c r="H39" s="23" t="n">
        <v>1</v>
      </c>
      <c r="I39" s="23" t="s">
        <v>32</v>
      </c>
      <c r="J39" s="23" t="s">
        <v>33</v>
      </c>
      <c r="K39" s="27"/>
      <c r="L39" s="23" t="n">
        <v>150</v>
      </c>
      <c r="M39" s="23" t="n">
        <v>1</v>
      </c>
      <c r="N39" s="24" t="n">
        <v>13</v>
      </c>
      <c r="O39" s="24" t="n">
        <f aca="false">L39*M39*N39</f>
        <v>1950</v>
      </c>
      <c r="P39" s="23"/>
      <c r="Q39" s="23" t="n">
        <v>6</v>
      </c>
      <c r="R39" s="23" t="n">
        <v>6</v>
      </c>
      <c r="S39" s="28"/>
      <c r="T39" s="28"/>
      <c r="U39" s="28"/>
      <c r="V39" s="29"/>
      <c r="W39" s="29"/>
      <c r="X39" s="28"/>
      <c r="Z39" s="30"/>
      <c r="AA39" s="30"/>
      <c r="AB39" s="31"/>
      <c r="AC39" s="31"/>
      <c r="AD39" s="30"/>
    </row>
    <row r="40" customFormat="false" ht="15" hidden="false" customHeight="false" outlineLevel="0" collapsed="false">
      <c r="A40" s="23" t="n">
        <v>5014</v>
      </c>
      <c r="B40" s="23" t="n">
        <v>38703343</v>
      </c>
      <c r="C40" s="23" t="s">
        <v>221</v>
      </c>
      <c r="D40" s="23" t="s">
        <v>222</v>
      </c>
      <c r="E40" s="23" t="s">
        <v>223</v>
      </c>
      <c r="F40" s="23" t="n">
        <v>2024</v>
      </c>
      <c r="G40" s="23" t="s">
        <v>224</v>
      </c>
      <c r="H40" s="23" t="n">
        <v>1</v>
      </c>
      <c r="I40" s="23" t="s">
        <v>51</v>
      </c>
      <c r="J40" s="23" t="s">
        <v>33</v>
      </c>
      <c r="K40" s="27" t="s">
        <v>94</v>
      </c>
      <c r="L40" s="23" t="n">
        <v>360</v>
      </c>
      <c r="M40" s="23" t="n">
        <v>1</v>
      </c>
      <c r="N40" s="24" t="n">
        <v>21</v>
      </c>
      <c r="O40" s="24" t="n">
        <f aca="false">N40*L40</f>
        <v>7560</v>
      </c>
      <c r="P40" s="44" t="s">
        <v>225</v>
      </c>
      <c r="Q40" s="23" t="n">
        <v>5</v>
      </c>
      <c r="R40" s="23" t="n">
        <v>5</v>
      </c>
      <c r="S40" s="24" t="s">
        <v>226</v>
      </c>
      <c r="T40" s="28"/>
      <c r="U40" s="28"/>
      <c r="V40" s="29"/>
      <c r="W40" s="29"/>
      <c r="X40" s="28"/>
      <c r="Z40" s="30"/>
      <c r="AA40" s="30"/>
      <c r="AB40" s="31"/>
      <c r="AC40" s="31"/>
      <c r="AD40" s="30"/>
    </row>
    <row r="41" customFormat="false" ht="15" hidden="false" customHeight="false" outlineLevel="0" collapsed="false">
      <c r="A41" s="23" t="n">
        <v>5109</v>
      </c>
      <c r="B41" s="23" t="n">
        <v>36728843</v>
      </c>
      <c r="C41" s="23" t="s">
        <v>227</v>
      </c>
      <c r="D41" s="23" t="s">
        <v>228</v>
      </c>
      <c r="E41" s="23" t="s">
        <v>229</v>
      </c>
      <c r="F41" s="23" t="n">
        <v>2023</v>
      </c>
      <c r="G41" s="23" t="s">
        <v>230</v>
      </c>
      <c r="H41" s="23" t="n">
        <v>1</v>
      </c>
      <c r="I41" s="23" t="s">
        <v>32</v>
      </c>
      <c r="J41" s="23" t="s">
        <v>33</v>
      </c>
      <c r="K41" s="27" t="s">
        <v>231</v>
      </c>
      <c r="L41" s="23" t="n">
        <v>360</v>
      </c>
      <c r="M41" s="23" t="n">
        <v>1</v>
      </c>
      <c r="N41" s="24" t="n">
        <v>28</v>
      </c>
      <c r="O41" s="24" t="n">
        <f aca="false">N41*L41</f>
        <v>10080</v>
      </c>
      <c r="P41" s="23"/>
      <c r="Q41" s="23" t="n">
        <v>5</v>
      </c>
      <c r="R41" s="23" t="n">
        <v>5</v>
      </c>
      <c r="S41" s="24" t="n">
        <v>4</v>
      </c>
      <c r="T41" s="34" t="n">
        <v>41</v>
      </c>
      <c r="U41" s="34" t="n">
        <v>2</v>
      </c>
      <c r="V41" s="25" t="s">
        <v>232</v>
      </c>
      <c r="W41" s="25" t="s">
        <v>168</v>
      </c>
      <c r="X41" s="26" t="n">
        <f aca="false">U41*(SQRT(W41))</f>
        <v>4.89897948556636</v>
      </c>
      <c r="Z41" s="4" t="n">
        <v>51</v>
      </c>
      <c r="AA41" s="4" t="n">
        <v>5</v>
      </c>
      <c r="AB41" s="5" t="s">
        <v>232</v>
      </c>
      <c r="AC41" s="5" t="s">
        <v>168</v>
      </c>
      <c r="AD41" s="33" t="n">
        <f aca="false">AA41*(SQRT(AC41))</f>
        <v>12.2474487139159</v>
      </c>
    </row>
    <row r="42" customFormat="false" ht="15" hidden="false" customHeight="false" outlineLevel="0" collapsed="false">
      <c r="A42" s="23" t="n">
        <v>5214</v>
      </c>
      <c r="B42" s="23" t="n">
        <v>34409523</v>
      </c>
      <c r="C42" s="23" t="s">
        <v>233</v>
      </c>
      <c r="D42" s="23" t="s">
        <v>234</v>
      </c>
      <c r="E42" s="23" t="s">
        <v>235</v>
      </c>
      <c r="F42" s="23" t="n">
        <v>2021</v>
      </c>
      <c r="G42" s="23" t="s">
        <v>236</v>
      </c>
      <c r="H42" s="23" t="n">
        <v>1</v>
      </c>
      <c r="I42" s="23" t="s">
        <v>51</v>
      </c>
      <c r="J42" s="23" t="s">
        <v>33</v>
      </c>
      <c r="K42" s="27"/>
      <c r="L42" s="23" t="n">
        <v>240</v>
      </c>
      <c r="M42" s="23" t="n">
        <v>1</v>
      </c>
      <c r="N42" s="24" t="n">
        <v>14</v>
      </c>
      <c r="O42" s="24" t="n">
        <f aca="false">N42*L42</f>
        <v>3360</v>
      </c>
      <c r="P42" s="23" t="s">
        <v>237</v>
      </c>
      <c r="Q42" s="28" t="s">
        <v>153</v>
      </c>
      <c r="R42" s="28"/>
      <c r="S42" s="24" t="s">
        <v>238</v>
      </c>
      <c r="T42" s="34" t="n">
        <v>245</v>
      </c>
      <c r="U42" s="35" t="n">
        <v>8</v>
      </c>
      <c r="V42" s="27" t="s">
        <v>84</v>
      </c>
      <c r="W42" s="27" t="s">
        <v>84</v>
      </c>
      <c r="X42" s="26" t="n">
        <f aca="false">U42*(SQRT(W42))</f>
        <v>27.712812921102</v>
      </c>
      <c r="Z42" s="4" t="n">
        <v>278</v>
      </c>
      <c r="AA42" s="36" t="n">
        <v>6</v>
      </c>
      <c r="AB42" s="2" t="s">
        <v>84</v>
      </c>
      <c r="AC42" s="2" t="s">
        <v>84</v>
      </c>
      <c r="AD42" s="33" t="n">
        <f aca="false">AA42*(SQRT(AC42))</f>
        <v>20.7846096908265</v>
      </c>
    </row>
    <row r="43" customFormat="false" ht="15" hidden="false" customHeight="false" outlineLevel="0" collapsed="false">
      <c r="A43" s="23" t="n">
        <v>5216</v>
      </c>
      <c r="B43" s="23" t="n">
        <v>37767889</v>
      </c>
      <c r="C43" s="23" t="s">
        <v>239</v>
      </c>
      <c r="D43" s="23" t="s">
        <v>240</v>
      </c>
      <c r="E43" s="23" t="s">
        <v>241</v>
      </c>
      <c r="F43" s="23" t="n">
        <v>2023</v>
      </c>
      <c r="G43" s="23" t="s">
        <v>242</v>
      </c>
      <c r="H43" s="23" t="n">
        <v>1</v>
      </c>
      <c r="I43" s="23" t="s">
        <v>51</v>
      </c>
      <c r="J43" s="23" t="s">
        <v>33</v>
      </c>
      <c r="K43" s="27" t="s">
        <v>205</v>
      </c>
      <c r="L43" s="23" t="n">
        <v>180</v>
      </c>
      <c r="M43" s="23" t="n">
        <v>1</v>
      </c>
      <c r="N43" s="24" t="n">
        <v>35</v>
      </c>
      <c r="O43" s="24" t="n">
        <f aca="false">L43*M43*N43</f>
        <v>6300</v>
      </c>
      <c r="P43" s="23"/>
      <c r="Q43" s="23" t="n">
        <v>5</v>
      </c>
      <c r="R43" s="23" t="n">
        <v>5</v>
      </c>
      <c r="S43" s="24" t="s">
        <v>243</v>
      </c>
      <c r="T43" s="23" t="n">
        <v>93</v>
      </c>
      <c r="U43" s="35" t="s">
        <v>71</v>
      </c>
      <c r="V43" s="25" t="s">
        <v>78</v>
      </c>
      <c r="W43" s="25"/>
      <c r="X43" s="34" t="n">
        <v>3</v>
      </c>
      <c r="Z43" s="4" t="n">
        <v>158</v>
      </c>
      <c r="AA43" s="35" t="s">
        <v>71</v>
      </c>
      <c r="AB43" s="25" t="s">
        <v>78</v>
      </c>
      <c r="AC43" s="25"/>
      <c r="AD43" s="4" t="n">
        <v>4</v>
      </c>
    </row>
    <row r="44" customFormat="false" ht="15" hidden="false" customHeight="false" outlineLevel="0" collapsed="false">
      <c r="A44" s="23" t="n">
        <v>5240</v>
      </c>
      <c r="B44" s="23" t="n">
        <v>29379991</v>
      </c>
      <c r="C44" s="23" t="s">
        <v>244</v>
      </c>
      <c r="D44" s="23" t="s">
        <v>245</v>
      </c>
      <c r="E44" s="23" t="s">
        <v>246</v>
      </c>
      <c r="F44" s="23" t="n">
        <v>2018</v>
      </c>
      <c r="G44" s="23" t="s">
        <v>247</v>
      </c>
      <c r="H44" s="23" t="n">
        <v>1</v>
      </c>
      <c r="I44" s="23" t="s">
        <v>51</v>
      </c>
      <c r="J44" s="23" t="s">
        <v>33</v>
      </c>
      <c r="K44" s="27"/>
      <c r="L44" s="23" t="n">
        <v>240</v>
      </c>
      <c r="M44" s="23" t="n">
        <v>1</v>
      </c>
      <c r="N44" s="24" t="n">
        <v>42</v>
      </c>
      <c r="O44" s="24" t="n">
        <f aca="false">N44*L44</f>
        <v>10080</v>
      </c>
      <c r="P44" s="23"/>
      <c r="Q44" s="23" t="n">
        <v>5</v>
      </c>
      <c r="R44" s="23" t="n">
        <v>5</v>
      </c>
      <c r="S44" s="24" t="s">
        <v>77</v>
      </c>
      <c r="T44" s="26" t="n">
        <v>51.4</v>
      </c>
      <c r="U44" s="35" t="s">
        <v>71</v>
      </c>
      <c r="V44" s="25" t="s">
        <v>200</v>
      </c>
      <c r="W44" s="25"/>
      <c r="X44" s="26" t="n">
        <v>9.39</v>
      </c>
      <c r="Z44" s="4" t="n">
        <v>83.3</v>
      </c>
      <c r="AA44" s="36" t="s">
        <v>71</v>
      </c>
      <c r="AB44" s="5" t="s">
        <v>200</v>
      </c>
      <c r="AD44" s="33" t="n">
        <v>24.21</v>
      </c>
    </row>
    <row r="45" customFormat="false" ht="15" hidden="false" customHeight="false" outlineLevel="0" collapsed="false">
      <c r="A45" s="23" t="n">
        <v>5329</v>
      </c>
      <c r="B45" s="23"/>
      <c r="C45" s="23" t="s">
        <v>248</v>
      </c>
      <c r="D45" s="23" t="s">
        <v>249</v>
      </c>
      <c r="E45" s="23" t="s">
        <v>250</v>
      </c>
      <c r="F45" s="23" t="n">
        <v>2024</v>
      </c>
      <c r="G45" s="23" t="s">
        <v>251</v>
      </c>
      <c r="H45" s="23" t="n">
        <v>1</v>
      </c>
      <c r="I45" s="23" t="s">
        <v>32</v>
      </c>
      <c r="J45" s="23" t="s">
        <v>33</v>
      </c>
      <c r="K45" s="27"/>
      <c r="L45" s="23" t="n">
        <v>120</v>
      </c>
      <c r="M45" s="23" t="n">
        <v>1</v>
      </c>
      <c r="N45" s="24" t="n">
        <v>10</v>
      </c>
      <c r="O45" s="24" t="n">
        <f aca="false">L45*M45*N45</f>
        <v>1200</v>
      </c>
      <c r="P45" s="23"/>
      <c r="Q45" s="23" t="n">
        <v>5</v>
      </c>
      <c r="R45" s="23" t="n">
        <v>5</v>
      </c>
      <c r="S45" s="28"/>
      <c r="T45" s="28"/>
      <c r="U45" s="28"/>
      <c r="V45" s="29"/>
      <c r="W45" s="29"/>
      <c r="X45" s="28"/>
      <c r="Z45" s="30"/>
      <c r="AA45" s="30"/>
      <c r="AB45" s="31"/>
      <c r="AC45" s="31"/>
      <c r="AD45" s="30"/>
    </row>
    <row r="46" customFormat="false" ht="15" hidden="false" customHeight="false" outlineLevel="0" collapsed="false">
      <c r="A46" s="23" t="n">
        <v>5365</v>
      </c>
      <c r="B46" s="23" t="n">
        <v>27916420</v>
      </c>
      <c r="C46" s="23" t="s">
        <v>252</v>
      </c>
      <c r="D46" s="23" t="s">
        <v>253</v>
      </c>
      <c r="E46" s="23" t="s">
        <v>254</v>
      </c>
      <c r="F46" s="23" t="n">
        <v>2017</v>
      </c>
      <c r="G46" s="23" t="s">
        <v>255</v>
      </c>
      <c r="H46" s="23" t="n">
        <v>1</v>
      </c>
      <c r="I46" s="23" t="s">
        <v>51</v>
      </c>
      <c r="J46" s="23" t="s">
        <v>33</v>
      </c>
      <c r="K46" s="27"/>
      <c r="L46" s="23" t="n">
        <v>240</v>
      </c>
      <c r="M46" s="23" t="n">
        <v>1</v>
      </c>
      <c r="N46" s="24" t="n">
        <v>42</v>
      </c>
      <c r="O46" s="24" t="n">
        <f aca="false">N46*L46</f>
        <v>10080</v>
      </c>
      <c r="P46" s="23"/>
      <c r="Q46" s="28" t="s">
        <v>153</v>
      </c>
      <c r="R46" s="28"/>
      <c r="S46" s="24" t="s">
        <v>77</v>
      </c>
      <c r="T46" s="34" t="n">
        <v>52</v>
      </c>
      <c r="U46" s="34" t="n">
        <v>3</v>
      </c>
      <c r="V46" s="27" t="n">
        <v>12</v>
      </c>
      <c r="W46" s="27" t="n">
        <v>12</v>
      </c>
      <c r="X46" s="26" t="n">
        <f aca="false">U46*(SQRT(W46))</f>
        <v>10.3923048454133</v>
      </c>
      <c r="Z46" s="4" t="n">
        <v>83</v>
      </c>
      <c r="AA46" s="4" t="n">
        <v>7</v>
      </c>
      <c r="AB46" s="2" t="n">
        <v>12</v>
      </c>
      <c r="AC46" s="2" t="n">
        <v>12</v>
      </c>
      <c r="AD46" s="33" t="n">
        <f aca="false">AA46*(SQRT(AC46))</f>
        <v>24.2487113059643</v>
      </c>
    </row>
    <row r="47" customFormat="false" ht="15" hidden="false" customHeight="false" outlineLevel="0" collapsed="false">
      <c r="A47" s="37" t="n">
        <v>5419</v>
      </c>
      <c r="B47" s="37" t="n">
        <v>36450831</v>
      </c>
      <c r="C47" s="37" t="s">
        <v>256</v>
      </c>
      <c r="D47" s="37" t="s">
        <v>257</v>
      </c>
      <c r="E47" s="37" t="s">
        <v>127</v>
      </c>
      <c r="F47" s="37" t="n">
        <v>2023</v>
      </c>
      <c r="G47" s="37" t="s">
        <v>258</v>
      </c>
      <c r="H47" s="37" t="n">
        <v>1</v>
      </c>
      <c r="I47" s="23" t="s">
        <v>32</v>
      </c>
      <c r="J47" s="37" t="s">
        <v>33</v>
      </c>
      <c r="K47" s="27" t="s">
        <v>36</v>
      </c>
      <c r="L47" s="23" t="n">
        <v>150</v>
      </c>
      <c r="M47" s="23" t="n">
        <v>1</v>
      </c>
      <c r="N47" s="24" t="n">
        <v>14</v>
      </c>
      <c r="O47" s="24" t="n">
        <f aca="false">N47*L47</f>
        <v>2100</v>
      </c>
      <c r="P47" s="23"/>
      <c r="Q47" s="23" t="n">
        <v>6</v>
      </c>
      <c r="R47" s="23" t="n">
        <v>6</v>
      </c>
      <c r="S47" s="28"/>
      <c r="T47" s="28"/>
      <c r="U47" s="28"/>
      <c r="V47" s="29"/>
      <c r="W47" s="29"/>
      <c r="X47" s="28"/>
      <c r="Z47" s="30"/>
      <c r="AA47" s="30"/>
      <c r="AB47" s="31"/>
      <c r="AC47" s="31"/>
      <c r="AD47" s="30"/>
    </row>
    <row r="48" customFormat="false" ht="15" hidden="false" customHeight="false" outlineLevel="0" collapsed="false">
      <c r="A48" s="37" t="n">
        <v>5419</v>
      </c>
      <c r="B48" s="37" t="n">
        <v>36450831</v>
      </c>
      <c r="C48" s="37" t="s">
        <v>256</v>
      </c>
      <c r="D48" s="37" t="s">
        <v>257</v>
      </c>
      <c r="E48" s="37" t="s">
        <v>127</v>
      </c>
      <c r="F48" s="37" t="n">
        <v>2023</v>
      </c>
      <c r="G48" s="37" t="s">
        <v>258</v>
      </c>
      <c r="H48" s="37" t="n">
        <v>1</v>
      </c>
      <c r="I48" s="23" t="s">
        <v>32</v>
      </c>
      <c r="J48" s="37" t="s">
        <v>97</v>
      </c>
      <c r="K48" s="27" t="s">
        <v>36</v>
      </c>
      <c r="L48" s="23" t="n">
        <v>150</v>
      </c>
      <c r="M48" s="23" t="n">
        <v>1</v>
      </c>
      <c r="N48" s="24" t="n">
        <v>14</v>
      </c>
      <c r="O48" s="24" t="n">
        <f aca="false">N48*L48</f>
        <v>2100</v>
      </c>
      <c r="P48" s="23"/>
      <c r="Q48" s="23" t="n">
        <v>6</v>
      </c>
      <c r="R48" s="23" t="n">
        <v>6</v>
      </c>
      <c r="S48" s="28"/>
      <c r="T48" s="28"/>
      <c r="U48" s="28"/>
      <c r="V48" s="29"/>
      <c r="W48" s="29"/>
      <c r="X48" s="28"/>
      <c r="Z48" s="30"/>
      <c r="AA48" s="30"/>
      <c r="AB48" s="31"/>
      <c r="AC48" s="31"/>
      <c r="AD48" s="30"/>
    </row>
    <row r="49" customFormat="false" ht="16.4" hidden="false" customHeight="false" outlineLevel="0" collapsed="false">
      <c r="A49" s="23" t="n">
        <v>5437</v>
      </c>
      <c r="B49" s="23" t="n">
        <v>40596094</v>
      </c>
      <c r="C49" s="23" t="s">
        <v>259</v>
      </c>
      <c r="D49" s="23" t="s">
        <v>260</v>
      </c>
      <c r="E49" s="23" t="s">
        <v>171</v>
      </c>
      <c r="F49" s="23" t="n">
        <v>2025</v>
      </c>
      <c r="G49" s="23" t="s">
        <v>261</v>
      </c>
      <c r="H49" s="23" t="n">
        <v>1</v>
      </c>
      <c r="I49" s="23" t="s">
        <v>32</v>
      </c>
      <c r="J49" s="23" t="s">
        <v>33</v>
      </c>
      <c r="K49" s="27" t="s">
        <v>262</v>
      </c>
      <c r="L49" s="23" t="n">
        <v>150</v>
      </c>
      <c r="M49" s="23" t="n">
        <v>1</v>
      </c>
      <c r="N49" s="24" t="n">
        <v>35</v>
      </c>
      <c r="O49" s="24" t="n">
        <f aca="false">L49*M49*N49</f>
        <v>5250</v>
      </c>
      <c r="P49" s="23" t="s">
        <v>263</v>
      </c>
      <c r="Q49" s="23" t="n">
        <v>5</v>
      </c>
      <c r="R49" s="23" t="n">
        <v>5</v>
      </c>
      <c r="S49" s="24" t="s">
        <v>59</v>
      </c>
      <c r="T49" s="23" t="n">
        <v>5.6</v>
      </c>
      <c r="U49" s="23" t="n">
        <v>1.3</v>
      </c>
      <c r="V49" s="25" t="s">
        <v>168</v>
      </c>
      <c r="W49" s="25" t="s">
        <v>168</v>
      </c>
      <c r="X49" s="26" t="n">
        <f aca="false">U49*(SQRT(W49))</f>
        <v>3.18433666561813</v>
      </c>
      <c r="Z49" s="4" t="n">
        <v>18</v>
      </c>
      <c r="AA49" s="4" t="n">
        <v>2.4</v>
      </c>
      <c r="AB49" s="25" t="s">
        <v>168</v>
      </c>
      <c r="AC49" s="25" t="s">
        <v>168</v>
      </c>
      <c r="AD49" s="26" t="n">
        <f aca="false">AA49*(SQRT(AC49))</f>
        <v>5.87877538267963</v>
      </c>
    </row>
    <row r="50" customFormat="false" ht="15" hidden="false" customHeight="false" outlineLevel="0" collapsed="false">
      <c r="A50" s="23" t="n">
        <v>5446</v>
      </c>
      <c r="B50" s="23"/>
      <c r="C50" s="23" t="s">
        <v>264</v>
      </c>
      <c r="D50" s="23" t="s">
        <v>265</v>
      </c>
      <c r="E50" s="23" t="s">
        <v>266</v>
      </c>
      <c r="F50" s="23" t="n">
        <v>2022</v>
      </c>
      <c r="G50" s="23" t="s">
        <v>267</v>
      </c>
      <c r="H50" s="23" t="n">
        <v>1</v>
      </c>
      <c r="I50" s="23" t="s">
        <v>51</v>
      </c>
      <c r="J50" s="23" t="s">
        <v>33</v>
      </c>
      <c r="K50" s="27" t="s">
        <v>34</v>
      </c>
      <c r="L50" s="23" t="n">
        <v>360</v>
      </c>
      <c r="M50" s="23" t="n">
        <v>1</v>
      </c>
      <c r="N50" s="24" t="n">
        <v>28</v>
      </c>
      <c r="O50" s="24" t="n">
        <f aca="false">L50*M50*N50</f>
        <v>10080</v>
      </c>
      <c r="P50" s="23"/>
      <c r="Q50" s="23" t="n">
        <v>5</v>
      </c>
      <c r="R50" s="23" t="n">
        <v>5</v>
      </c>
      <c r="S50" s="24" t="s">
        <v>124</v>
      </c>
      <c r="T50" s="23" t="n">
        <v>50</v>
      </c>
      <c r="U50" s="35" t="s">
        <v>71</v>
      </c>
      <c r="V50" s="25" t="s">
        <v>268</v>
      </c>
      <c r="W50" s="25"/>
      <c r="X50" s="34" t="n">
        <v>21</v>
      </c>
      <c r="Z50" s="4" t="n">
        <v>132</v>
      </c>
      <c r="AA50" s="35" t="s">
        <v>71</v>
      </c>
      <c r="AB50" s="25" t="s">
        <v>268</v>
      </c>
      <c r="AD50" s="4" t="n">
        <v>28</v>
      </c>
    </row>
    <row r="51" customFormat="false" ht="16.4" hidden="false" customHeight="false" outlineLevel="0" collapsed="false">
      <c r="A51" s="23" t="n">
        <v>5610</v>
      </c>
      <c r="B51" s="23"/>
      <c r="C51" s="41" t="s">
        <v>269</v>
      </c>
      <c r="D51" s="41" t="s">
        <v>270</v>
      </c>
      <c r="E51" s="41" t="s">
        <v>271</v>
      </c>
      <c r="F51" s="41" t="n">
        <v>2025</v>
      </c>
      <c r="G51" s="42" t="s">
        <v>272</v>
      </c>
      <c r="H51" s="23" t="n">
        <v>1</v>
      </c>
      <c r="I51" s="23" t="s">
        <v>51</v>
      </c>
      <c r="J51" s="23" t="s">
        <v>33</v>
      </c>
      <c r="K51" s="27"/>
      <c r="L51" s="23" t="n">
        <v>480</v>
      </c>
      <c r="M51" s="23" t="n">
        <v>1</v>
      </c>
      <c r="N51" s="24" t="n">
        <v>14</v>
      </c>
      <c r="O51" s="24" t="n">
        <f aca="false">L51*M51*N51</f>
        <v>6720</v>
      </c>
      <c r="P51" s="23"/>
      <c r="Q51" s="23" t="n">
        <v>6</v>
      </c>
      <c r="R51" s="23" t="n">
        <v>6</v>
      </c>
      <c r="S51" s="24" t="s">
        <v>273</v>
      </c>
      <c r="T51" s="23" t="n">
        <v>151</v>
      </c>
      <c r="U51" s="23" t="n">
        <v>11</v>
      </c>
      <c r="V51" s="25" t="n">
        <v>8</v>
      </c>
      <c r="W51" s="25" t="n">
        <v>8</v>
      </c>
      <c r="X51" s="26" t="n">
        <f aca="false">U51*(SQRT(W51))</f>
        <v>31.1126983722081</v>
      </c>
      <c r="Z51" s="4" t="n">
        <v>218</v>
      </c>
      <c r="AA51" s="4" t="n">
        <v>9</v>
      </c>
      <c r="AB51" s="25" t="n">
        <v>8</v>
      </c>
      <c r="AC51" s="25" t="n">
        <v>8</v>
      </c>
      <c r="AD51" s="26" t="n">
        <f aca="false">AA51*(SQRT(AC51))</f>
        <v>25.4558441227157</v>
      </c>
    </row>
    <row r="52" customFormat="false" ht="15" hidden="false" customHeight="false" outlineLevel="0" collapsed="false">
      <c r="A52" s="23" t="n">
        <v>5623</v>
      </c>
      <c r="B52" s="23" t="n">
        <v>36100011</v>
      </c>
      <c r="C52" s="23" t="s">
        <v>274</v>
      </c>
      <c r="D52" s="23" t="s">
        <v>275</v>
      </c>
      <c r="E52" s="23" t="s">
        <v>276</v>
      </c>
      <c r="F52" s="23" t="n">
        <v>2023</v>
      </c>
      <c r="G52" s="23" t="s">
        <v>277</v>
      </c>
      <c r="H52" s="23" t="n">
        <v>1</v>
      </c>
      <c r="I52" s="23" t="s">
        <v>32</v>
      </c>
      <c r="J52" s="23" t="s">
        <v>33</v>
      </c>
      <c r="K52" s="27" t="n">
        <v>6</v>
      </c>
      <c r="L52" s="23" t="n">
        <v>360</v>
      </c>
      <c r="M52" s="23" t="n">
        <v>1</v>
      </c>
      <c r="N52" s="24" t="n">
        <v>21</v>
      </c>
      <c r="O52" s="24" t="n">
        <f aca="false">N52*L52</f>
        <v>7560</v>
      </c>
      <c r="P52" s="23"/>
      <c r="Q52" s="23" t="n">
        <v>6</v>
      </c>
      <c r="R52" s="23" t="n">
        <v>6</v>
      </c>
      <c r="S52" s="24" t="s">
        <v>278</v>
      </c>
      <c r="T52" s="34" t="n">
        <v>19</v>
      </c>
      <c r="U52" s="34" t="n">
        <v>5</v>
      </c>
      <c r="V52" s="25" t="s">
        <v>168</v>
      </c>
      <c r="W52" s="25" t="s">
        <v>168</v>
      </c>
      <c r="X52" s="26" t="n">
        <f aca="false">U52*(SQRT(W52))</f>
        <v>12.2474487139159</v>
      </c>
      <c r="Z52" s="4" t="n">
        <v>18</v>
      </c>
      <c r="AA52" s="4" t="n">
        <v>4</v>
      </c>
      <c r="AB52" s="5" t="s">
        <v>168</v>
      </c>
      <c r="AC52" s="5" t="s">
        <v>168</v>
      </c>
      <c r="AD52" s="33" t="n">
        <f aca="false">AA52*(SQRT(AC52))</f>
        <v>9.79795897113271</v>
      </c>
    </row>
    <row r="53" customFormat="false" ht="15" hidden="false" customHeight="false" outlineLevel="0" collapsed="false">
      <c r="A53" s="23" t="n">
        <v>5627</v>
      </c>
      <c r="B53" s="23"/>
      <c r="C53" s="23" t="s">
        <v>279</v>
      </c>
      <c r="D53" s="23" t="s">
        <v>280</v>
      </c>
      <c r="E53" s="23" t="s">
        <v>281</v>
      </c>
      <c r="F53" s="23" t="n">
        <v>2019</v>
      </c>
      <c r="G53" s="23" t="s">
        <v>282</v>
      </c>
      <c r="H53" s="23" t="n">
        <v>1</v>
      </c>
      <c r="I53" s="23" t="s">
        <v>51</v>
      </c>
      <c r="J53" s="23" t="s">
        <v>33</v>
      </c>
      <c r="K53" s="27" t="s">
        <v>36</v>
      </c>
      <c r="L53" s="23" t="n">
        <v>360</v>
      </c>
      <c r="M53" s="23" t="n">
        <v>1</v>
      </c>
      <c r="N53" s="24" t="n">
        <v>21</v>
      </c>
      <c r="O53" s="24" t="n">
        <f aca="false">L53*M53*N53</f>
        <v>7560</v>
      </c>
      <c r="P53" s="23"/>
      <c r="Q53" s="23" t="n">
        <v>20</v>
      </c>
      <c r="R53" s="23" t="n">
        <v>5</v>
      </c>
      <c r="S53" s="24" t="s">
        <v>283</v>
      </c>
      <c r="T53" s="23" t="n">
        <v>96</v>
      </c>
      <c r="U53" s="23" t="n">
        <v>11</v>
      </c>
      <c r="V53" s="5" t="s">
        <v>84</v>
      </c>
      <c r="W53" s="5" t="s">
        <v>84</v>
      </c>
      <c r="X53" s="26" t="n">
        <f aca="false">U53*(SQRT(W53))</f>
        <v>38.1051177665153</v>
      </c>
      <c r="Z53" s="4" t="n">
        <v>281</v>
      </c>
      <c r="AA53" s="4" t="n">
        <v>24</v>
      </c>
      <c r="AB53" s="5" t="s">
        <v>84</v>
      </c>
      <c r="AC53" s="5" t="s">
        <v>84</v>
      </c>
      <c r="AD53" s="26" t="n">
        <f aca="false">AA53*(SQRT(AC53))</f>
        <v>83.1384387633061</v>
      </c>
    </row>
    <row r="54" customFormat="false" ht="15" hidden="false" customHeight="false" outlineLevel="0" collapsed="false">
      <c r="A54" s="23" t="n">
        <v>5687</v>
      </c>
      <c r="B54" s="23"/>
      <c r="C54" s="23" t="s">
        <v>284</v>
      </c>
      <c r="D54" s="23" t="s">
        <v>285</v>
      </c>
      <c r="E54" s="23" t="s">
        <v>286</v>
      </c>
      <c r="F54" s="23" t="n">
        <v>2022</v>
      </c>
      <c r="G54" s="23" t="s">
        <v>287</v>
      </c>
      <c r="H54" s="23" t="n">
        <v>1</v>
      </c>
      <c r="I54" s="23" t="s">
        <v>32</v>
      </c>
      <c r="J54" s="23" t="s">
        <v>97</v>
      </c>
      <c r="K54" s="27" t="s">
        <v>84</v>
      </c>
      <c r="L54" s="23" t="n">
        <v>450</v>
      </c>
      <c r="M54" s="23" t="n">
        <v>1</v>
      </c>
      <c r="N54" s="24" t="n">
        <v>21</v>
      </c>
      <c r="O54" s="24" t="n">
        <f aca="false">L54*M54*N54</f>
        <v>9450</v>
      </c>
      <c r="P54" s="23" t="s">
        <v>288</v>
      </c>
      <c r="Q54" s="23" t="n">
        <v>6</v>
      </c>
      <c r="R54" s="23" t="n">
        <v>4</v>
      </c>
      <c r="S54" s="24" t="s">
        <v>112</v>
      </c>
      <c r="T54" s="28"/>
      <c r="U54" s="28"/>
      <c r="V54" s="29"/>
      <c r="W54" s="29"/>
      <c r="X54" s="28"/>
      <c r="Z54" s="30"/>
      <c r="AA54" s="30"/>
      <c r="AB54" s="31"/>
      <c r="AC54" s="31"/>
      <c r="AD54" s="30"/>
    </row>
    <row r="55" customFormat="false" ht="15" hidden="false" customHeight="false" outlineLevel="0" collapsed="false">
      <c r="A55" s="23" t="n">
        <v>5699</v>
      </c>
      <c r="B55" s="23" t="n">
        <v>29175030</v>
      </c>
      <c r="C55" s="23" t="s">
        <v>289</v>
      </c>
      <c r="D55" s="23" t="s">
        <v>290</v>
      </c>
      <c r="E55" s="23" t="s">
        <v>291</v>
      </c>
      <c r="F55" s="23" t="n">
        <v>2018</v>
      </c>
      <c r="G55" s="23" t="s">
        <v>292</v>
      </c>
      <c r="H55" s="23" t="n">
        <v>1</v>
      </c>
      <c r="I55" s="23" t="s">
        <v>51</v>
      </c>
      <c r="J55" s="23" t="s">
        <v>33</v>
      </c>
      <c r="K55" s="27"/>
      <c r="L55" s="23" t="n">
        <v>360</v>
      </c>
      <c r="M55" s="23" t="n">
        <v>1</v>
      </c>
      <c r="N55" s="24" t="n">
        <v>35</v>
      </c>
      <c r="O55" s="24" t="n">
        <f aca="false">N55*L55</f>
        <v>12600</v>
      </c>
      <c r="P55" s="23"/>
      <c r="Q55" s="23" t="n">
        <v>5</v>
      </c>
      <c r="R55" s="23" t="n">
        <v>5</v>
      </c>
      <c r="S55" s="24" t="n">
        <v>3</v>
      </c>
      <c r="T55" s="34" t="n">
        <v>56</v>
      </c>
      <c r="U55" s="35" t="s">
        <v>71</v>
      </c>
      <c r="V55" s="25" t="s">
        <v>36</v>
      </c>
      <c r="W55" s="25"/>
      <c r="X55" s="26" t="n">
        <v>12</v>
      </c>
      <c r="Y55" s="3"/>
      <c r="Z55" s="3" t="n">
        <v>136</v>
      </c>
      <c r="AA55" s="36" t="s">
        <v>71</v>
      </c>
      <c r="AB55" s="2" t="n">
        <v>8</v>
      </c>
      <c r="AC55" s="2"/>
      <c r="AD55" s="33" t="n">
        <v>30</v>
      </c>
    </row>
    <row r="56" customFormat="false" ht="15" hidden="false" customHeight="false" outlineLevel="0" collapsed="false">
      <c r="A56" s="23" t="n">
        <v>5748</v>
      </c>
      <c r="B56" s="23"/>
      <c r="C56" s="23" t="s">
        <v>293</v>
      </c>
      <c r="D56" s="23" t="s">
        <v>294</v>
      </c>
      <c r="E56" s="23" t="s">
        <v>295</v>
      </c>
      <c r="F56" s="23" t="n">
        <v>2021</v>
      </c>
      <c r="G56" s="23" t="s">
        <v>296</v>
      </c>
      <c r="H56" s="23" t="n">
        <v>1</v>
      </c>
      <c r="I56" s="23" t="s">
        <v>51</v>
      </c>
      <c r="J56" s="23" t="s">
        <v>33</v>
      </c>
      <c r="K56" s="27"/>
      <c r="L56" s="23" t="n">
        <v>360</v>
      </c>
      <c r="M56" s="23" t="n">
        <v>1</v>
      </c>
      <c r="N56" s="24" t="n">
        <v>21</v>
      </c>
      <c r="O56" s="24" t="n">
        <f aca="false">L56*M56*N56</f>
        <v>7560</v>
      </c>
      <c r="P56" s="23"/>
      <c r="Q56" s="23" t="n">
        <v>5</v>
      </c>
      <c r="R56" s="23" t="n">
        <v>5</v>
      </c>
      <c r="S56" s="24" t="s">
        <v>297</v>
      </c>
      <c r="T56" s="23" t="n">
        <v>50</v>
      </c>
      <c r="U56" s="23" t="n">
        <v>7</v>
      </c>
      <c r="V56" s="25" t="s">
        <v>53</v>
      </c>
      <c r="W56" s="25" t="s">
        <v>53</v>
      </c>
      <c r="X56" s="26" t="n">
        <f aca="false">U56*(SQRT(W56))</f>
        <v>15.6524758424985</v>
      </c>
      <c r="Z56" s="4" t="n">
        <v>154</v>
      </c>
      <c r="AA56" s="4" t="n">
        <v>10</v>
      </c>
      <c r="AB56" s="25" t="s">
        <v>53</v>
      </c>
      <c r="AC56" s="25" t="s">
        <v>53</v>
      </c>
      <c r="AD56" s="26" t="n">
        <f aca="false">AA56*(SQRT(AC56))</f>
        <v>22.3606797749979</v>
      </c>
    </row>
    <row r="57" customFormat="false" ht="16.4" hidden="false" customHeight="false" outlineLevel="0" collapsed="false">
      <c r="A57" s="23" t="n">
        <v>5898</v>
      </c>
      <c r="B57" s="23"/>
      <c r="C57" s="41" t="s">
        <v>298</v>
      </c>
      <c r="D57" s="41" t="s">
        <v>299</v>
      </c>
      <c r="E57" s="41" t="s">
        <v>300</v>
      </c>
      <c r="F57" s="41" t="n">
        <v>2018</v>
      </c>
      <c r="G57" s="42" t="s">
        <v>301</v>
      </c>
      <c r="H57" s="23" t="n">
        <v>1</v>
      </c>
      <c r="I57" s="23" t="s">
        <v>51</v>
      </c>
      <c r="J57" s="23" t="s">
        <v>33</v>
      </c>
      <c r="K57" s="27"/>
      <c r="L57" s="23" t="n">
        <v>240</v>
      </c>
      <c r="M57" s="23" t="n">
        <v>1</v>
      </c>
      <c r="N57" s="24" t="n">
        <v>42</v>
      </c>
      <c r="O57" s="24" t="n">
        <f aca="false">L57*M57*N57</f>
        <v>10080</v>
      </c>
      <c r="P57" s="23"/>
      <c r="Q57" s="23" t="n">
        <v>5</v>
      </c>
      <c r="R57" s="23" t="n">
        <v>5</v>
      </c>
      <c r="S57" s="24" t="s">
        <v>77</v>
      </c>
      <c r="T57" s="28"/>
      <c r="U57" s="28"/>
      <c r="V57" s="29"/>
      <c r="W57" s="29"/>
      <c r="X57" s="28"/>
      <c r="Z57" s="30"/>
      <c r="AA57" s="30"/>
      <c r="AB57" s="31"/>
      <c r="AC57" s="31"/>
      <c r="AD57" s="30"/>
    </row>
    <row r="58" customFormat="false" ht="15" hidden="false" customHeight="false" outlineLevel="0" collapsed="false">
      <c r="A58" s="37" t="n">
        <v>5993</v>
      </c>
      <c r="B58" s="37" t="n">
        <v>41113223</v>
      </c>
      <c r="C58" s="37" t="s">
        <v>302</v>
      </c>
      <c r="D58" s="37" t="s">
        <v>303</v>
      </c>
      <c r="E58" s="37" t="s">
        <v>304</v>
      </c>
      <c r="F58" s="37" t="n">
        <v>2025</v>
      </c>
      <c r="G58" s="37" t="s">
        <v>305</v>
      </c>
      <c r="H58" s="37" t="n">
        <v>1</v>
      </c>
      <c r="I58" s="23" t="s">
        <v>51</v>
      </c>
      <c r="J58" s="23" t="s">
        <v>33</v>
      </c>
      <c r="K58" s="27" t="s">
        <v>61</v>
      </c>
      <c r="L58" s="23" t="n">
        <v>180</v>
      </c>
      <c r="M58" s="23" t="n">
        <v>1</v>
      </c>
      <c r="N58" s="45" t="n">
        <v>7</v>
      </c>
      <c r="O58" s="24" t="n">
        <f aca="false">L58*M58*N58</f>
        <v>1260</v>
      </c>
      <c r="P58" s="23"/>
      <c r="Q58" s="23" t="n">
        <v>5</v>
      </c>
      <c r="R58" s="23" t="n">
        <v>5</v>
      </c>
      <c r="S58" s="24" t="n">
        <v>3</v>
      </c>
      <c r="T58" s="23" t="n">
        <v>59</v>
      </c>
      <c r="U58" s="23" t="n">
        <v>14</v>
      </c>
      <c r="V58" s="25" t="n">
        <v>10</v>
      </c>
      <c r="W58" s="25" t="n">
        <v>10</v>
      </c>
      <c r="X58" s="26" t="n">
        <f aca="false">U58*(SQRT(W58))</f>
        <v>44.2718872423573</v>
      </c>
      <c r="Z58" s="4" t="n">
        <v>146</v>
      </c>
      <c r="AA58" s="4" t="n">
        <v>28</v>
      </c>
      <c r="AB58" s="25" t="n">
        <v>10</v>
      </c>
      <c r="AC58" s="25" t="n">
        <v>10</v>
      </c>
      <c r="AD58" s="26" t="n">
        <f aca="false">AA58*(SQRT(AC58))</f>
        <v>88.5437744847146</v>
      </c>
    </row>
    <row r="59" customFormat="false" ht="15" hidden="false" customHeight="false" outlineLevel="0" collapsed="false">
      <c r="A59" s="37" t="n">
        <v>5993</v>
      </c>
      <c r="B59" s="37" t="n">
        <v>41113223</v>
      </c>
      <c r="C59" s="37" t="s">
        <v>302</v>
      </c>
      <c r="D59" s="37" t="s">
        <v>303</v>
      </c>
      <c r="E59" s="37" t="s">
        <v>304</v>
      </c>
      <c r="F59" s="37" t="n">
        <v>2025</v>
      </c>
      <c r="G59" s="37" t="s">
        <v>305</v>
      </c>
      <c r="H59" s="37" t="n">
        <v>1</v>
      </c>
      <c r="I59" s="23" t="s">
        <v>51</v>
      </c>
      <c r="J59" s="23" t="s">
        <v>33</v>
      </c>
      <c r="K59" s="27" t="s">
        <v>61</v>
      </c>
      <c r="L59" s="23" t="n">
        <v>180</v>
      </c>
      <c r="M59" s="23" t="n">
        <v>1</v>
      </c>
      <c r="N59" s="45" t="n">
        <v>14</v>
      </c>
      <c r="O59" s="24" t="n">
        <f aca="false">L59*M59*N59</f>
        <v>2520</v>
      </c>
      <c r="P59" s="23"/>
      <c r="Q59" s="23" t="s">
        <v>153</v>
      </c>
      <c r="R59" s="23"/>
      <c r="S59" s="24"/>
      <c r="T59" s="23" t="n">
        <v>59</v>
      </c>
      <c r="U59" s="23" t="n">
        <v>14</v>
      </c>
      <c r="V59" s="25" t="n">
        <v>10</v>
      </c>
      <c r="W59" s="25" t="n">
        <v>10</v>
      </c>
      <c r="X59" s="26" t="n">
        <f aca="false">U59*(SQRT(W59))</f>
        <v>44.2718872423573</v>
      </c>
      <c r="Z59" s="4" t="n">
        <v>140</v>
      </c>
      <c r="AA59" s="4" t="n">
        <v>24</v>
      </c>
      <c r="AB59" s="25" t="n">
        <v>10</v>
      </c>
      <c r="AC59" s="25" t="n">
        <v>10</v>
      </c>
      <c r="AD59" s="26" t="n">
        <f aca="false">AA59*(SQRT(AC59))</f>
        <v>75.8946638440411</v>
      </c>
    </row>
    <row r="60" customFormat="false" ht="15" hidden="false" customHeight="false" outlineLevel="0" collapsed="false">
      <c r="A60" s="37" t="n">
        <v>5993</v>
      </c>
      <c r="B60" s="37" t="n">
        <v>41113223</v>
      </c>
      <c r="C60" s="37" t="s">
        <v>302</v>
      </c>
      <c r="D60" s="37" t="s">
        <v>303</v>
      </c>
      <c r="E60" s="37" t="s">
        <v>304</v>
      </c>
      <c r="F60" s="37" t="n">
        <v>2025</v>
      </c>
      <c r="G60" s="37" t="s">
        <v>305</v>
      </c>
      <c r="H60" s="37" t="n">
        <v>1</v>
      </c>
      <c r="I60" s="23" t="s">
        <v>51</v>
      </c>
      <c r="J60" s="23" t="s">
        <v>33</v>
      </c>
      <c r="K60" s="27" t="s">
        <v>61</v>
      </c>
      <c r="L60" s="23" t="n">
        <v>180</v>
      </c>
      <c r="M60" s="23" t="n">
        <v>1</v>
      </c>
      <c r="N60" s="45" t="n">
        <v>28</v>
      </c>
      <c r="O60" s="24" t="n">
        <f aca="false">L60*M60*N60</f>
        <v>5040</v>
      </c>
      <c r="P60" s="23"/>
      <c r="Q60" s="23" t="s">
        <v>153</v>
      </c>
      <c r="R60" s="23"/>
      <c r="S60" s="24"/>
      <c r="T60" s="23" t="n">
        <v>59</v>
      </c>
      <c r="U60" s="23" t="n">
        <v>14</v>
      </c>
      <c r="V60" s="25" t="n">
        <v>10</v>
      </c>
      <c r="W60" s="25" t="n">
        <v>10</v>
      </c>
      <c r="X60" s="26" t="n">
        <f aca="false">U60*(SQRT(W60))</f>
        <v>44.2718872423573</v>
      </c>
      <c r="Z60" s="4" t="n">
        <v>193</v>
      </c>
      <c r="AA60" s="4" t="n">
        <v>26</v>
      </c>
      <c r="AB60" s="25" t="n">
        <v>10</v>
      </c>
      <c r="AC60" s="25" t="n">
        <v>10</v>
      </c>
      <c r="AD60" s="26" t="n">
        <f aca="false">AA60*(SQRT(AC60))</f>
        <v>82.2192191643779</v>
      </c>
    </row>
    <row r="61" customFormat="false" ht="15" hidden="false" customHeight="false" outlineLevel="0" collapsed="false">
      <c r="A61" s="23" t="n">
        <v>6013</v>
      </c>
      <c r="B61" s="23" t="n">
        <v>34052298</v>
      </c>
      <c r="C61" s="23" t="s">
        <v>306</v>
      </c>
      <c r="D61" s="23" t="s">
        <v>307</v>
      </c>
      <c r="E61" s="23" t="s">
        <v>308</v>
      </c>
      <c r="F61" s="23" t="n">
        <v>2021</v>
      </c>
      <c r="G61" s="23" t="s">
        <v>309</v>
      </c>
      <c r="H61" s="23" t="n">
        <v>1</v>
      </c>
      <c r="I61" s="23" t="s">
        <v>32</v>
      </c>
      <c r="J61" s="23" t="s">
        <v>33</v>
      </c>
      <c r="K61" s="27"/>
      <c r="L61" s="23" t="n">
        <v>360</v>
      </c>
      <c r="M61" s="23" t="n">
        <v>1</v>
      </c>
      <c r="N61" s="24" t="n">
        <v>21</v>
      </c>
      <c r="O61" s="24" t="n">
        <f aca="false">N61*L61</f>
        <v>7560</v>
      </c>
      <c r="P61" s="23"/>
      <c r="Q61" s="23" t="n">
        <v>20</v>
      </c>
      <c r="R61" s="23" t="n">
        <v>5</v>
      </c>
      <c r="S61" s="24" t="n">
        <v>7</v>
      </c>
      <c r="T61" s="34" t="n">
        <v>43</v>
      </c>
      <c r="U61" s="34" t="n">
        <v>11</v>
      </c>
      <c r="V61" s="25" t="s">
        <v>168</v>
      </c>
      <c r="W61" s="25" t="s">
        <v>168</v>
      </c>
      <c r="X61" s="26" t="n">
        <f aca="false">U61*(SQRT(W61))</f>
        <v>26.944387170615</v>
      </c>
      <c r="Z61" s="4" t="n">
        <v>99</v>
      </c>
      <c r="AA61" s="4" t="n">
        <v>4</v>
      </c>
      <c r="AB61" s="5" t="s">
        <v>168</v>
      </c>
      <c r="AC61" s="5" t="s">
        <v>168</v>
      </c>
      <c r="AD61" s="33" t="n">
        <f aca="false">AA61*(SQRT(AC61))</f>
        <v>9.79795897113271</v>
      </c>
    </row>
    <row r="62" customFormat="false" ht="15" hidden="false" customHeight="false" outlineLevel="0" collapsed="false">
      <c r="A62" s="23" t="n">
        <v>6184</v>
      </c>
      <c r="B62" s="23" t="n">
        <v>35230663</v>
      </c>
      <c r="C62" s="23" t="s">
        <v>310</v>
      </c>
      <c r="D62" s="23" t="s">
        <v>311</v>
      </c>
      <c r="E62" s="23" t="s">
        <v>223</v>
      </c>
      <c r="F62" s="23" t="n">
        <v>2022</v>
      </c>
      <c r="G62" s="23" t="s">
        <v>312</v>
      </c>
      <c r="H62" s="23" t="n">
        <v>1</v>
      </c>
      <c r="I62" s="23" t="s">
        <v>32</v>
      </c>
      <c r="J62" s="23" t="s">
        <v>33</v>
      </c>
      <c r="K62" s="27"/>
      <c r="L62" s="23" t="n">
        <v>240</v>
      </c>
      <c r="M62" s="23" t="n">
        <v>1</v>
      </c>
      <c r="N62" s="24" t="n">
        <v>28</v>
      </c>
      <c r="O62" s="24" t="n">
        <f aca="false">N62*L62</f>
        <v>6720</v>
      </c>
      <c r="P62" s="23"/>
      <c r="Q62" s="23" t="n">
        <v>5</v>
      </c>
      <c r="R62" s="23" t="n">
        <v>5</v>
      </c>
      <c r="S62" s="25" t="s">
        <v>124</v>
      </c>
      <c r="T62" s="35" t="n">
        <v>50</v>
      </c>
      <c r="U62" s="35" t="s">
        <v>71</v>
      </c>
      <c r="V62" s="25" t="s">
        <v>313</v>
      </c>
      <c r="W62" s="25"/>
      <c r="X62" s="26" t="n">
        <v>4</v>
      </c>
      <c r="Z62" s="36" t="n">
        <v>68</v>
      </c>
      <c r="AA62" s="36" t="s">
        <v>71</v>
      </c>
      <c r="AB62" s="5" t="s">
        <v>313</v>
      </c>
      <c r="AD62" s="33" t="n">
        <v>5</v>
      </c>
    </row>
    <row r="63" customFormat="false" ht="16.4" hidden="false" customHeight="false" outlineLevel="0" collapsed="false">
      <c r="A63" s="37" t="n">
        <v>6233</v>
      </c>
      <c r="B63" s="37"/>
      <c r="C63" s="38" t="s">
        <v>314</v>
      </c>
      <c r="D63" s="38" t="s">
        <v>315</v>
      </c>
      <c r="E63" s="38" t="s">
        <v>316</v>
      </c>
      <c r="F63" s="38" t="n">
        <v>2024</v>
      </c>
      <c r="G63" s="39" t="s">
        <v>317</v>
      </c>
      <c r="H63" s="37" t="n">
        <v>1</v>
      </c>
      <c r="I63" s="23" t="s">
        <v>51</v>
      </c>
      <c r="J63" s="37" t="s">
        <v>33</v>
      </c>
      <c r="K63" s="27" t="s">
        <v>168</v>
      </c>
      <c r="L63" s="23" t="n">
        <v>360</v>
      </c>
      <c r="M63" s="23" t="n">
        <v>1</v>
      </c>
      <c r="N63" s="24" t="n">
        <v>21</v>
      </c>
      <c r="O63" s="24" t="n">
        <f aca="false">L63*M63*N63</f>
        <v>7560</v>
      </c>
      <c r="P63" s="23"/>
      <c r="Q63" s="28" t="s">
        <v>153</v>
      </c>
      <c r="R63" s="28"/>
      <c r="S63" s="28"/>
      <c r="T63" s="28"/>
      <c r="U63" s="28"/>
      <c r="V63" s="28"/>
      <c r="W63" s="28"/>
      <c r="X63" s="28"/>
      <c r="Z63" s="28"/>
      <c r="AA63" s="28"/>
      <c r="AB63" s="28"/>
      <c r="AC63" s="28"/>
      <c r="AD63" s="28"/>
    </row>
    <row r="64" customFormat="false" ht="16.4" hidden="false" customHeight="false" outlineLevel="0" collapsed="false">
      <c r="A64" s="37" t="n">
        <v>6233</v>
      </c>
      <c r="B64" s="37"/>
      <c r="C64" s="38" t="s">
        <v>314</v>
      </c>
      <c r="D64" s="38" t="s">
        <v>315</v>
      </c>
      <c r="E64" s="38" t="s">
        <v>316</v>
      </c>
      <c r="F64" s="38" t="n">
        <v>2024</v>
      </c>
      <c r="G64" s="39" t="s">
        <v>317</v>
      </c>
      <c r="H64" s="37" t="n">
        <v>1</v>
      </c>
      <c r="I64" s="23" t="s">
        <v>51</v>
      </c>
      <c r="J64" s="37" t="s">
        <v>97</v>
      </c>
      <c r="K64" s="27" t="s">
        <v>168</v>
      </c>
      <c r="L64" s="23" t="n">
        <v>360</v>
      </c>
      <c r="M64" s="23" t="n">
        <v>1</v>
      </c>
      <c r="N64" s="24" t="n">
        <v>21</v>
      </c>
      <c r="O64" s="24" t="n">
        <f aca="false">L64*M64*N64</f>
        <v>7560</v>
      </c>
      <c r="P64" s="23"/>
      <c r="Q64" s="28" t="s">
        <v>153</v>
      </c>
      <c r="R64" s="28"/>
      <c r="S64" s="28"/>
      <c r="T64" s="28"/>
      <c r="U64" s="28"/>
      <c r="V64" s="28"/>
      <c r="W64" s="28"/>
      <c r="X64" s="28"/>
      <c r="Z64" s="28"/>
      <c r="AA64" s="28"/>
      <c r="AB64" s="28"/>
      <c r="AC64" s="28"/>
      <c r="AD64" s="28"/>
    </row>
    <row r="65" customFormat="false" ht="15" hidden="false" customHeight="false" outlineLevel="0" collapsed="false">
      <c r="A65" s="23" t="n">
        <v>6269</v>
      </c>
      <c r="B65" s="23" t="n">
        <v>37578355</v>
      </c>
      <c r="C65" s="23" t="s">
        <v>318</v>
      </c>
      <c r="D65" s="23" t="s">
        <v>319</v>
      </c>
      <c r="E65" s="23" t="s">
        <v>320</v>
      </c>
      <c r="F65" s="23" t="n">
        <v>2023</v>
      </c>
      <c r="G65" s="23" t="s">
        <v>321</v>
      </c>
      <c r="H65" s="23" t="n">
        <v>1</v>
      </c>
      <c r="I65" s="23" t="s">
        <v>51</v>
      </c>
      <c r="J65" s="23" t="s">
        <v>33</v>
      </c>
      <c r="K65" s="27" t="n">
        <v>7</v>
      </c>
      <c r="L65" s="23" t="n">
        <v>120</v>
      </c>
      <c r="M65" s="23" t="n">
        <v>1</v>
      </c>
      <c r="N65" s="24" t="n">
        <v>10</v>
      </c>
      <c r="O65" s="24" t="n">
        <f aca="false">N65*L65</f>
        <v>1200</v>
      </c>
      <c r="P65" s="23" t="s">
        <v>173</v>
      </c>
      <c r="Q65" s="23" t="n">
        <v>5</v>
      </c>
      <c r="R65" s="23" t="n">
        <v>5</v>
      </c>
      <c r="S65" s="24" t="n">
        <v>4</v>
      </c>
      <c r="T65" s="34" t="n">
        <v>147</v>
      </c>
      <c r="U65" s="34" t="n">
        <v>29</v>
      </c>
      <c r="V65" s="27" t="s">
        <v>79</v>
      </c>
      <c r="W65" s="27" t="s">
        <v>79</v>
      </c>
      <c r="X65" s="26" t="n">
        <f aca="false">U65*(SQRT(W65))</f>
        <v>87</v>
      </c>
      <c r="Z65" s="4" t="n">
        <v>234</v>
      </c>
      <c r="AA65" s="4" t="n">
        <v>9</v>
      </c>
      <c r="AB65" s="2" t="s">
        <v>79</v>
      </c>
      <c r="AC65" s="2" t="s">
        <v>79</v>
      </c>
      <c r="AD65" s="33" t="n">
        <f aca="false">AA65*(SQRT(AC65))</f>
        <v>27</v>
      </c>
    </row>
    <row r="66" customFormat="false" ht="15" hidden="false" customHeight="false" outlineLevel="0" collapsed="false">
      <c r="A66" s="23" t="n">
        <v>6305</v>
      </c>
      <c r="B66" s="23" t="n">
        <v>26778944</v>
      </c>
      <c r="C66" s="23" t="s">
        <v>322</v>
      </c>
      <c r="D66" s="23" t="s">
        <v>323</v>
      </c>
      <c r="E66" s="23" t="s">
        <v>324</v>
      </c>
      <c r="F66" s="23" t="n">
        <v>2015</v>
      </c>
      <c r="G66" s="23" t="s">
        <v>325</v>
      </c>
      <c r="H66" s="23" t="n">
        <v>1</v>
      </c>
      <c r="I66" s="23" t="s">
        <v>32</v>
      </c>
      <c r="J66" s="23" t="s">
        <v>33</v>
      </c>
      <c r="K66" s="27" t="s">
        <v>36</v>
      </c>
      <c r="L66" s="23" t="n">
        <v>120</v>
      </c>
      <c r="M66" s="23" t="n">
        <v>1</v>
      </c>
      <c r="N66" s="24" t="n">
        <v>21</v>
      </c>
      <c r="O66" s="24" t="n">
        <f aca="false">N66*L66</f>
        <v>2520</v>
      </c>
      <c r="P66" s="23" t="s">
        <v>326</v>
      </c>
      <c r="Q66" s="23" t="n">
        <v>5</v>
      </c>
      <c r="R66" s="23" t="n">
        <v>5</v>
      </c>
      <c r="S66" s="24" t="s">
        <v>112</v>
      </c>
      <c r="T66" s="34" t="n">
        <v>23</v>
      </c>
      <c r="U66" s="34" t="n">
        <v>1</v>
      </c>
      <c r="V66" s="25" t="n">
        <v>10</v>
      </c>
      <c r="W66" s="25" t="n">
        <v>10</v>
      </c>
      <c r="X66" s="26" t="n">
        <f aca="false">U66*(SQRT(W66))</f>
        <v>3.16227766016838</v>
      </c>
      <c r="Z66" s="4" t="n">
        <v>31</v>
      </c>
      <c r="AA66" s="4" t="n">
        <v>1</v>
      </c>
      <c r="AB66" s="5" t="n">
        <v>10</v>
      </c>
      <c r="AC66" s="5" t="n">
        <v>10</v>
      </c>
      <c r="AD66" s="33" t="n">
        <f aca="false">AA66*(SQRT(AC66))</f>
        <v>3.16227766016838</v>
      </c>
    </row>
    <row r="67" customFormat="false" ht="15" hidden="false" customHeight="false" outlineLevel="0" collapsed="false">
      <c r="A67" s="23" t="n">
        <v>6987</v>
      </c>
      <c r="B67" s="23" t="n">
        <v>33276022</v>
      </c>
      <c r="C67" s="23" t="s">
        <v>327</v>
      </c>
      <c r="D67" s="23" t="s">
        <v>328</v>
      </c>
      <c r="E67" s="23" t="s">
        <v>308</v>
      </c>
      <c r="F67" s="23" t="n">
        <v>2021</v>
      </c>
      <c r="G67" s="23" t="s">
        <v>329</v>
      </c>
      <c r="H67" s="23" t="n">
        <v>1</v>
      </c>
      <c r="I67" s="23" t="s">
        <v>32</v>
      </c>
      <c r="J67" s="23" t="s">
        <v>33</v>
      </c>
      <c r="K67" s="27" t="n">
        <v>12</v>
      </c>
      <c r="L67" s="23" t="n">
        <v>390</v>
      </c>
      <c r="M67" s="23" t="n">
        <v>1</v>
      </c>
      <c r="N67" s="24" t="n">
        <v>21</v>
      </c>
      <c r="O67" s="24" t="n">
        <f aca="false">N67*L67</f>
        <v>8190</v>
      </c>
      <c r="P67" s="23"/>
      <c r="Q67" s="23" t="n">
        <v>6</v>
      </c>
      <c r="R67" s="23" t="n">
        <v>5</v>
      </c>
      <c r="S67" s="24" t="s">
        <v>52</v>
      </c>
      <c r="T67" s="24" t="n">
        <v>14</v>
      </c>
      <c r="U67" s="24" t="n">
        <v>2.2</v>
      </c>
      <c r="V67" s="25" t="s">
        <v>53</v>
      </c>
      <c r="W67" s="25" t="s">
        <v>53</v>
      </c>
      <c r="X67" s="26" t="n">
        <f aca="false">U67*(SQRT(W67))</f>
        <v>4.91934955049954</v>
      </c>
      <c r="Z67" s="3" t="n">
        <v>21</v>
      </c>
      <c r="AA67" s="3" t="n">
        <v>2.2</v>
      </c>
      <c r="AB67" s="5" t="s">
        <v>168</v>
      </c>
      <c r="AC67" s="5" t="s">
        <v>168</v>
      </c>
      <c r="AD67" s="33" t="n">
        <f aca="false">AA67*(SQRT(AC67))</f>
        <v>5.38887743412299</v>
      </c>
    </row>
    <row r="68" customFormat="false" ht="16.4" hidden="false" customHeight="false" outlineLevel="0" collapsed="false">
      <c r="A68" s="23" t="n">
        <v>6998</v>
      </c>
      <c r="B68" s="23"/>
      <c r="C68" s="41" t="s">
        <v>330</v>
      </c>
      <c r="D68" s="41" t="s">
        <v>331</v>
      </c>
      <c r="E68" s="41" t="s">
        <v>332</v>
      </c>
      <c r="F68" s="41" t="n">
        <v>2017</v>
      </c>
      <c r="G68" s="42" t="s">
        <v>333</v>
      </c>
      <c r="H68" s="23" t="n">
        <v>1</v>
      </c>
      <c r="I68" s="23" t="s">
        <v>32</v>
      </c>
      <c r="J68" s="23" t="s">
        <v>33</v>
      </c>
      <c r="K68" s="27"/>
      <c r="L68" s="23" t="n">
        <v>360</v>
      </c>
      <c r="M68" s="23" t="n">
        <v>1</v>
      </c>
      <c r="N68" s="24" t="n">
        <v>14</v>
      </c>
      <c r="O68" s="24" t="n">
        <f aca="false">L68*M68*N68</f>
        <v>5040</v>
      </c>
      <c r="P68" s="23"/>
      <c r="Q68" s="23" t="n">
        <v>5</v>
      </c>
      <c r="R68" s="23" t="n">
        <v>5</v>
      </c>
      <c r="S68" s="24" t="n">
        <v>3</v>
      </c>
      <c r="T68" s="28"/>
      <c r="U68" s="28"/>
      <c r="V68" s="29"/>
      <c r="W68" s="29"/>
      <c r="X68" s="28"/>
      <c r="Z68" s="30"/>
      <c r="AA68" s="30"/>
      <c r="AB68" s="31"/>
      <c r="AC68" s="31"/>
      <c r="AD68" s="30"/>
    </row>
    <row r="69" customFormat="false" ht="15" hidden="false" customHeight="false" outlineLevel="0" collapsed="false">
      <c r="A69" s="23" t="n">
        <v>7021</v>
      </c>
      <c r="B69" s="23"/>
      <c r="C69" s="23" t="s">
        <v>334</v>
      </c>
      <c r="D69" s="23" t="s">
        <v>335</v>
      </c>
      <c r="E69" s="23" t="s">
        <v>336</v>
      </c>
      <c r="F69" s="23" t="n">
        <v>2025</v>
      </c>
      <c r="G69" s="23" t="s">
        <v>337</v>
      </c>
      <c r="H69" s="23" t="n">
        <v>1</v>
      </c>
      <c r="I69" s="23" t="s">
        <v>51</v>
      </c>
      <c r="J69" s="23" t="s">
        <v>97</v>
      </c>
      <c r="K69" s="27" t="s">
        <v>34</v>
      </c>
      <c r="L69" s="23" t="n">
        <v>300</v>
      </c>
      <c r="M69" s="23" t="n">
        <v>1</v>
      </c>
      <c r="N69" s="24" t="n">
        <v>14</v>
      </c>
      <c r="O69" s="24" t="n">
        <f aca="false">L69*M69*N69</f>
        <v>4200</v>
      </c>
      <c r="P69" s="23"/>
      <c r="Q69" s="23" t="n">
        <v>5</v>
      </c>
      <c r="R69" s="23" t="n">
        <v>5</v>
      </c>
      <c r="S69" s="28"/>
      <c r="T69" s="28"/>
      <c r="U69" s="28"/>
      <c r="V69" s="29"/>
      <c r="W69" s="29"/>
      <c r="X69" s="28"/>
      <c r="Z69" s="30"/>
      <c r="AA69" s="30"/>
      <c r="AB69" s="31"/>
      <c r="AC69" s="31"/>
      <c r="AD69" s="30"/>
    </row>
    <row r="70" customFormat="false" ht="15" hidden="false" customHeight="false" outlineLevel="0" collapsed="false">
      <c r="A70" s="23" t="n">
        <v>7023</v>
      </c>
      <c r="B70" s="23" t="n">
        <v>26947756</v>
      </c>
      <c r="C70" s="23" t="s">
        <v>338</v>
      </c>
      <c r="D70" s="23" t="s">
        <v>339</v>
      </c>
      <c r="E70" s="23" t="s">
        <v>276</v>
      </c>
      <c r="F70" s="23" t="n">
        <v>2016</v>
      </c>
      <c r="G70" s="23" t="s">
        <v>340</v>
      </c>
      <c r="H70" s="23" t="n">
        <v>1</v>
      </c>
      <c r="I70" s="23" t="s">
        <v>32</v>
      </c>
      <c r="J70" s="23" t="s">
        <v>33</v>
      </c>
      <c r="K70" s="27"/>
      <c r="L70" s="23" t="n">
        <v>360</v>
      </c>
      <c r="M70" s="23" t="n">
        <v>1</v>
      </c>
      <c r="N70" s="24" t="n">
        <v>21</v>
      </c>
      <c r="O70" s="24" t="n">
        <f aca="false">N70*L70</f>
        <v>7560</v>
      </c>
      <c r="P70" s="23"/>
      <c r="Q70" s="23" t="n">
        <v>5</v>
      </c>
      <c r="R70" s="23" t="n">
        <v>5</v>
      </c>
      <c r="S70" s="24" t="s">
        <v>278</v>
      </c>
      <c r="T70" s="34" t="n">
        <v>96</v>
      </c>
      <c r="U70" s="34" t="n">
        <v>3</v>
      </c>
      <c r="V70" s="25" t="n">
        <v>8</v>
      </c>
      <c r="W70" s="25" t="n">
        <v>8</v>
      </c>
      <c r="X70" s="26" t="n">
        <f aca="false">U70*(SQRT(W70))</f>
        <v>8.48528137423857</v>
      </c>
      <c r="Z70" s="4" t="n">
        <v>115</v>
      </c>
      <c r="AA70" s="4" t="n">
        <v>6</v>
      </c>
      <c r="AB70" s="5" t="n">
        <v>8</v>
      </c>
      <c r="AC70" s="5" t="n">
        <v>8</v>
      </c>
      <c r="AD70" s="33" t="n">
        <f aca="false">AA70*(SQRT(AC70))</f>
        <v>16.9705627484771</v>
      </c>
    </row>
    <row r="71" customFormat="false" ht="15" hidden="false" customHeight="false" outlineLevel="0" collapsed="false">
      <c r="A71" s="23" t="n">
        <v>7286</v>
      </c>
      <c r="B71" s="23" t="n">
        <v>35528472</v>
      </c>
      <c r="C71" s="23" t="s">
        <v>341</v>
      </c>
      <c r="D71" s="23" t="s">
        <v>342</v>
      </c>
      <c r="E71" s="23" t="s">
        <v>343</v>
      </c>
      <c r="F71" s="23" t="n">
        <v>2021</v>
      </c>
      <c r="G71" s="23" t="s">
        <v>344</v>
      </c>
      <c r="H71" s="23" t="n">
        <v>1</v>
      </c>
      <c r="I71" s="23" t="s">
        <v>51</v>
      </c>
      <c r="J71" s="23" t="s">
        <v>33</v>
      </c>
      <c r="K71" s="27" t="n">
        <v>7</v>
      </c>
      <c r="L71" s="23" t="n">
        <v>360</v>
      </c>
      <c r="M71" s="23" t="n">
        <v>1</v>
      </c>
      <c r="N71" s="24" t="n">
        <v>21</v>
      </c>
      <c r="O71" s="24" t="n">
        <f aca="false">N71*L71</f>
        <v>7560</v>
      </c>
      <c r="P71" s="23"/>
      <c r="Q71" s="23" t="n">
        <v>5</v>
      </c>
      <c r="R71" s="23" t="n">
        <v>5</v>
      </c>
      <c r="S71" s="24" t="s">
        <v>297</v>
      </c>
      <c r="T71" s="34" t="n">
        <v>56</v>
      </c>
      <c r="U71" s="35" t="s">
        <v>71</v>
      </c>
      <c r="V71" s="27" t="s">
        <v>53</v>
      </c>
      <c r="W71" s="27" t="s">
        <v>53</v>
      </c>
      <c r="X71" s="26" t="n">
        <v>29</v>
      </c>
      <c r="Z71" s="4" t="n">
        <v>162</v>
      </c>
      <c r="AA71" s="36" t="s">
        <v>71</v>
      </c>
      <c r="AB71" s="2" t="s">
        <v>53</v>
      </c>
      <c r="AC71" s="2"/>
      <c r="AD71" s="33" t="n">
        <v>25</v>
      </c>
    </row>
    <row r="72" customFormat="false" ht="15" hidden="false" customHeight="false" outlineLevel="0" collapsed="false">
      <c r="A72" s="23" t="n">
        <v>7339</v>
      </c>
      <c r="B72" s="23"/>
      <c r="C72" s="23" t="s">
        <v>345</v>
      </c>
      <c r="D72" s="23" t="s">
        <v>346</v>
      </c>
      <c r="E72" s="23" t="s">
        <v>347</v>
      </c>
      <c r="F72" s="23" t="n">
        <v>2022</v>
      </c>
      <c r="G72" s="23" t="s">
        <v>348</v>
      </c>
      <c r="H72" s="23" t="n">
        <v>1</v>
      </c>
      <c r="I72" s="23" t="s">
        <v>51</v>
      </c>
      <c r="J72" s="23" t="s">
        <v>33</v>
      </c>
      <c r="K72" s="27"/>
      <c r="L72" s="23" t="n">
        <v>120</v>
      </c>
      <c r="M72" s="23" t="n">
        <v>1</v>
      </c>
      <c r="N72" s="24" t="n">
        <v>14</v>
      </c>
      <c r="O72" s="24" t="n">
        <f aca="false">L72*M72*N72</f>
        <v>1680</v>
      </c>
      <c r="P72" s="23"/>
      <c r="Q72" s="23" t="n">
        <v>5</v>
      </c>
      <c r="R72" s="23" t="n">
        <v>5</v>
      </c>
      <c r="S72" s="24" t="n">
        <v>3</v>
      </c>
      <c r="T72" s="46"/>
      <c r="U72" s="46"/>
      <c r="V72" s="47"/>
      <c r="W72" s="47"/>
      <c r="X72" s="48"/>
      <c r="Z72" s="49"/>
      <c r="AA72" s="49"/>
      <c r="AB72" s="50"/>
      <c r="AC72" s="50"/>
      <c r="AD72" s="49"/>
    </row>
    <row r="73" customFormat="false" ht="15" hidden="false" customHeight="false" outlineLevel="0" collapsed="false">
      <c r="A73" s="23" t="n">
        <v>7440</v>
      </c>
      <c r="B73" s="23" t="n">
        <v>37201894</v>
      </c>
      <c r="C73" s="23" t="s">
        <v>349</v>
      </c>
      <c r="D73" s="23" t="s">
        <v>350</v>
      </c>
      <c r="E73" s="23" t="s">
        <v>276</v>
      </c>
      <c r="F73" s="23" t="n">
        <v>2023</v>
      </c>
      <c r="G73" s="23" t="s">
        <v>351</v>
      </c>
      <c r="H73" s="23" t="n">
        <v>1</v>
      </c>
      <c r="I73" s="23" t="s">
        <v>32</v>
      </c>
      <c r="J73" s="23" t="s">
        <v>33</v>
      </c>
      <c r="K73" s="27" t="s">
        <v>205</v>
      </c>
      <c r="L73" s="23" t="n">
        <v>240</v>
      </c>
      <c r="M73" s="23" t="n">
        <v>1</v>
      </c>
      <c r="N73" s="24" t="n">
        <v>35</v>
      </c>
      <c r="O73" s="24" t="n">
        <f aca="false">N73*L73</f>
        <v>8400</v>
      </c>
      <c r="P73" s="23" t="s">
        <v>352</v>
      </c>
      <c r="Q73" s="23" t="n">
        <v>5</v>
      </c>
      <c r="R73" s="23" t="n">
        <v>5</v>
      </c>
      <c r="S73" s="25" t="s">
        <v>112</v>
      </c>
      <c r="T73" s="28"/>
      <c r="U73" s="28"/>
      <c r="V73" s="29"/>
      <c r="W73" s="29"/>
      <c r="X73" s="28"/>
      <c r="Z73" s="30"/>
      <c r="AA73" s="30"/>
      <c r="AB73" s="31"/>
      <c r="AC73" s="31"/>
      <c r="AD73" s="30"/>
    </row>
    <row r="74" customFormat="false" ht="15" hidden="false" customHeight="false" outlineLevel="0" collapsed="false">
      <c r="A74" s="23" t="n">
        <v>7592</v>
      </c>
      <c r="B74" s="23" t="n">
        <v>33505499</v>
      </c>
      <c r="C74" s="23" t="s">
        <v>353</v>
      </c>
      <c r="D74" s="23" t="s">
        <v>354</v>
      </c>
      <c r="E74" s="23" t="s">
        <v>355</v>
      </c>
      <c r="F74" s="23" t="n">
        <v>2021</v>
      </c>
      <c r="G74" s="23" t="s">
        <v>356</v>
      </c>
      <c r="H74" s="23" t="n">
        <v>1</v>
      </c>
      <c r="I74" s="23" t="s">
        <v>32</v>
      </c>
      <c r="J74" s="23" t="s">
        <v>33</v>
      </c>
      <c r="K74" s="27"/>
      <c r="L74" s="23" t="n">
        <v>180</v>
      </c>
      <c r="M74" s="23" t="n">
        <v>1</v>
      </c>
      <c r="N74" s="24" t="n">
        <v>21</v>
      </c>
      <c r="O74" s="24" t="n">
        <f aca="false">N74*L74</f>
        <v>3780</v>
      </c>
      <c r="P74" s="23"/>
      <c r="Q74" s="23" t="n">
        <v>5</v>
      </c>
      <c r="R74" s="23" t="n">
        <v>5</v>
      </c>
      <c r="S74" s="24" t="s">
        <v>52</v>
      </c>
      <c r="T74" s="34" t="n">
        <v>106</v>
      </c>
      <c r="U74" s="35" t="s">
        <v>71</v>
      </c>
      <c r="V74" s="25" t="s">
        <v>36</v>
      </c>
      <c r="W74" s="25"/>
      <c r="X74" s="26" t="n">
        <v>1.6</v>
      </c>
      <c r="Z74" s="4" t="n">
        <v>208</v>
      </c>
      <c r="AA74" s="36" t="s">
        <v>71</v>
      </c>
      <c r="AB74" s="5" t="s">
        <v>36</v>
      </c>
      <c r="AD74" s="33" t="n">
        <v>2.2</v>
      </c>
    </row>
    <row r="75" customFormat="false" ht="15" hidden="false" customHeight="false" outlineLevel="0" collapsed="false">
      <c r="A75" s="23" t="n">
        <v>7660</v>
      </c>
      <c r="B75" s="23"/>
      <c r="C75" s="23" t="s">
        <v>357</v>
      </c>
      <c r="D75" s="23" t="s">
        <v>358</v>
      </c>
      <c r="E75" s="23" t="s">
        <v>74</v>
      </c>
      <c r="F75" s="23" t="n">
        <v>2024</v>
      </c>
      <c r="G75" s="23" t="s">
        <v>359</v>
      </c>
      <c r="H75" s="23" t="n">
        <v>1</v>
      </c>
      <c r="I75" s="23" t="s">
        <v>360</v>
      </c>
      <c r="J75" s="23" t="s">
        <v>360</v>
      </c>
      <c r="K75" s="23" t="s">
        <v>360</v>
      </c>
      <c r="L75" s="23" t="n">
        <v>360</v>
      </c>
      <c r="M75" s="23" t="n">
        <v>1</v>
      </c>
      <c r="N75" s="24" t="n">
        <v>21</v>
      </c>
      <c r="O75" s="24" t="n">
        <f aca="false">L75*M75*N75</f>
        <v>7560</v>
      </c>
      <c r="P75" s="23" t="s">
        <v>361</v>
      </c>
      <c r="Q75" s="23" t="n">
        <v>5</v>
      </c>
      <c r="R75" s="23" t="n">
        <v>5</v>
      </c>
      <c r="S75" s="24" t="s">
        <v>362</v>
      </c>
      <c r="T75" s="23" t="n">
        <v>131</v>
      </c>
      <c r="U75" s="35" t="s">
        <v>71</v>
      </c>
      <c r="V75" s="25" t="n">
        <v>8</v>
      </c>
      <c r="W75" s="25"/>
      <c r="X75" s="26" t="n">
        <v>4</v>
      </c>
      <c r="Z75" s="4" t="n">
        <v>117</v>
      </c>
      <c r="AA75" s="35" t="s">
        <v>71</v>
      </c>
      <c r="AB75" s="25" t="n">
        <v>8</v>
      </c>
      <c r="AC75" s="25"/>
      <c r="AD75" s="26" t="n">
        <v>24</v>
      </c>
    </row>
    <row r="76" customFormat="false" ht="15" hidden="false" customHeight="false" outlineLevel="0" collapsed="false">
      <c r="A76" s="23" t="n">
        <v>7715</v>
      </c>
      <c r="B76" s="23" t="n">
        <v>27927737</v>
      </c>
      <c r="C76" s="23" t="s">
        <v>363</v>
      </c>
      <c r="D76" s="23" t="s">
        <v>364</v>
      </c>
      <c r="E76" s="23" t="s">
        <v>320</v>
      </c>
      <c r="F76" s="23" t="n">
        <v>2017</v>
      </c>
      <c r="G76" s="23" t="s">
        <v>365</v>
      </c>
      <c r="H76" s="23" t="n">
        <v>1</v>
      </c>
      <c r="I76" s="23" t="s">
        <v>32</v>
      </c>
      <c r="J76" s="23" t="s">
        <v>33</v>
      </c>
      <c r="K76" s="27"/>
      <c r="L76" s="23" t="n">
        <v>150</v>
      </c>
      <c r="M76" s="23" t="n">
        <v>1</v>
      </c>
      <c r="N76" s="24" t="n">
        <v>14</v>
      </c>
      <c r="O76" s="24" t="n">
        <f aca="false">N76*L76</f>
        <v>2100</v>
      </c>
      <c r="P76" s="23"/>
      <c r="Q76" s="23" t="n">
        <v>5</v>
      </c>
      <c r="R76" s="23" t="n">
        <v>5</v>
      </c>
      <c r="S76" s="24" t="n">
        <v>2</v>
      </c>
      <c r="T76" s="34" t="n">
        <v>111</v>
      </c>
      <c r="U76" s="34" t="n">
        <v>6</v>
      </c>
      <c r="V76" s="27" t="n">
        <v>7</v>
      </c>
      <c r="W76" s="27" t="n">
        <v>7</v>
      </c>
      <c r="X76" s="26" t="n">
        <f aca="false">U76*(SQRT(W76))</f>
        <v>15.8745078663875</v>
      </c>
      <c r="Z76" s="4" t="n">
        <v>172</v>
      </c>
      <c r="AA76" s="4" t="n">
        <v>3</v>
      </c>
      <c r="AB76" s="2" t="n">
        <v>7</v>
      </c>
      <c r="AC76" s="2" t="n">
        <v>7</v>
      </c>
      <c r="AD76" s="33" t="n">
        <f aca="false">AA76*(SQRT(AC76))</f>
        <v>7.93725393319377</v>
      </c>
    </row>
    <row r="77" customFormat="false" ht="15" hidden="false" customHeight="false" outlineLevel="0" collapsed="false">
      <c r="A77" s="23" t="n">
        <v>8156</v>
      </c>
      <c r="B77" s="23"/>
      <c r="C77" s="23" t="s">
        <v>366</v>
      </c>
      <c r="D77" s="23" t="s">
        <v>367</v>
      </c>
      <c r="E77" s="23" t="s">
        <v>44</v>
      </c>
      <c r="F77" s="23" t="n">
        <v>2019</v>
      </c>
      <c r="G77" s="23" t="s">
        <v>368</v>
      </c>
      <c r="H77" s="23" t="n">
        <v>1</v>
      </c>
      <c r="I77" s="23" t="s">
        <v>32</v>
      </c>
      <c r="J77" s="23" t="s">
        <v>33</v>
      </c>
      <c r="K77" s="27"/>
      <c r="L77" s="23" t="n">
        <v>360</v>
      </c>
      <c r="M77" s="23" t="n">
        <v>1</v>
      </c>
      <c r="N77" s="24" t="n">
        <v>28</v>
      </c>
      <c r="O77" s="24" t="n">
        <f aca="false">L77*M77*N77</f>
        <v>10080</v>
      </c>
      <c r="P77" s="23"/>
      <c r="Q77" s="23" t="n">
        <v>7</v>
      </c>
      <c r="R77" s="23" t="n">
        <v>5</v>
      </c>
      <c r="S77" s="24" t="n">
        <v>2</v>
      </c>
      <c r="T77" s="23" t="n">
        <v>80</v>
      </c>
      <c r="U77" s="23" t="n">
        <v>13</v>
      </c>
      <c r="V77" s="25" t="s">
        <v>168</v>
      </c>
      <c r="W77" s="25" t="s">
        <v>168</v>
      </c>
      <c r="X77" s="26" t="n">
        <f aca="false">U77*(SQRT(W77))</f>
        <v>31.8433666561813</v>
      </c>
      <c r="Z77" s="4" t="n">
        <v>134</v>
      </c>
      <c r="AA77" s="4" t="n">
        <v>8</v>
      </c>
      <c r="AB77" s="25" t="s">
        <v>168</v>
      </c>
      <c r="AC77" s="25" t="s">
        <v>168</v>
      </c>
      <c r="AD77" s="26" t="n">
        <f aca="false">AA77*(SQRT(AC77))</f>
        <v>19.5959179422654</v>
      </c>
    </row>
    <row r="78" customFormat="false" ht="15" hidden="false" customHeight="false" outlineLevel="0" collapsed="false">
      <c r="A78" s="23" t="n">
        <v>8158</v>
      </c>
      <c r="B78" s="23" t="n">
        <v>27150225</v>
      </c>
      <c r="C78" s="23" t="s">
        <v>369</v>
      </c>
      <c r="D78" s="23" t="s">
        <v>370</v>
      </c>
      <c r="E78" s="23" t="s">
        <v>276</v>
      </c>
      <c r="F78" s="23" t="n">
        <v>2016</v>
      </c>
      <c r="G78" s="23" t="s">
        <v>371</v>
      </c>
      <c r="H78" s="23" t="n">
        <v>1</v>
      </c>
      <c r="I78" s="23" t="s">
        <v>51</v>
      </c>
      <c r="J78" s="23" t="s">
        <v>33</v>
      </c>
      <c r="K78" s="27"/>
      <c r="L78" s="23" t="n">
        <v>180</v>
      </c>
      <c r="M78" s="23" t="n">
        <v>1</v>
      </c>
      <c r="N78" s="24" t="n">
        <v>35</v>
      </c>
      <c r="O78" s="24" t="n">
        <f aca="false">N78*L78</f>
        <v>6300</v>
      </c>
      <c r="P78" s="23" t="s">
        <v>372</v>
      </c>
      <c r="Q78" s="23" t="n">
        <v>5</v>
      </c>
      <c r="R78" s="23" t="n">
        <v>5</v>
      </c>
      <c r="S78" s="24" t="s">
        <v>77</v>
      </c>
      <c r="T78" s="34" t="n">
        <v>269</v>
      </c>
      <c r="U78" s="34" t="n">
        <v>2</v>
      </c>
      <c r="V78" s="25" t="n">
        <v>8</v>
      </c>
      <c r="W78" s="25" t="n">
        <v>8</v>
      </c>
      <c r="X78" s="26" t="n">
        <f aca="false">U78*(SQRT(W78))</f>
        <v>5.65685424949238</v>
      </c>
      <c r="Z78" s="4" t="n">
        <v>286</v>
      </c>
      <c r="AA78" s="4" t="n">
        <v>1</v>
      </c>
      <c r="AB78" s="5" t="n">
        <v>8</v>
      </c>
      <c r="AC78" s="5" t="n">
        <v>8</v>
      </c>
      <c r="AD78" s="33" t="n">
        <f aca="false">AA78*(SQRT(AC78))</f>
        <v>2.82842712474619</v>
      </c>
    </row>
    <row r="79" customFormat="false" ht="15" hidden="false" customHeight="false" outlineLevel="0" collapsed="false">
      <c r="A79" s="23" t="n">
        <v>8159</v>
      </c>
      <c r="B79" s="23" t="n">
        <v>25826421</v>
      </c>
      <c r="C79" s="23" t="s">
        <v>373</v>
      </c>
      <c r="D79" s="23" t="s">
        <v>374</v>
      </c>
      <c r="E79" s="23" t="s">
        <v>375</v>
      </c>
      <c r="F79" s="23" t="n">
        <v>2015</v>
      </c>
      <c r="G79" s="23" t="s">
        <v>376</v>
      </c>
      <c r="H79" s="23" t="n">
        <v>1</v>
      </c>
      <c r="I79" s="23" t="s">
        <v>51</v>
      </c>
      <c r="J79" s="23" t="s">
        <v>33</v>
      </c>
      <c r="K79" s="27"/>
      <c r="L79" s="23" t="n">
        <v>240</v>
      </c>
      <c r="M79" s="23" t="n">
        <v>1</v>
      </c>
      <c r="N79" s="24" t="n">
        <v>42</v>
      </c>
      <c r="O79" s="24" t="n">
        <f aca="false">N79*L79</f>
        <v>10080</v>
      </c>
      <c r="P79" s="23"/>
      <c r="Q79" s="23" t="n">
        <v>5</v>
      </c>
      <c r="R79" s="23" t="n">
        <v>5</v>
      </c>
      <c r="S79" s="24" t="s">
        <v>140</v>
      </c>
      <c r="T79" s="34" t="n">
        <v>53</v>
      </c>
      <c r="U79" s="34" t="n">
        <v>1.5</v>
      </c>
      <c r="V79" s="25" t="s">
        <v>377</v>
      </c>
      <c r="W79" s="25" t="s">
        <v>79</v>
      </c>
      <c r="X79" s="26" t="n">
        <f aca="false">U79*(SQRT(W79))</f>
        <v>4.5</v>
      </c>
      <c r="Z79" s="4" t="n">
        <v>76</v>
      </c>
      <c r="AA79" s="4" t="n">
        <v>2.3</v>
      </c>
      <c r="AB79" s="5" t="s">
        <v>377</v>
      </c>
      <c r="AC79" s="5" t="s">
        <v>79</v>
      </c>
      <c r="AD79" s="33" t="n">
        <f aca="false">AA79*(SQRT(AC79))</f>
        <v>6.9</v>
      </c>
    </row>
    <row r="80" customFormat="false" ht="15" hidden="false" customHeight="false" outlineLevel="0" collapsed="false">
      <c r="A80" s="23" t="n">
        <v>8451</v>
      </c>
      <c r="B80" s="23"/>
      <c r="C80" s="23" t="s">
        <v>378</v>
      </c>
      <c r="D80" s="23" t="s">
        <v>379</v>
      </c>
      <c r="E80" s="23" t="s">
        <v>380</v>
      </c>
      <c r="F80" s="23" t="n">
        <v>2025</v>
      </c>
      <c r="G80" s="23" t="s">
        <v>381</v>
      </c>
      <c r="H80" s="23" t="n">
        <v>1</v>
      </c>
      <c r="I80" s="23" t="s">
        <v>32</v>
      </c>
      <c r="J80" s="23" t="s">
        <v>33</v>
      </c>
      <c r="K80" s="27"/>
      <c r="L80" s="23" t="n">
        <v>480</v>
      </c>
      <c r="M80" s="23" t="n">
        <v>1</v>
      </c>
      <c r="N80" s="24" t="n">
        <v>14</v>
      </c>
      <c r="O80" s="24" t="n">
        <f aca="false">L80*M80*N80</f>
        <v>6720</v>
      </c>
      <c r="P80" s="23"/>
      <c r="Q80" s="23" t="n">
        <v>6</v>
      </c>
      <c r="R80" s="23" t="n">
        <v>4</v>
      </c>
      <c r="S80" s="24" t="s">
        <v>70</v>
      </c>
      <c r="T80" s="4" t="n">
        <v>53</v>
      </c>
      <c r="U80" s="35" t="s">
        <v>71</v>
      </c>
      <c r="V80" s="25" t="s">
        <v>61</v>
      </c>
      <c r="W80" s="25"/>
      <c r="X80" s="34" t="n">
        <v>14</v>
      </c>
      <c r="Z80" s="4" t="n">
        <v>101</v>
      </c>
      <c r="AA80" s="35" t="s">
        <v>71</v>
      </c>
      <c r="AB80" s="5" t="s">
        <v>84</v>
      </c>
      <c r="AD80" s="4" t="n">
        <v>13</v>
      </c>
    </row>
    <row r="81" customFormat="false" ht="15" hidden="false" customHeight="false" outlineLevel="0" collapsed="false">
      <c r="A81" s="23" t="n">
        <v>8463</v>
      </c>
      <c r="B81" s="23"/>
      <c r="C81" s="23" t="s">
        <v>382</v>
      </c>
      <c r="D81" s="23" t="s">
        <v>383</v>
      </c>
      <c r="E81" s="23" t="s">
        <v>384</v>
      </c>
      <c r="F81" s="23" t="n">
        <v>2020</v>
      </c>
      <c r="G81" s="23" t="s">
        <v>385</v>
      </c>
      <c r="H81" s="23" t="n">
        <v>1</v>
      </c>
      <c r="I81" s="23" t="s">
        <v>32</v>
      </c>
      <c r="J81" s="23" t="s">
        <v>33</v>
      </c>
      <c r="K81" s="27" t="s">
        <v>84</v>
      </c>
      <c r="L81" s="23" t="n">
        <v>120</v>
      </c>
      <c r="M81" s="23" t="n">
        <v>1</v>
      </c>
      <c r="N81" s="24" t="n">
        <v>14</v>
      </c>
      <c r="O81" s="24" t="n">
        <f aca="false">L81*M81*N81</f>
        <v>1680</v>
      </c>
      <c r="P81" s="23"/>
      <c r="Q81" s="23" t="n">
        <v>5</v>
      </c>
      <c r="R81" s="23" t="n">
        <v>5</v>
      </c>
      <c r="S81" s="24" t="n">
        <v>1</v>
      </c>
      <c r="T81" s="23" t="n">
        <v>131</v>
      </c>
      <c r="U81" s="23" t="n">
        <v>7</v>
      </c>
      <c r="V81" s="25" t="s">
        <v>386</v>
      </c>
      <c r="W81" s="25" t="s">
        <v>386</v>
      </c>
      <c r="X81" s="26" t="n">
        <f aca="false">U81*(SQRT(W81))</f>
        <v>34.2928563989645</v>
      </c>
      <c r="Z81" s="4" t="n">
        <v>173</v>
      </c>
      <c r="AA81" s="4" t="n">
        <v>12</v>
      </c>
      <c r="AB81" s="25" t="s">
        <v>386</v>
      </c>
      <c r="AC81" s="25" t="s">
        <v>386</v>
      </c>
      <c r="AD81" s="26" t="n">
        <f aca="false">AA81*(SQRT(AC81))</f>
        <v>58.7877538267963</v>
      </c>
    </row>
    <row r="82" customFormat="false" ht="15" hidden="false" customHeight="false" outlineLevel="0" collapsed="false">
      <c r="A82" s="23" t="n">
        <v>8548</v>
      </c>
      <c r="B82" s="23"/>
      <c r="C82" s="23" t="s">
        <v>387</v>
      </c>
      <c r="D82" s="23" t="s">
        <v>388</v>
      </c>
      <c r="E82" s="23" t="s">
        <v>389</v>
      </c>
      <c r="F82" s="23" t="n">
        <v>2024</v>
      </c>
      <c r="G82" s="23" t="s">
        <v>390</v>
      </c>
      <c r="H82" s="23" t="n">
        <v>1</v>
      </c>
      <c r="I82" s="23" t="s">
        <v>391</v>
      </c>
      <c r="J82" s="23" t="s">
        <v>33</v>
      </c>
      <c r="K82" s="27"/>
      <c r="L82" s="23" t="n">
        <v>120</v>
      </c>
      <c r="M82" s="23" t="n">
        <v>1</v>
      </c>
      <c r="N82" s="24" t="n">
        <v>14</v>
      </c>
      <c r="O82" s="24" t="n">
        <f aca="false">L82*M82*N82</f>
        <v>1680</v>
      </c>
      <c r="P82" s="23"/>
      <c r="Q82" s="23" t="n">
        <v>5</v>
      </c>
      <c r="R82" s="23" t="n">
        <v>5</v>
      </c>
      <c r="S82" s="24" t="s">
        <v>124</v>
      </c>
      <c r="T82" s="23" t="n">
        <v>4.6</v>
      </c>
      <c r="U82" s="23" t="n">
        <v>0.7</v>
      </c>
      <c r="V82" s="25" t="s">
        <v>84</v>
      </c>
      <c r="W82" s="25" t="s">
        <v>84</v>
      </c>
      <c r="X82" s="26" t="n">
        <f aca="false">U82*(SQRT(W82))</f>
        <v>2.42487113059643</v>
      </c>
      <c r="Z82" s="4" t="n">
        <v>7.1</v>
      </c>
      <c r="AA82" s="4" t="n">
        <v>0.7</v>
      </c>
      <c r="AB82" s="5" t="s">
        <v>84</v>
      </c>
      <c r="AC82" s="5" t="s">
        <v>84</v>
      </c>
      <c r="AD82" s="26" t="n">
        <f aca="false">AA82*(SQRT(AC82))</f>
        <v>2.42487113059643</v>
      </c>
    </row>
    <row r="83" customFormat="false" ht="15" hidden="false" customHeight="false" outlineLevel="0" collapsed="false">
      <c r="A83" s="23" t="n">
        <v>8614</v>
      </c>
      <c r="B83" s="23"/>
      <c r="C83" s="23" t="s">
        <v>392</v>
      </c>
      <c r="D83" s="23" t="s">
        <v>393</v>
      </c>
      <c r="E83" s="23" t="s">
        <v>394</v>
      </c>
      <c r="F83" s="23" t="n">
        <v>2015</v>
      </c>
      <c r="G83" s="23" t="s">
        <v>395</v>
      </c>
      <c r="H83" s="23" t="n">
        <v>1</v>
      </c>
      <c r="I83" s="23" t="s">
        <v>32</v>
      </c>
      <c r="J83" s="23" t="s">
        <v>33</v>
      </c>
      <c r="K83" s="27" t="s">
        <v>84</v>
      </c>
      <c r="L83" s="23" t="n">
        <v>360</v>
      </c>
      <c r="M83" s="23" t="n">
        <v>1</v>
      </c>
      <c r="N83" s="24" t="n">
        <v>7</v>
      </c>
      <c r="O83" s="24" t="n">
        <f aca="false">L83*M83*N83</f>
        <v>2520</v>
      </c>
      <c r="P83" s="23" t="s">
        <v>396</v>
      </c>
      <c r="Q83" s="23" t="n">
        <v>10</v>
      </c>
      <c r="R83" s="23" t="n">
        <v>10</v>
      </c>
      <c r="S83" s="24" t="s">
        <v>35</v>
      </c>
      <c r="T83" s="28"/>
      <c r="U83" s="28"/>
      <c r="V83" s="28"/>
      <c r="W83" s="28"/>
      <c r="X83" s="28"/>
      <c r="Z83" s="30"/>
      <c r="AA83" s="30"/>
      <c r="AB83" s="30"/>
      <c r="AC83" s="30"/>
      <c r="AD83" s="30"/>
    </row>
    <row r="84" customFormat="false" ht="15" hidden="false" customHeight="false" outlineLevel="0" collapsed="false">
      <c r="A84" s="23" t="n">
        <v>8637</v>
      </c>
      <c r="B84" s="23"/>
      <c r="C84" s="23" t="s">
        <v>397</v>
      </c>
      <c r="D84" s="23" t="s">
        <v>398</v>
      </c>
      <c r="E84" s="23" t="s">
        <v>74</v>
      </c>
      <c r="F84" s="23" t="n">
        <v>2025</v>
      </c>
      <c r="G84" s="23" t="s">
        <v>399</v>
      </c>
      <c r="H84" s="23" t="n">
        <v>1</v>
      </c>
      <c r="I84" s="23" t="s">
        <v>32</v>
      </c>
      <c r="J84" s="23" t="s">
        <v>400</v>
      </c>
      <c r="K84" s="27" t="s">
        <v>36</v>
      </c>
      <c r="L84" s="23" t="n">
        <v>45</v>
      </c>
      <c r="M84" s="23" t="n">
        <v>3</v>
      </c>
      <c r="N84" s="24" t="n">
        <v>7</v>
      </c>
      <c r="O84" s="24" t="n">
        <f aca="false">L84*M84*N84</f>
        <v>945</v>
      </c>
      <c r="P84" s="23" t="s">
        <v>401</v>
      </c>
      <c r="Q84" s="23" t="n">
        <v>5</v>
      </c>
      <c r="R84" s="23" t="n">
        <v>5</v>
      </c>
      <c r="S84" s="24" t="s">
        <v>35</v>
      </c>
      <c r="T84" s="23" t="n">
        <v>21</v>
      </c>
      <c r="U84" s="35" t="s">
        <v>71</v>
      </c>
      <c r="V84" s="25" t="s">
        <v>36</v>
      </c>
      <c r="W84" s="25"/>
      <c r="X84" s="34" t="n">
        <v>5</v>
      </c>
      <c r="Z84" s="4" t="n">
        <v>35</v>
      </c>
      <c r="AA84" s="35" t="s">
        <v>71</v>
      </c>
      <c r="AB84" s="5" t="s">
        <v>129</v>
      </c>
      <c r="AD84" s="4" t="n">
        <v>9</v>
      </c>
    </row>
    <row r="85" customFormat="false" ht="15" hidden="false" customHeight="false" outlineLevel="0" collapsed="false">
      <c r="A85" s="23" t="n">
        <v>8743</v>
      </c>
      <c r="B85" s="23"/>
      <c r="C85" s="41" t="s">
        <v>402</v>
      </c>
      <c r="D85" s="41" t="s">
        <v>403</v>
      </c>
      <c r="E85" s="41" t="s">
        <v>404</v>
      </c>
      <c r="F85" s="41" t="n">
        <v>2020</v>
      </c>
      <c r="G85" s="42" t="s">
        <v>405</v>
      </c>
      <c r="H85" s="23" t="n">
        <v>1</v>
      </c>
      <c r="I85" s="23" t="s">
        <v>32</v>
      </c>
      <c r="J85" s="23" t="s">
        <v>33</v>
      </c>
      <c r="K85" s="27"/>
      <c r="L85" s="23" t="n">
        <v>150</v>
      </c>
      <c r="M85" s="23" t="n">
        <v>1</v>
      </c>
      <c r="N85" s="24" t="n">
        <v>13</v>
      </c>
      <c r="O85" s="24" t="n">
        <f aca="false">L85*M85*N85</f>
        <v>1950</v>
      </c>
      <c r="P85" s="23"/>
      <c r="Q85" s="23" t="n">
        <v>6</v>
      </c>
      <c r="R85" s="23" t="n">
        <v>6</v>
      </c>
      <c r="S85" s="24" t="s">
        <v>133</v>
      </c>
      <c r="T85" s="28"/>
      <c r="U85" s="28"/>
      <c r="V85" s="28"/>
      <c r="W85" s="28"/>
      <c r="X85" s="28"/>
      <c r="Z85" s="30"/>
      <c r="AA85" s="30"/>
      <c r="AB85" s="30"/>
      <c r="AC85" s="30"/>
      <c r="AD85" s="30"/>
    </row>
    <row r="86" customFormat="false" ht="15" hidden="false" customHeight="false" outlineLevel="0" collapsed="false">
      <c r="A86" s="23" t="n">
        <v>8767</v>
      </c>
      <c r="B86" s="23" t="n">
        <v>25315361</v>
      </c>
      <c r="C86" s="23" t="s">
        <v>406</v>
      </c>
      <c r="D86" s="23" t="s">
        <v>407</v>
      </c>
      <c r="E86" s="23" t="s">
        <v>127</v>
      </c>
      <c r="F86" s="23" t="n">
        <v>2015</v>
      </c>
      <c r="G86" s="23" t="s">
        <v>408</v>
      </c>
      <c r="H86" s="23" t="n">
        <v>1</v>
      </c>
      <c r="I86" s="23" t="s">
        <v>51</v>
      </c>
      <c r="J86" s="23" t="s">
        <v>33</v>
      </c>
      <c r="K86" s="27"/>
      <c r="L86" s="23" t="n">
        <v>240</v>
      </c>
      <c r="M86" s="23" t="n">
        <v>1</v>
      </c>
      <c r="N86" s="24" t="n">
        <v>42</v>
      </c>
      <c r="O86" s="24" t="n">
        <f aca="false">N86*L86</f>
        <v>10080</v>
      </c>
      <c r="P86" s="23"/>
      <c r="Q86" s="23" t="n">
        <v>5</v>
      </c>
      <c r="R86" s="23" t="n">
        <v>5</v>
      </c>
      <c r="S86" s="24" t="s">
        <v>89</v>
      </c>
      <c r="T86" s="34" t="n">
        <v>61</v>
      </c>
      <c r="U86" s="34" t="n">
        <v>7</v>
      </c>
      <c r="V86" s="25" t="s">
        <v>94</v>
      </c>
      <c r="W86" s="25" t="s">
        <v>36</v>
      </c>
      <c r="X86" s="26" t="n">
        <f aca="false">U86*(SQRT(W86))</f>
        <v>19.7989898732233</v>
      </c>
      <c r="Z86" s="4" t="n">
        <v>152</v>
      </c>
      <c r="AA86" s="4" t="n">
        <v>7</v>
      </c>
      <c r="AB86" s="5" t="s">
        <v>94</v>
      </c>
      <c r="AC86" s="5" t="s">
        <v>36</v>
      </c>
      <c r="AD86" s="33" t="n">
        <f aca="false">AA86*(SQRT(AC86))</f>
        <v>19.7989898732233</v>
      </c>
    </row>
    <row r="87" customFormat="false" ht="15" hidden="false" customHeight="false" outlineLevel="0" collapsed="false">
      <c r="A87" s="23" t="n">
        <v>8885</v>
      </c>
      <c r="B87" s="23" t="n">
        <v>33766670</v>
      </c>
      <c r="C87" s="23" t="s">
        <v>409</v>
      </c>
      <c r="D87" s="23" t="s">
        <v>410</v>
      </c>
      <c r="E87" s="23" t="s">
        <v>411</v>
      </c>
      <c r="F87" s="23" t="n">
        <v>2021</v>
      </c>
      <c r="G87" s="23" t="s">
        <v>412</v>
      </c>
      <c r="H87" s="23" t="n">
        <v>1</v>
      </c>
      <c r="I87" s="23" t="s">
        <v>51</v>
      </c>
      <c r="J87" s="23" t="s">
        <v>33</v>
      </c>
      <c r="K87" s="27"/>
      <c r="L87" s="23" t="n">
        <v>360</v>
      </c>
      <c r="M87" s="23" t="n">
        <v>1</v>
      </c>
      <c r="N87" s="24" t="n">
        <v>28</v>
      </c>
      <c r="O87" s="24" t="n">
        <f aca="false">N87*L87</f>
        <v>10080</v>
      </c>
      <c r="P87" s="23"/>
      <c r="Q87" s="23" t="n">
        <v>5</v>
      </c>
      <c r="R87" s="23" t="n">
        <v>5</v>
      </c>
      <c r="S87" s="24" t="s">
        <v>35</v>
      </c>
      <c r="T87" s="24" t="n">
        <v>102</v>
      </c>
      <c r="U87" s="24" t="n">
        <v>2.5</v>
      </c>
      <c r="V87" s="25" t="s">
        <v>36</v>
      </c>
      <c r="W87" s="25" t="s">
        <v>36</v>
      </c>
      <c r="X87" s="26" t="n">
        <f aca="false">U87*(SQRT(W87))</f>
        <v>7.07106781186548</v>
      </c>
      <c r="Y87" s="3"/>
      <c r="Z87" s="3" t="n">
        <v>114</v>
      </c>
      <c r="AA87" s="3" t="n">
        <v>2.7</v>
      </c>
      <c r="AB87" s="5" t="s">
        <v>36</v>
      </c>
      <c r="AC87" s="5" t="s">
        <v>36</v>
      </c>
      <c r="AD87" s="33" t="n">
        <f aca="false">AA87*(SQRT(AC87))</f>
        <v>7.63675323681471</v>
      </c>
    </row>
    <row r="88" customFormat="false" ht="15" hidden="false" customHeight="false" outlineLevel="0" collapsed="false">
      <c r="A88" s="37" t="n">
        <v>8955</v>
      </c>
      <c r="B88" s="37" t="n">
        <v>26010004</v>
      </c>
      <c r="C88" s="37" t="s">
        <v>413</v>
      </c>
      <c r="D88" s="37" t="s">
        <v>414</v>
      </c>
      <c r="E88" s="37" t="s">
        <v>415</v>
      </c>
      <c r="F88" s="37" t="n">
        <v>2015</v>
      </c>
      <c r="G88" s="37" t="s">
        <v>416</v>
      </c>
      <c r="H88" s="37" t="n">
        <v>1</v>
      </c>
      <c r="I88" s="23" t="s">
        <v>32</v>
      </c>
      <c r="J88" s="23" t="s">
        <v>33</v>
      </c>
      <c r="K88" s="27"/>
      <c r="L88" s="24" t="n">
        <v>150</v>
      </c>
      <c r="M88" s="23" t="n">
        <v>1</v>
      </c>
      <c r="N88" s="37" t="n">
        <v>7</v>
      </c>
      <c r="O88" s="24" t="n">
        <f aca="false">N88*L88</f>
        <v>1050</v>
      </c>
      <c r="P88" s="23"/>
      <c r="Q88" s="23" t="n">
        <v>5</v>
      </c>
      <c r="R88" s="23" t="n">
        <v>5</v>
      </c>
      <c r="S88" s="24" t="s">
        <v>417</v>
      </c>
      <c r="T88" s="43"/>
      <c r="U88" s="43"/>
      <c r="V88" s="43"/>
      <c r="W88" s="43"/>
      <c r="X88" s="43"/>
      <c r="Z88" s="43"/>
      <c r="AA88" s="43"/>
      <c r="AB88" s="43"/>
      <c r="AC88" s="43"/>
      <c r="AD88" s="43"/>
    </row>
    <row r="89" customFormat="false" ht="15" hidden="false" customHeight="false" outlineLevel="0" collapsed="false">
      <c r="A89" s="37" t="n">
        <v>8955</v>
      </c>
      <c r="B89" s="37" t="n">
        <v>26010004</v>
      </c>
      <c r="C89" s="37" t="s">
        <v>413</v>
      </c>
      <c r="D89" s="37" t="s">
        <v>414</v>
      </c>
      <c r="E89" s="37" t="s">
        <v>415</v>
      </c>
      <c r="F89" s="37" t="n">
        <v>2015</v>
      </c>
      <c r="G89" s="37" t="s">
        <v>416</v>
      </c>
      <c r="H89" s="37" t="n">
        <v>1</v>
      </c>
      <c r="I89" s="23" t="s">
        <v>32</v>
      </c>
      <c r="J89" s="23" t="s">
        <v>33</v>
      </c>
      <c r="K89" s="27"/>
      <c r="L89" s="24" t="n">
        <v>150</v>
      </c>
      <c r="M89" s="23" t="n">
        <v>1</v>
      </c>
      <c r="N89" s="37" t="n">
        <v>14</v>
      </c>
      <c r="O89" s="24" t="n">
        <f aca="false">N89*L89</f>
        <v>2100</v>
      </c>
      <c r="P89" s="23"/>
      <c r="Q89" s="23" t="n">
        <v>5</v>
      </c>
      <c r="R89" s="23" t="n">
        <v>5</v>
      </c>
      <c r="S89" s="24" t="s">
        <v>417</v>
      </c>
      <c r="T89" s="43"/>
      <c r="U89" s="43"/>
      <c r="V89" s="43"/>
      <c r="W89" s="43"/>
      <c r="X89" s="43"/>
      <c r="Z89" s="43"/>
      <c r="AA89" s="43"/>
      <c r="AB89" s="43"/>
      <c r="AC89" s="43"/>
      <c r="AD89" s="43"/>
    </row>
    <row r="90" customFormat="false" ht="15" hidden="false" customHeight="false" outlineLevel="0" collapsed="false">
      <c r="A90" s="37" t="n">
        <v>8964</v>
      </c>
      <c r="B90" s="37"/>
      <c r="C90" s="38" t="s">
        <v>418</v>
      </c>
      <c r="D90" s="38" t="s">
        <v>419</v>
      </c>
      <c r="E90" s="38" t="s">
        <v>420</v>
      </c>
      <c r="F90" s="38" t="n">
        <v>2024</v>
      </c>
      <c r="G90" s="39" t="s">
        <v>421</v>
      </c>
      <c r="H90" s="37" t="n">
        <v>1</v>
      </c>
      <c r="I90" s="23" t="s">
        <v>32</v>
      </c>
      <c r="J90" s="23" t="s">
        <v>33</v>
      </c>
      <c r="K90" s="27"/>
      <c r="L90" s="23" t="n">
        <v>360</v>
      </c>
      <c r="M90" s="23" t="n">
        <v>1</v>
      </c>
      <c r="N90" s="45" t="n">
        <v>14</v>
      </c>
      <c r="O90" s="24" t="n">
        <f aca="false">L90*M90*N90</f>
        <v>5040</v>
      </c>
      <c r="P90" s="23"/>
      <c r="Q90" s="23" t="n">
        <v>6</v>
      </c>
      <c r="R90" s="23" t="n">
        <v>5</v>
      </c>
      <c r="S90" s="24" t="s">
        <v>35</v>
      </c>
      <c r="T90" s="4" t="n">
        <v>18</v>
      </c>
      <c r="U90" s="4" t="n">
        <v>2.2</v>
      </c>
      <c r="V90" s="25" t="n">
        <v>10</v>
      </c>
      <c r="W90" s="25" t="n">
        <v>10</v>
      </c>
      <c r="X90" s="26" t="n">
        <f aca="false">U90*(SQRT(W90))</f>
        <v>6.95701085237044</v>
      </c>
      <c r="Z90" s="4" t="n">
        <v>32</v>
      </c>
      <c r="AA90" s="4" t="n">
        <v>1.2</v>
      </c>
      <c r="AB90" s="25" t="n">
        <v>10</v>
      </c>
      <c r="AC90" s="25" t="n">
        <v>10</v>
      </c>
      <c r="AD90" s="26" t="n">
        <f aca="false">AA90*(SQRT(AC90))</f>
        <v>3.79473319220206</v>
      </c>
    </row>
    <row r="91" customFormat="false" ht="15" hidden="false" customHeight="false" outlineLevel="0" collapsed="false">
      <c r="A91" s="37" t="n">
        <v>8964</v>
      </c>
      <c r="B91" s="37"/>
      <c r="C91" s="38" t="s">
        <v>418</v>
      </c>
      <c r="D91" s="38" t="s">
        <v>419</v>
      </c>
      <c r="E91" s="38" t="s">
        <v>420</v>
      </c>
      <c r="F91" s="38" t="n">
        <v>2024</v>
      </c>
      <c r="G91" s="39" t="s">
        <v>421</v>
      </c>
      <c r="H91" s="37" t="n">
        <v>1</v>
      </c>
      <c r="I91" s="23" t="s">
        <v>32</v>
      </c>
      <c r="J91" s="23" t="s">
        <v>33</v>
      </c>
      <c r="K91" s="27"/>
      <c r="L91" s="23" t="n">
        <v>360</v>
      </c>
      <c r="M91" s="23" t="n">
        <v>1</v>
      </c>
      <c r="N91" s="45" t="n">
        <v>28</v>
      </c>
      <c r="O91" s="24" t="n">
        <f aca="false">L91*M91*N91</f>
        <v>10080</v>
      </c>
      <c r="P91" s="23"/>
      <c r="Q91" s="23" t="n">
        <v>6</v>
      </c>
      <c r="R91" s="23" t="n">
        <v>5</v>
      </c>
      <c r="S91" s="24" t="s">
        <v>35</v>
      </c>
      <c r="T91" s="4" t="n">
        <v>18</v>
      </c>
      <c r="U91" s="4" t="n">
        <v>2.2</v>
      </c>
      <c r="V91" s="25" t="n">
        <v>10</v>
      </c>
      <c r="W91" s="25" t="n">
        <v>10</v>
      </c>
      <c r="X91" s="26" t="n">
        <f aca="false">U91*(SQRT(W91))</f>
        <v>6.95701085237044</v>
      </c>
      <c r="Z91" s="4" t="n">
        <v>30</v>
      </c>
      <c r="AA91" s="4" t="n">
        <v>2.2</v>
      </c>
      <c r="AB91" s="25" t="n">
        <v>10</v>
      </c>
      <c r="AC91" s="25" t="n">
        <v>10</v>
      </c>
      <c r="AD91" s="26" t="n">
        <f aca="false">AA91*(SQRT(AC91))</f>
        <v>6.95701085237044</v>
      </c>
    </row>
    <row r="92" customFormat="false" ht="16.4" hidden="false" customHeight="false" outlineLevel="0" collapsed="false">
      <c r="A92" s="37" t="n">
        <v>8964</v>
      </c>
      <c r="B92" s="37"/>
      <c r="C92" s="38" t="s">
        <v>418</v>
      </c>
      <c r="D92" s="38" t="s">
        <v>422</v>
      </c>
      <c r="E92" s="38" t="s">
        <v>420</v>
      </c>
      <c r="F92" s="38" t="n">
        <v>2024</v>
      </c>
      <c r="G92" s="39" t="s">
        <v>421</v>
      </c>
      <c r="H92" s="37" t="n">
        <v>1</v>
      </c>
      <c r="I92" s="23" t="s">
        <v>32</v>
      </c>
      <c r="J92" s="23" t="s">
        <v>33</v>
      </c>
      <c r="K92" s="27"/>
      <c r="L92" s="23" t="n">
        <v>360</v>
      </c>
      <c r="M92" s="23" t="n">
        <v>1</v>
      </c>
      <c r="N92" s="45" t="n">
        <v>42</v>
      </c>
      <c r="O92" s="24" t="n">
        <f aca="false">L92*M92*N92</f>
        <v>15120</v>
      </c>
      <c r="P92" s="23"/>
      <c r="Q92" s="23" t="n">
        <v>6</v>
      </c>
      <c r="R92" s="23" t="n">
        <v>5</v>
      </c>
      <c r="S92" s="24" t="s">
        <v>35</v>
      </c>
      <c r="T92" s="4" t="n">
        <v>18</v>
      </c>
      <c r="U92" s="4" t="n">
        <v>2.2</v>
      </c>
      <c r="V92" s="25" t="n">
        <v>10</v>
      </c>
      <c r="W92" s="25" t="n">
        <v>10</v>
      </c>
      <c r="X92" s="26" t="n">
        <f aca="false">U92*(SQRT(W92))</f>
        <v>6.95701085237044</v>
      </c>
      <c r="Z92" s="4" t="n">
        <v>28</v>
      </c>
      <c r="AA92" s="4" t="n">
        <v>1.5</v>
      </c>
      <c r="AB92" s="25" t="n">
        <v>10</v>
      </c>
      <c r="AC92" s="25" t="n">
        <v>10</v>
      </c>
      <c r="AD92" s="26" t="n">
        <f aca="false">AA92*(SQRT(AC92))</f>
        <v>4.74341649025257</v>
      </c>
    </row>
    <row r="93" customFormat="false" ht="16.4" hidden="false" customHeight="false" outlineLevel="0" collapsed="false">
      <c r="A93" s="37" t="n">
        <v>8964</v>
      </c>
      <c r="B93" s="37"/>
      <c r="C93" s="38" t="s">
        <v>418</v>
      </c>
      <c r="D93" s="38" t="s">
        <v>422</v>
      </c>
      <c r="E93" s="38" t="s">
        <v>420</v>
      </c>
      <c r="F93" s="38" t="n">
        <v>2024</v>
      </c>
      <c r="G93" s="39" t="s">
        <v>421</v>
      </c>
      <c r="H93" s="37" t="n">
        <v>1</v>
      </c>
      <c r="I93" s="23" t="s">
        <v>32</v>
      </c>
      <c r="J93" s="23" t="s">
        <v>33</v>
      </c>
      <c r="K93" s="27"/>
      <c r="L93" s="23" t="n">
        <v>360</v>
      </c>
      <c r="M93" s="23" t="n">
        <v>1</v>
      </c>
      <c r="N93" s="45" t="n">
        <v>56</v>
      </c>
      <c r="O93" s="24" t="n">
        <f aca="false">L93*M93*N93</f>
        <v>20160</v>
      </c>
      <c r="P93" s="23"/>
      <c r="Q93" s="23" t="n">
        <v>6</v>
      </c>
      <c r="R93" s="23" t="n">
        <v>5</v>
      </c>
      <c r="S93" s="24" t="s">
        <v>35</v>
      </c>
      <c r="T93" s="4" t="n">
        <v>18</v>
      </c>
      <c r="U93" s="4" t="n">
        <v>2.2</v>
      </c>
      <c r="V93" s="25" t="n">
        <v>10</v>
      </c>
      <c r="W93" s="25" t="n">
        <v>10</v>
      </c>
      <c r="X93" s="26" t="n">
        <f aca="false">U93*(SQRT(W93))</f>
        <v>6.95701085237044</v>
      </c>
      <c r="Z93" s="4" t="n">
        <v>30</v>
      </c>
      <c r="AA93" s="4" t="n">
        <v>2.1</v>
      </c>
      <c r="AB93" s="25" t="n">
        <v>10</v>
      </c>
      <c r="AC93" s="25" t="n">
        <v>10</v>
      </c>
      <c r="AD93" s="26" t="n">
        <f aca="false">AA93*(SQRT(AC93))</f>
        <v>6.6407830863536</v>
      </c>
    </row>
    <row r="94" customFormat="false" ht="16.4" hidden="false" customHeight="false" outlineLevel="0" collapsed="false">
      <c r="A94" s="23" t="n">
        <v>8989</v>
      </c>
      <c r="B94" s="23"/>
      <c r="C94" s="41" t="s">
        <v>423</v>
      </c>
      <c r="D94" s="41" t="s">
        <v>424</v>
      </c>
      <c r="E94" s="41" t="s">
        <v>425</v>
      </c>
      <c r="F94" s="41" t="n">
        <v>2023</v>
      </c>
      <c r="G94" s="42" t="s">
        <v>426</v>
      </c>
      <c r="H94" s="23" t="n">
        <v>1</v>
      </c>
      <c r="I94" s="23" t="s">
        <v>51</v>
      </c>
      <c r="J94" s="23" t="s">
        <v>33</v>
      </c>
      <c r="K94" s="27"/>
      <c r="L94" s="23" t="n">
        <v>360</v>
      </c>
      <c r="M94" s="23" t="n">
        <v>1</v>
      </c>
      <c r="N94" s="24" t="n">
        <v>21</v>
      </c>
      <c r="O94" s="24" t="n">
        <f aca="false">L94*M94*N94</f>
        <v>7560</v>
      </c>
      <c r="P94" s="23"/>
      <c r="Q94" s="23" t="n">
        <v>5</v>
      </c>
      <c r="R94" s="23" t="n">
        <v>5</v>
      </c>
      <c r="S94" s="24" t="s">
        <v>35</v>
      </c>
      <c r="T94" s="23" t="n">
        <v>1.4</v>
      </c>
      <c r="U94" s="35" t="s">
        <v>71</v>
      </c>
      <c r="V94" s="25" t="s">
        <v>168</v>
      </c>
      <c r="W94" s="25"/>
      <c r="X94" s="34" t="n">
        <v>0.37</v>
      </c>
      <c r="Z94" s="4" t="n">
        <v>3.4</v>
      </c>
      <c r="AA94" s="35" t="s">
        <v>71</v>
      </c>
      <c r="AB94" s="25" t="s">
        <v>168</v>
      </c>
      <c r="AD94" s="4" t="n">
        <v>0.28</v>
      </c>
    </row>
    <row r="95" customFormat="false" ht="15" hidden="false" customHeight="false" outlineLevel="0" collapsed="false">
      <c r="A95" s="37" t="n">
        <v>9029</v>
      </c>
      <c r="B95" s="37" t="n">
        <v>27023176</v>
      </c>
      <c r="C95" s="37" t="s">
        <v>427</v>
      </c>
      <c r="D95" s="37" t="s">
        <v>428</v>
      </c>
      <c r="E95" s="37" t="s">
        <v>192</v>
      </c>
      <c r="F95" s="37" t="n">
        <v>2016</v>
      </c>
      <c r="G95" s="37" t="s">
        <v>429</v>
      </c>
      <c r="H95" s="37" t="n">
        <v>1</v>
      </c>
      <c r="I95" s="37" t="s">
        <v>430</v>
      </c>
      <c r="J95" s="23" t="s">
        <v>33</v>
      </c>
      <c r="K95" s="27" t="s">
        <v>431</v>
      </c>
      <c r="L95" s="23" t="n">
        <v>120</v>
      </c>
      <c r="M95" s="23" t="n">
        <v>1</v>
      </c>
      <c r="N95" s="24" t="n">
        <v>14</v>
      </c>
      <c r="O95" s="24" t="n">
        <f aca="false">N95*L95</f>
        <v>1680</v>
      </c>
      <c r="P95" s="23" t="s">
        <v>432</v>
      </c>
      <c r="Q95" s="23" t="n">
        <v>5</v>
      </c>
      <c r="R95" s="23" t="n">
        <v>5</v>
      </c>
      <c r="S95" s="24" t="s">
        <v>140</v>
      </c>
      <c r="T95" s="34" t="n">
        <v>25</v>
      </c>
      <c r="U95" s="34" t="n">
        <v>5</v>
      </c>
      <c r="V95" s="25" t="n">
        <v>10</v>
      </c>
      <c r="W95" s="25" t="n">
        <v>10</v>
      </c>
      <c r="X95" s="26" t="n">
        <f aca="false">U95*(SQRT(W95))</f>
        <v>15.8113883008419</v>
      </c>
      <c r="Z95" s="4" t="n">
        <v>17</v>
      </c>
      <c r="AA95" s="4" t="n">
        <v>3</v>
      </c>
      <c r="AB95" s="5" t="n">
        <v>10</v>
      </c>
      <c r="AC95" s="5" t="n">
        <v>10</v>
      </c>
      <c r="AD95" s="33" t="n">
        <f aca="false">AA95*(SQRT(AC95))</f>
        <v>9.48683298050514</v>
      </c>
    </row>
    <row r="96" customFormat="false" ht="15" hidden="false" customHeight="false" outlineLevel="0" collapsed="false">
      <c r="A96" s="37" t="n">
        <v>9029</v>
      </c>
      <c r="B96" s="37" t="n">
        <v>27023176</v>
      </c>
      <c r="C96" s="37" t="s">
        <v>427</v>
      </c>
      <c r="D96" s="37" t="s">
        <v>428</v>
      </c>
      <c r="E96" s="37" t="s">
        <v>192</v>
      </c>
      <c r="F96" s="37" t="n">
        <v>2016</v>
      </c>
      <c r="G96" s="37" t="s">
        <v>429</v>
      </c>
      <c r="H96" s="37" t="n">
        <v>1</v>
      </c>
      <c r="I96" s="37" t="s">
        <v>433</v>
      </c>
      <c r="J96" s="23" t="s">
        <v>33</v>
      </c>
      <c r="K96" s="27" t="s">
        <v>431</v>
      </c>
      <c r="L96" s="23" t="n">
        <v>120</v>
      </c>
      <c r="M96" s="23" t="n">
        <v>1</v>
      </c>
      <c r="N96" s="24" t="n">
        <v>14</v>
      </c>
      <c r="O96" s="24" t="n">
        <f aca="false">N96*L96</f>
        <v>1680</v>
      </c>
      <c r="P96" s="23" t="s">
        <v>432</v>
      </c>
      <c r="Q96" s="23" t="n">
        <v>5</v>
      </c>
      <c r="R96" s="23" t="n">
        <v>5</v>
      </c>
      <c r="S96" s="24" t="s">
        <v>140</v>
      </c>
      <c r="T96" s="34" t="n">
        <v>2.5</v>
      </c>
      <c r="U96" s="34" t="n">
        <v>0.5</v>
      </c>
      <c r="V96" s="25" t="n">
        <v>10</v>
      </c>
      <c r="W96" s="25" t="n">
        <v>10</v>
      </c>
      <c r="X96" s="26" t="n">
        <f aca="false">U96*(SQRT(W96))</f>
        <v>1.58113883008419</v>
      </c>
      <c r="Z96" s="4" t="n">
        <v>7</v>
      </c>
      <c r="AA96" s="4" t="n">
        <v>1.2</v>
      </c>
      <c r="AB96" s="5" t="n">
        <v>10</v>
      </c>
      <c r="AC96" s="5" t="n">
        <v>10</v>
      </c>
      <c r="AD96" s="33" t="n">
        <f aca="false">AA96*(SQRT(AC96))</f>
        <v>3.79473319220206</v>
      </c>
    </row>
    <row r="97" customFormat="false" ht="16.4" hidden="false" customHeight="false" outlineLevel="0" collapsed="false">
      <c r="A97" s="23" t="n">
        <v>9120</v>
      </c>
      <c r="B97" s="23"/>
      <c r="C97" s="41" t="s">
        <v>434</v>
      </c>
      <c r="D97" s="41" t="s">
        <v>435</v>
      </c>
      <c r="E97" s="41" t="s">
        <v>436</v>
      </c>
      <c r="F97" s="41" t="n">
        <v>2023</v>
      </c>
      <c r="G97" s="42" t="s">
        <v>437</v>
      </c>
      <c r="H97" s="23" t="n">
        <v>1</v>
      </c>
      <c r="I97" s="23" t="s">
        <v>438</v>
      </c>
      <c r="J97" s="23" t="s">
        <v>33</v>
      </c>
      <c r="K97" s="27" t="s">
        <v>168</v>
      </c>
      <c r="L97" s="23" t="n">
        <v>30</v>
      </c>
      <c r="M97" s="23" t="n">
        <v>1</v>
      </c>
      <c r="N97" s="24" t="n">
        <v>10</v>
      </c>
      <c r="O97" s="24" t="n">
        <f aca="false">L97*M97*N97</f>
        <v>300</v>
      </c>
      <c r="P97" s="23"/>
      <c r="Q97" s="23" t="n">
        <v>5</v>
      </c>
      <c r="R97" s="23" t="n">
        <v>5</v>
      </c>
      <c r="S97" s="28"/>
      <c r="T97" s="28"/>
      <c r="U97" s="28"/>
      <c r="V97" s="29"/>
      <c r="W97" s="29"/>
      <c r="X97" s="28"/>
      <c r="Z97" s="30"/>
      <c r="AA97" s="30"/>
      <c r="AB97" s="31"/>
      <c r="AC97" s="31"/>
      <c r="AD97" s="30"/>
    </row>
    <row r="98" customFormat="false" ht="15" hidden="false" customHeight="false" outlineLevel="0" collapsed="false">
      <c r="A98" s="23" t="n">
        <v>9424</v>
      </c>
      <c r="B98" s="23" t="n">
        <v>30656862</v>
      </c>
      <c r="C98" s="23" t="s">
        <v>439</v>
      </c>
      <c r="D98" s="23" t="s">
        <v>440</v>
      </c>
      <c r="E98" s="23" t="s">
        <v>441</v>
      </c>
      <c r="F98" s="23" t="n">
        <v>2019</v>
      </c>
      <c r="G98" s="23" t="s">
        <v>442</v>
      </c>
      <c r="H98" s="23" t="n">
        <v>1</v>
      </c>
      <c r="I98" s="23" t="s">
        <v>51</v>
      </c>
      <c r="J98" s="23" t="s">
        <v>33</v>
      </c>
      <c r="K98" s="27" t="s">
        <v>205</v>
      </c>
      <c r="L98" s="23" t="n">
        <v>360</v>
      </c>
      <c r="M98" s="23" t="n">
        <v>1</v>
      </c>
      <c r="N98" s="24" t="n">
        <v>21</v>
      </c>
      <c r="O98" s="24" t="n">
        <f aca="false">N98*L98</f>
        <v>7560</v>
      </c>
      <c r="P98" s="23"/>
      <c r="Q98" s="23" t="n">
        <v>5</v>
      </c>
      <c r="R98" s="23" t="n">
        <v>5</v>
      </c>
      <c r="S98" s="28"/>
      <c r="T98" s="28"/>
      <c r="U98" s="28"/>
      <c r="V98" s="29"/>
      <c r="W98" s="29"/>
      <c r="X98" s="28"/>
      <c r="Z98" s="30"/>
      <c r="AA98" s="30"/>
      <c r="AB98" s="31"/>
      <c r="AC98" s="31"/>
      <c r="AD98" s="30"/>
    </row>
    <row r="99" customFormat="false" ht="15" hidden="false" customHeight="false" outlineLevel="0" collapsed="false">
      <c r="A99" s="23" t="n">
        <v>9442</v>
      </c>
      <c r="B99" s="23" t="n">
        <v>34704719</v>
      </c>
      <c r="C99" s="23" t="s">
        <v>443</v>
      </c>
      <c r="D99" s="23" t="s">
        <v>444</v>
      </c>
      <c r="E99" s="23" t="s">
        <v>445</v>
      </c>
      <c r="F99" s="23" t="n">
        <v>2021</v>
      </c>
      <c r="G99" s="23" t="s">
        <v>446</v>
      </c>
      <c r="H99" s="23" t="n">
        <v>1</v>
      </c>
      <c r="I99" s="23" t="s">
        <v>32</v>
      </c>
      <c r="J99" s="23" t="s">
        <v>33</v>
      </c>
      <c r="K99" s="27"/>
      <c r="L99" s="23" t="n">
        <v>360</v>
      </c>
      <c r="M99" s="23" t="n">
        <v>1</v>
      </c>
      <c r="N99" s="24" t="n">
        <v>21</v>
      </c>
      <c r="O99" s="24" t="n">
        <f aca="false">N99*L99</f>
        <v>7560</v>
      </c>
      <c r="P99" s="23"/>
      <c r="Q99" s="23" t="n">
        <v>6</v>
      </c>
      <c r="R99" s="23" t="n">
        <v>4</v>
      </c>
      <c r="S99" s="24" t="s">
        <v>243</v>
      </c>
      <c r="T99" s="34" t="n">
        <v>136</v>
      </c>
      <c r="U99" s="35" t="s">
        <v>71</v>
      </c>
      <c r="V99" s="27" t="s">
        <v>78</v>
      </c>
      <c r="W99" s="27"/>
      <c r="X99" s="26" t="n">
        <v>37</v>
      </c>
      <c r="Z99" s="4" t="n">
        <v>166</v>
      </c>
      <c r="AA99" s="36" t="s">
        <v>71</v>
      </c>
      <c r="AB99" s="2" t="s">
        <v>78</v>
      </c>
      <c r="AC99" s="2"/>
      <c r="AD99" s="33" t="n">
        <v>23</v>
      </c>
    </row>
    <row r="100" customFormat="false" ht="15" hidden="false" customHeight="false" outlineLevel="0" collapsed="false">
      <c r="A100" s="37" t="n">
        <v>9542</v>
      </c>
      <c r="B100" s="37"/>
      <c r="C100" s="37" t="s">
        <v>447</v>
      </c>
      <c r="D100" s="37" t="s">
        <v>448</v>
      </c>
      <c r="E100" s="37" t="s">
        <v>56</v>
      </c>
      <c r="F100" s="37" t="n">
        <v>2025</v>
      </c>
      <c r="G100" s="37" t="s">
        <v>449</v>
      </c>
      <c r="H100" s="37" t="n">
        <v>1</v>
      </c>
      <c r="I100" s="23" t="s">
        <v>51</v>
      </c>
      <c r="J100" s="23" t="s">
        <v>33</v>
      </c>
      <c r="K100" s="27" t="s">
        <v>94</v>
      </c>
      <c r="L100" s="23" t="n">
        <v>360</v>
      </c>
      <c r="M100" s="23" t="n">
        <v>1</v>
      </c>
      <c r="N100" s="45" t="n">
        <v>15</v>
      </c>
      <c r="O100" s="24" t="n">
        <f aca="false">L100*M100*N100</f>
        <v>5400</v>
      </c>
      <c r="P100" s="23"/>
      <c r="Q100" s="23" t="n">
        <v>6</v>
      </c>
      <c r="R100" s="23" t="n">
        <v>4</v>
      </c>
      <c r="S100" s="24" t="s">
        <v>184</v>
      </c>
      <c r="T100" s="23" t="n">
        <v>92</v>
      </c>
      <c r="U100" s="23" t="n">
        <v>4</v>
      </c>
      <c r="V100" s="25" t="s">
        <v>61</v>
      </c>
      <c r="W100" s="25" t="s">
        <v>61</v>
      </c>
      <c r="X100" s="26" t="n">
        <f aca="false">U100*(SQRT(W100))</f>
        <v>10.5830052442584</v>
      </c>
      <c r="Z100" s="4" t="n">
        <v>191</v>
      </c>
      <c r="AA100" s="4" t="n">
        <v>3</v>
      </c>
      <c r="AB100" s="25" t="s">
        <v>61</v>
      </c>
      <c r="AC100" s="25" t="s">
        <v>61</v>
      </c>
      <c r="AD100" s="26" t="n">
        <f aca="false">AA100*(SQRT(AC100))</f>
        <v>7.93725393319377</v>
      </c>
    </row>
    <row r="101" customFormat="false" ht="15" hidden="false" customHeight="false" outlineLevel="0" collapsed="false">
      <c r="A101" s="37" t="n">
        <v>9542</v>
      </c>
      <c r="B101" s="37"/>
      <c r="C101" s="37" t="s">
        <v>447</v>
      </c>
      <c r="D101" s="37" t="s">
        <v>448</v>
      </c>
      <c r="E101" s="37" t="s">
        <v>56</v>
      </c>
      <c r="F101" s="37" t="n">
        <v>2025</v>
      </c>
      <c r="G101" s="37" t="s">
        <v>449</v>
      </c>
      <c r="H101" s="37" t="n">
        <v>1</v>
      </c>
      <c r="I101" s="23" t="s">
        <v>51</v>
      </c>
      <c r="J101" s="23" t="s">
        <v>33</v>
      </c>
      <c r="K101" s="27" t="s">
        <v>94</v>
      </c>
      <c r="L101" s="23" t="n">
        <v>360</v>
      </c>
      <c r="M101" s="23" t="n">
        <v>1</v>
      </c>
      <c r="N101" s="45" t="n">
        <v>30</v>
      </c>
      <c r="O101" s="24" t="n">
        <f aca="false">L101*M101*N101</f>
        <v>10800</v>
      </c>
      <c r="P101" s="23"/>
      <c r="Q101" s="23" t="n">
        <v>6</v>
      </c>
      <c r="R101" s="23" t="n">
        <v>4</v>
      </c>
      <c r="S101" s="24" t="s">
        <v>184</v>
      </c>
      <c r="T101" s="28"/>
      <c r="U101" s="28"/>
      <c r="V101" s="29"/>
      <c r="W101" s="29"/>
      <c r="X101" s="28"/>
      <c r="Z101" s="30"/>
      <c r="AA101" s="30"/>
      <c r="AB101" s="31"/>
      <c r="AC101" s="31"/>
      <c r="AD101" s="30"/>
    </row>
    <row r="102" customFormat="false" ht="15" hidden="false" customHeight="false" outlineLevel="0" collapsed="false">
      <c r="A102" s="23" t="n">
        <v>9582</v>
      </c>
      <c r="B102" s="23"/>
      <c r="C102" s="23" t="s">
        <v>450</v>
      </c>
      <c r="D102" s="23" t="s">
        <v>451</v>
      </c>
      <c r="E102" s="23" t="s">
        <v>452</v>
      </c>
      <c r="F102" s="23" t="n">
        <v>2016</v>
      </c>
      <c r="G102" s="23" t="s">
        <v>453</v>
      </c>
      <c r="H102" s="23" t="n">
        <v>1</v>
      </c>
      <c r="I102" s="23" t="s">
        <v>32</v>
      </c>
      <c r="J102" s="23" t="s">
        <v>33</v>
      </c>
      <c r="K102" s="27"/>
      <c r="L102" s="23" t="n">
        <v>20</v>
      </c>
      <c r="M102" s="23" t="n">
        <v>1</v>
      </c>
      <c r="N102" s="24" t="n">
        <v>14</v>
      </c>
      <c r="O102" s="24" t="n">
        <f aca="false">L102*M102*N102</f>
        <v>280</v>
      </c>
      <c r="P102" s="23"/>
      <c r="Q102" s="23" t="n">
        <v>5</v>
      </c>
      <c r="R102" s="23" t="n">
        <v>5</v>
      </c>
      <c r="S102" s="24" t="s">
        <v>70</v>
      </c>
      <c r="T102" s="28"/>
      <c r="U102" s="28"/>
      <c r="V102" s="29"/>
      <c r="W102" s="29"/>
      <c r="X102" s="28"/>
      <c r="Z102" s="30"/>
      <c r="AA102" s="30"/>
      <c r="AB102" s="31"/>
      <c r="AC102" s="31"/>
      <c r="AD102" s="30"/>
    </row>
    <row r="103" customFormat="false" ht="16.4" hidden="false" customHeight="false" outlineLevel="0" collapsed="false">
      <c r="A103" s="23" t="n">
        <v>9638</v>
      </c>
      <c r="B103" s="23"/>
      <c r="C103" s="41" t="s">
        <v>454</v>
      </c>
      <c r="D103" s="41" t="s">
        <v>455</v>
      </c>
      <c r="E103" s="41" t="s">
        <v>456</v>
      </c>
      <c r="F103" s="41" t="n">
        <v>2021</v>
      </c>
      <c r="G103" s="42" t="s">
        <v>457</v>
      </c>
      <c r="H103" s="23" t="n">
        <v>1</v>
      </c>
      <c r="I103" s="23" t="s">
        <v>51</v>
      </c>
      <c r="J103" s="23" t="s">
        <v>33</v>
      </c>
      <c r="K103" s="27" t="s">
        <v>168</v>
      </c>
      <c r="L103" s="23" t="n">
        <v>360</v>
      </c>
      <c r="M103" s="23" t="n">
        <v>1</v>
      </c>
      <c r="N103" s="24" t="n">
        <v>21</v>
      </c>
      <c r="O103" s="24" t="n">
        <f aca="false">L103*M103*N103</f>
        <v>7560</v>
      </c>
      <c r="P103" s="23" t="s">
        <v>458</v>
      </c>
      <c r="Q103" s="23" t="n">
        <v>20</v>
      </c>
      <c r="R103" s="23" t="n">
        <v>5</v>
      </c>
      <c r="S103" s="24" t="s">
        <v>297</v>
      </c>
      <c r="T103" s="23" t="n">
        <v>100</v>
      </c>
      <c r="U103" s="23" t="n">
        <v>11</v>
      </c>
      <c r="V103" s="25" t="s">
        <v>36</v>
      </c>
      <c r="W103" s="25" t="s">
        <v>36</v>
      </c>
      <c r="X103" s="26" t="n">
        <f aca="false">U103*(SQRT(W103))</f>
        <v>31.1126983722081</v>
      </c>
      <c r="Z103" s="4" t="n">
        <v>252</v>
      </c>
      <c r="AA103" s="4" t="n">
        <v>11</v>
      </c>
      <c r="AB103" s="25" t="s">
        <v>36</v>
      </c>
      <c r="AC103" s="25" t="s">
        <v>36</v>
      </c>
      <c r="AD103" s="26" t="n">
        <f aca="false">AA103*(SQRT(AC103))</f>
        <v>31.1126983722081</v>
      </c>
    </row>
    <row r="104" customFormat="false" ht="15" hidden="false" customHeight="false" outlineLevel="0" collapsed="false">
      <c r="A104" s="23" t="n">
        <v>9643</v>
      </c>
      <c r="B104" s="23"/>
      <c r="C104" s="23" t="s">
        <v>459</v>
      </c>
      <c r="D104" s="23" t="s">
        <v>460</v>
      </c>
      <c r="E104" s="23" t="s">
        <v>461</v>
      </c>
      <c r="F104" s="23" t="n">
        <v>2019</v>
      </c>
      <c r="G104" s="23" t="s">
        <v>462</v>
      </c>
      <c r="H104" s="23" t="n">
        <v>1</v>
      </c>
      <c r="I104" s="23" t="s">
        <v>32</v>
      </c>
      <c r="J104" s="23" t="s">
        <v>33</v>
      </c>
      <c r="K104" s="27"/>
      <c r="L104" s="23" t="n">
        <v>180</v>
      </c>
      <c r="M104" s="23" t="n">
        <v>1</v>
      </c>
      <c r="N104" s="24" t="n">
        <v>21</v>
      </c>
      <c r="O104" s="24" t="n">
        <f aca="false">L104*M104*N104</f>
        <v>3780</v>
      </c>
      <c r="P104" s="23"/>
      <c r="Q104" s="23" t="n">
        <v>5</v>
      </c>
      <c r="R104" s="23" t="n">
        <v>5</v>
      </c>
      <c r="S104" s="24" t="s">
        <v>89</v>
      </c>
      <c r="T104" s="23" t="n">
        <v>125</v>
      </c>
      <c r="U104" s="23" t="n">
        <v>7</v>
      </c>
      <c r="V104" s="25" t="s">
        <v>463</v>
      </c>
      <c r="W104" s="25" t="s">
        <v>79</v>
      </c>
      <c r="X104" s="26" t="n">
        <f aca="false">U104*(SQRT(W104))</f>
        <v>21</v>
      </c>
      <c r="Z104" s="4" t="n">
        <v>227</v>
      </c>
      <c r="AA104" s="4" t="n">
        <v>15</v>
      </c>
      <c r="AB104" s="25" t="s">
        <v>463</v>
      </c>
      <c r="AC104" s="25" t="s">
        <v>79</v>
      </c>
      <c r="AD104" s="26" t="n">
        <f aca="false">AA104*(SQRT(AC104))</f>
        <v>45</v>
      </c>
    </row>
    <row r="105" customFormat="false" ht="15" hidden="false" customHeight="false" outlineLevel="0" collapsed="false">
      <c r="A105" s="37" t="n">
        <v>9663</v>
      </c>
      <c r="B105" s="37"/>
      <c r="C105" s="37" t="s">
        <v>464</v>
      </c>
      <c r="D105" s="37" t="s">
        <v>465</v>
      </c>
      <c r="E105" s="37" t="s">
        <v>466</v>
      </c>
      <c r="F105" s="37" t="n">
        <v>2015</v>
      </c>
      <c r="G105" s="37" t="s">
        <v>467</v>
      </c>
      <c r="H105" s="37" t="n">
        <v>1</v>
      </c>
      <c r="I105" s="23" t="s">
        <v>32</v>
      </c>
      <c r="J105" s="23" t="s">
        <v>33</v>
      </c>
      <c r="K105" s="27"/>
      <c r="L105" s="23" t="n">
        <v>120</v>
      </c>
      <c r="M105" s="23" t="n">
        <v>1</v>
      </c>
      <c r="N105" s="24" t="n">
        <v>10</v>
      </c>
      <c r="O105" s="24" t="n">
        <f aca="false">L105*M105*N105</f>
        <v>1200</v>
      </c>
      <c r="P105" s="37" t="s">
        <v>468</v>
      </c>
      <c r="Q105" s="23" t="n">
        <v>5</v>
      </c>
      <c r="R105" s="23" t="n">
        <v>5</v>
      </c>
      <c r="S105" s="24" t="s">
        <v>70</v>
      </c>
      <c r="T105" s="23" t="n">
        <v>108</v>
      </c>
      <c r="U105" s="23" t="n">
        <v>17</v>
      </c>
      <c r="V105" s="25" t="s">
        <v>469</v>
      </c>
      <c r="W105" s="25" t="s">
        <v>144</v>
      </c>
      <c r="X105" s="26" t="n">
        <f aca="false">U105*(SQRT(W105))</f>
        <v>56.3826214360418</v>
      </c>
      <c r="Z105" s="4" t="n">
        <v>162</v>
      </c>
      <c r="AA105" s="4" t="n">
        <v>14</v>
      </c>
      <c r="AB105" s="25" t="s">
        <v>469</v>
      </c>
      <c r="AC105" s="25" t="s">
        <v>144</v>
      </c>
      <c r="AD105" s="26" t="n">
        <f aca="false">AA105*(SQRT(AC105))</f>
        <v>46.4327470649756</v>
      </c>
    </row>
    <row r="106" customFormat="false" ht="15" hidden="false" customHeight="false" outlineLevel="0" collapsed="false">
      <c r="A106" s="37" t="n">
        <v>9663</v>
      </c>
      <c r="B106" s="37"/>
      <c r="C106" s="37" t="s">
        <v>464</v>
      </c>
      <c r="D106" s="37" t="s">
        <v>465</v>
      </c>
      <c r="E106" s="37" t="s">
        <v>466</v>
      </c>
      <c r="F106" s="37" t="n">
        <v>2015</v>
      </c>
      <c r="G106" s="37" t="s">
        <v>467</v>
      </c>
      <c r="H106" s="37" t="n">
        <v>1</v>
      </c>
      <c r="I106" s="23" t="s">
        <v>32</v>
      </c>
      <c r="J106" s="23" t="s">
        <v>33</v>
      </c>
      <c r="K106" s="27"/>
      <c r="L106" s="23" t="n">
        <v>120</v>
      </c>
      <c r="M106" s="23" t="n">
        <v>1</v>
      </c>
      <c r="N106" s="24" t="n">
        <v>10</v>
      </c>
      <c r="O106" s="24" t="n">
        <f aca="false">L106*M106*N106</f>
        <v>1200</v>
      </c>
      <c r="P106" s="37" t="s">
        <v>470</v>
      </c>
      <c r="Q106" s="23" t="n">
        <v>5</v>
      </c>
      <c r="R106" s="23" t="n">
        <v>5</v>
      </c>
      <c r="S106" s="24" t="s">
        <v>70</v>
      </c>
      <c r="T106" s="23" t="n">
        <v>108</v>
      </c>
      <c r="U106" s="23" t="n">
        <v>17</v>
      </c>
      <c r="V106" s="25" t="s">
        <v>469</v>
      </c>
      <c r="W106" s="25" t="s">
        <v>144</v>
      </c>
      <c r="X106" s="26" t="n">
        <f aca="false">U106*(SQRT(W106))</f>
        <v>56.3826214360418</v>
      </c>
      <c r="Z106" s="4" t="n">
        <v>178</v>
      </c>
      <c r="AA106" s="4" t="n">
        <v>6</v>
      </c>
      <c r="AB106" s="25" t="s">
        <v>469</v>
      </c>
      <c r="AC106" s="25" t="s">
        <v>144</v>
      </c>
      <c r="AD106" s="26" t="n">
        <f aca="false">AA106*(SQRT(AC106))</f>
        <v>19.8997487421324</v>
      </c>
    </row>
    <row r="107" customFormat="false" ht="15" hidden="false" customHeight="false" outlineLevel="0" collapsed="false">
      <c r="A107" s="23" t="n">
        <v>9825</v>
      </c>
      <c r="B107" s="23" t="n">
        <v>28866053</v>
      </c>
      <c r="C107" s="23" t="s">
        <v>471</v>
      </c>
      <c r="D107" s="23" t="s">
        <v>472</v>
      </c>
      <c r="E107" s="23" t="s">
        <v>291</v>
      </c>
      <c r="F107" s="23" t="n">
        <v>2017</v>
      </c>
      <c r="G107" s="23" t="s">
        <v>473</v>
      </c>
      <c r="H107" s="23" t="n">
        <v>1</v>
      </c>
      <c r="I107" s="23" t="s">
        <v>51</v>
      </c>
      <c r="J107" s="23" t="s">
        <v>41</v>
      </c>
      <c r="K107" s="27"/>
      <c r="L107" s="23" t="n">
        <v>120</v>
      </c>
      <c r="M107" s="23" t="n">
        <v>1</v>
      </c>
      <c r="N107" s="24" t="n">
        <v>21</v>
      </c>
      <c r="O107" s="24" t="n">
        <f aca="false">N107*L107</f>
        <v>2520</v>
      </c>
      <c r="P107" s="23"/>
      <c r="Q107" s="23" t="n">
        <v>6</v>
      </c>
      <c r="R107" s="23" t="n">
        <v>6</v>
      </c>
      <c r="S107" s="24" t="s">
        <v>35</v>
      </c>
      <c r="T107" s="34" t="n">
        <v>189</v>
      </c>
      <c r="U107" s="34" t="n">
        <v>29</v>
      </c>
      <c r="V107" s="25" t="s">
        <v>36</v>
      </c>
      <c r="W107" s="25" t="s">
        <v>36</v>
      </c>
      <c r="X107" s="26" t="n">
        <f aca="false">U107*(SQRT(W107))</f>
        <v>82.0243866176395</v>
      </c>
      <c r="Z107" s="4" t="n">
        <v>343</v>
      </c>
      <c r="AA107" s="4" t="n">
        <v>25</v>
      </c>
      <c r="AB107" s="5" t="s">
        <v>36</v>
      </c>
      <c r="AC107" s="5" t="s">
        <v>36</v>
      </c>
      <c r="AD107" s="33" t="n">
        <f aca="false">AA107*(SQRT(AC107))</f>
        <v>70.7106781186548</v>
      </c>
    </row>
    <row r="108" customFormat="false" ht="15" hidden="false" customHeight="false" outlineLevel="0" collapsed="false">
      <c r="A108" s="23" t="n">
        <v>9900</v>
      </c>
      <c r="B108" s="23" t="n">
        <v>27346276</v>
      </c>
      <c r="C108" s="23" t="s">
        <v>474</v>
      </c>
      <c r="D108" s="23" t="s">
        <v>475</v>
      </c>
      <c r="E108" s="23" t="s">
        <v>161</v>
      </c>
      <c r="F108" s="23" t="n">
        <v>2016</v>
      </c>
      <c r="G108" s="23" t="s">
        <v>476</v>
      </c>
      <c r="H108" s="23" t="n">
        <v>1</v>
      </c>
      <c r="I108" s="23" t="s">
        <v>51</v>
      </c>
      <c r="J108" s="23" t="s">
        <v>33</v>
      </c>
      <c r="K108" s="27"/>
      <c r="L108" s="23" t="n">
        <v>360</v>
      </c>
      <c r="M108" s="23" t="n">
        <v>1</v>
      </c>
      <c r="N108" s="24" t="n">
        <v>21</v>
      </c>
      <c r="O108" s="24" t="n">
        <f aca="false">N108*L108</f>
        <v>7560</v>
      </c>
      <c r="P108" s="23"/>
      <c r="Q108" s="23" t="n">
        <v>5</v>
      </c>
      <c r="R108" s="23" t="n">
        <v>5</v>
      </c>
      <c r="S108" s="24" t="s">
        <v>278</v>
      </c>
      <c r="T108" s="34" t="n">
        <v>83</v>
      </c>
      <c r="U108" s="35" t="s">
        <v>71</v>
      </c>
      <c r="V108" s="25" t="n">
        <v>10</v>
      </c>
      <c r="W108" s="25"/>
      <c r="X108" s="26" t="n">
        <v>20</v>
      </c>
      <c r="Z108" s="4" t="n">
        <v>123</v>
      </c>
      <c r="AA108" s="36" t="s">
        <v>71</v>
      </c>
      <c r="AB108" s="5" t="n">
        <v>10</v>
      </c>
      <c r="AD108" s="33" t="n">
        <v>29</v>
      </c>
    </row>
  </sheetData>
  <hyperlinks>
    <hyperlink ref="G13" r:id="rId1" display="https://dx.doi.org/10.1016/j.ibneur.2025.07.014"/>
    <hyperlink ref="G14" r:id="rId2" display="https://dx.doi.org/10.1016/j.ibneur.2025.07.014"/>
    <hyperlink ref="G24" r:id="rId3" display="https://dx.doi.org/10.32598/bcn.11.4.1775.2"/>
    <hyperlink ref="G25" r:id="rId4" display="https://dx.doi.org/10.61186/jambr.32.151.144"/>
    <hyperlink ref="G39" r:id="rId5" display="https://dx.doi.org/10.1016/j.ynirp.2022.100104"/>
    <hyperlink ref="G51" r:id="rId6" display="https://dx.doi.org/10.3390/brainsci15070709"/>
    <hyperlink ref="G57" r:id="rId7" display="https://dx.doi.org/10.22159/ajpcr.2018.v11i1.21593"/>
    <hyperlink ref="G63" r:id="rId8" display="https://dx.doi.org/10.1038/s41398-024-02887-y"/>
    <hyperlink ref="G64" r:id="rId9" display="https://dx.doi.org/10.1038/s41398-024-02887-y"/>
    <hyperlink ref="G68" r:id="rId10" display="https://dx.doi.org/10.1038/mp.2016.174"/>
    <hyperlink ref="G85" r:id="rId11" display="https://dx.doi.org/10.1523/ENEURO.0113-20.2020"/>
    <hyperlink ref="G90" r:id="rId12" display="https://dx.doi.org/10.7324/JAPS.2024.148021"/>
    <hyperlink ref="G91" r:id="rId13" display="https://dx.doi.org/10.7324/JAPS.2024.148021"/>
    <hyperlink ref="G92" r:id="rId14" display="https://dx.doi.org/10.7324/JAPS.2024.148021"/>
    <hyperlink ref="G93" r:id="rId15" display="https://dx.doi.org/10.7324/JAPS.2024.148021"/>
    <hyperlink ref="G94" r:id="rId16" display="https://dx.doi.org/10.3390/ph16060848"/>
    <hyperlink ref="G97" r:id="rId17" display="https://dx.doi.org/10.1111/bdi.13319"/>
    <hyperlink ref="G103" r:id="rId18" display="https://dx.doi.org/10.1016/j.jhazmat.2021.125179"/>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64" activeCellId="0" sqref="D64"/>
    </sheetView>
  </sheetViews>
  <sheetFormatPr defaultColWidth="9.14453125" defaultRowHeight="15" customHeight="false" zeroHeight="false" outlineLevelRow="0" outlineLevelCol="0"/>
  <cols>
    <col collapsed="false" customWidth="true" hidden="false" outlineLevel="0" max="1" min="1" style="23" width="10.86"/>
    <col collapsed="false" customWidth="true" hidden="false" outlineLevel="0" max="2" min="2" style="23" width="11.43"/>
    <col collapsed="false" customWidth="true" hidden="false" outlineLevel="0" max="3" min="3" style="23" width="33"/>
    <col collapsed="false" customWidth="true" hidden="false" outlineLevel="0" max="4" min="4" style="23" width="12.14"/>
    <col collapsed="false" customWidth="true" hidden="false" outlineLevel="0" max="5" min="5" style="23" width="15.57"/>
    <col collapsed="false" customWidth="false" hidden="false" outlineLevel="0" max="6" min="6" style="23" width="9.14"/>
    <col collapsed="false" customWidth="true" hidden="false" outlineLevel="0" max="7" min="7" style="23" width="29.14"/>
    <col collapsed="false" customWidth="true" hidden="false" outlineLevel="0" max="8" min="8" style="23" width="4.72"/>
    <col collapsed="false" customWidth="true" hidden="false" outlineLevel="0" max="9" min="9" style="23" width="20.57"/>
    <col collapsed="false" customWidth="true" hidden="false" outlineLevel="0" max="10" min="10" style="23" width="11.72"/>
    <col collapsed="false" customWidth="true" hidden="false" outlineLevel="0" max="11" min="11" style="27" width="17.57"/>
    <col collapsed="false" customWidth="true" hidden="false" outlineLevel="0" max="12" min="12" style="23" width="12.57"/>
    <col collapsed="false" customWidth="true" hidden="false" outlineLevel="0" max="13" min="13" style="23" width="13.43"/>
    <col collapsed="false" customWidth="true" hidden="false" outlineLevel="0" max="14" min="14" style="24" width="19.72"/>
    <col collapsed="false" customWidth="true" hidden="false" outlineLevel="0" max="15" min="15" style="24" width="19"/>
    <col collapsed="false" customWidth="true" hidden="false" outlineLevel="0" max="16" min="16" style="23" width="7.28"/>
    <col collapsed="false" customWidth="true" hidden="false" outlineLevel="0" max="20" min="17" style="23" width="19"/>
    <col collapsed="false" customWidth="true" hidden="false" outlineLevel="0" max="21" min="21" style="51" width="10.71"/>
    <col collapsed="false" customWidth="true" hidden="false" outlineLevel="0" max="22" min="22" style="34" width="14"/>
    <col collapsed="false" customWidth="true" hidden="false" outlineLevel="0" max="23" min="23" style="34" width="11.86"/>
    <col collapsed="false" customWidth="true" hidden="false" outlineLevel="0" max="25" min="24" style="25" width="8.86"/>
    <col collapsed="false" customWidth="true" hidden="false" outlineLevel="0" max="26" min="26" style="34" width="18.86"/>
    <col collapsed="false" customWidth="true" hidden="false" outlineLevel="0" max="27" min="27" style="34" width="2.71"/>
    <col collapsed="false" customWidth="true" hidden="false" outlineLevel="0" max="28" min="28" style="34" width="14.14"/>
    <col collapsed="false" customWidth="true" hidden="false" outlineLevel="0" max="29" min="29" style="34" width="11.86"/>
    <col collapsed="false" customWidth="true" hidden="false" outlineLevel="0" max="31" min="30" style="25" width="8.57"/>
    <col collapsed="false" customWidth="true" hidden="false" outlineLevel="0" max="32" min="32" style="34" width="18.86"/>
    <col collapsed="false" customWidth="true" hidden="false" outlineLevel="0" max="33" min="33" style="24" width="3.72"/>
    <col collapsed="false" customWidth="false" hidden="false" outlineLevel="0" max="16384" min="34" style="23" width="9.14"/>
  </cols>
  <sheetData>
    <row r="1" customFormat="false" ht="15" hidden="false" customHeight="false" outlineLevel="0" collapsed="false">
      <c r="V1" s="6" t="s">
        <v>477</v>
      </c>
      <c r="W1" s="7"/>
      <c r="X1" s="8"/>
      <c r="Y1" s="8"/>
      <c r="Z1" s="7"/>
      <c r="AA1" s="52"/>
      <c r="AB1" s="53" t="s">
        <v>478</v>
      </c>
      <c r="AC1" s="54"/>
      <c r="AD1" s="55"/>
      <c r="AE1" s="55"/>
      <c r="AF1" s="54"/>
    </row>
    <row r="2" customFormat="false" ht="15" hidden="false" customHeight="false" outlineLevel="0" collapsed="false">
      <c r="A2" s="13" t="s">
        <v>2</v>
      </c>
      <c r="B2" s="13" t="s">
        <v>3</v>
      </c>
      <c r="C2" s="13" t="s">
        <v>4</v>
      </c>
      <c r="D2" s="13" t="s">
        <v>5</v>
      </c>
      <c r="E2" s="13" t="s">
        <v>6</v>
      </c>
      <c r="F2" s="13" t="s">
        <v>7</v>
      </c>
      <c r="G2" s="13" t="s">
        <v>8</v>
      </c>
      <c r="H2" s="13" t="s">
        <v>479</v>
      </c>
      <c r="I2" s="13" t="s">
        <v>10</v>
      </c>
      <c r="J2" s="13" t="s">
        <v>11</v>
      </c>
      <c r="K2" s="14" t="s">
        <v>12</v>
      </c>
      <c r="L2" s="13" t="s">
        <v>13</v>
      </c>
      <c r="M2" s="13" t="s">
        <v>14</v>
      </c>
      <c r="N2" s="15" t="s">
        <v>15</v>
      </c>
      <c r="O2" s="15" t="s">
        <v>16</v>
      </c>
      <c r="P2" s="13" t="s">
        <v>17</v>
      </c>
      <c r="Q2" s="13" t="s">
        <v>480</v>
      </c>
      <c r="R2" s="13" t="s">
        <v>481</v>
      </c>
      <c r="S2" s="13" t="s">
        <v>482</v>
      </c>
      <c r="T2" s="13" t="s">
        <v>483</v>
      </c>
      <c r="U2" s="16" t="s">
        <v>20</v>
      </c>
      <c r="V2" s="17" t="s">
        <v>21</v>
      </c>
      <c r="W2" s="18" t="s">
        <v>22</v>
      </c>
      <c r="X2" s="19" t="s">
        <v>23</v>
      </c>
      <c r="Y2" s="19" t="s">
        <v>24</v>
      </c>
      <c r="Z2" s="18" t="s">
        <v>25</v>
      </c>
      <c r="AB2" s="56" t="s">
        <v>26</v>
      </c>
      <c r="AC2" s="57" t="s">
        <v>27</v>
      </c>
      <c r="AD2" s="58" t="s">
        <v>23</v>
      </c>
      <c r="AE2" s="58" t="s">
        <v>24</v>
      </c>
      <c r="AF2" s="57" t="s">
        <v>25</v>
      </c>
    </row>
    <row r="3" customFormat="false" ht="15" hidden="false" customHeight="false" outlineLevel="0" collapsed="false">
      <c r="A3" s="0" t="n">
        <v>1016</v>
      </c>
      <c r="C3" s="23" t="s">
        <v>28</v>
      </c>
      <c r="D3" s="23" t="s">
        <v>29</v>
      </c>
      <c r="E3" s="23" t="s">
        <v>30</v>
      </c>
      <c r="F3" s="23" t="n">
        <v>2022</v>
      </c>
      <c r="G3" s="23" t="s">
        <v>31</v>
      </c>
      <c r="H3" s="0" t="n">
        <v>1</v>
      </c>
      <c r="I3" s="0" t="s">
        <v>32</v>
      </c>
      <c r="J3" s="0" t="s">
        <v>33</v>
      </c>
      <c r="K3" s="2" t="s">
        <v>34</v>
      </c>
      <c r="L3" s="0" t="n">
        <v>360</v>
      </c>
      <c r="M3" s="0" t="n">
        <v>1</v>
      </c>
      <c r="N3" s="3" t="n">
        <v>28</v>
      </c>
      <c r="O3" s="24" t="n">
        <f aca="false">N3*L3</f>
        <v>10080</v>
      </c>
      <c r="P3" s="0"/>
      <c r="Q3" s="0" t="n">
        <v>10</v>
      </c>
      <c r="S3" s="23" t="n">
        <v>24</v>
      </c>
      <c r="T3" s="23" t="n">
        <v>24</v>
      </c>
      <c r="U3" s="2" t="s">
        <v>124</v>
      </c>
      <c r="V3" s="0" t="n">
        <v>76</v>
      </c>
      <c r="W3" s="5" t="s">
        <v>58</v>
      </c>
      <c r="X3" s="25" t="s">
        <v>36</v>
      </c>
      <c r="Y3" s="25" t="s">
        <v>36</v>
      </c>
      <c r="Z3" s="26" t="n">
        <f aca="false">W3*(SQRT(Y3))</f>
        <v>11.3137084989848</v>
      </c>
      <c r="AA3" s="4"/>
      <c r="AB3" s="5" t="s">
        <v>484</v>
      </c>
      <c r="AC3" s="5" t="s">
        <v>485</v>
      </c>
      <c r="AD3" s="25" t="s">
        <v>36</v>
      </c>
      <c r="AE3" s="25" t="s">
        <v>36</v>
      </c>
      <c r="AF3" s="26" t="n">
        <f aca="false">AC3*(SQRT(AE3))</f>
        <v>15.2735064736294</v>
      </c>
      <c r="AG3" s="0"/>
      <c r="AH3" s="0"/>
      <c r="AI3" s="0"/>
      <c r="AJ3" s="0"/>
      <c r="AK3" s="0"/>
      <c r="AL3" s="0"/>
      <c r="AM3" s="0"/>
      <c r="AN3" s="0"/>
      <c r="AO3" s="0"/>
      <c r="AP3" s="0"/>
      <c r="AQ3" s="0"/>
      <c r="AR3" s="0"/>
      <c r="AS3" s="0"/>
      <c r="AT3" s="0"/>
      <c r="AU3" s="0"/>
      <c r="AV3" s="0"/>
      <c r="AW3" s="0"/>
      <c r="AX3" s="0"/>
      <c r="AY3" s="0"/>
      <c r="AZ3" s="0"/>
      <c r="BA3" s="0"/>
      <c r="BB3" s="0"/>
      <c r="BC3" s="0"/>
      <c r="BD3" s="0"/>
      <c r="BE3" s="0"/>
      <c r="BF3" s="0"/>
      <c r="BG3" s="0"/>
      <c r="BH3" s="0"/>
      <c r="BI3" s="0"/>
      <c r="BJ3" s="0"/>
      <c r="BK3" s="0"/>
      <c r="BL3" s="0"/>
      <c r="BM3" s="0"/>
      <c r="BN3" s="0"/>
      <c r="BO3" s="0"/>
      <c r="BP3" s="0"/>
      <c r="BQ3" s="0"/>
      <c r="BR3" s="0"/>
      <c r="BS3" s="0"/>
      <c r="BT3" s="0"/>
      <c r="BU3" s="0"/>
      <c r="BV3" s="0"/>
      <c r="BW3" s="0"/>
      <c r="BX3" s="0"/>
      <c r="BY3" s="0"/>
      <c r="BZ3" s="0"/>
      <c r="CA3" s="0"/>
      <c r="CB3" s="0"/>
      <c r="CC3" s="0"/>
      <c r="CD3" s="0"/>
      <c r="CE3" s="0"/>
      <c r="CF3" s="0"/>
      <c r="CG3" s="0"/>
      <c r="CH3" s="0"/>
      <c r="CI3" s="0"/>
      <c r="CJ3" s="0"/>
      <c r="CK3" s="0"/>
      <c r="CL3" s="0"/>
      <c r="CM3" s="0"/>
      <c r="CN3" s="0"/>
      <c r="CO3" s="0"/>
      <c r="CP3" s="0"/>
      <c r="CQ3" s="0"/>
      <c r="CR3" s="0"/>
      <c r="CS3" s="0"/>
      <c r="CT3" s="0"/>
      <c r="CU3" s="0"/>
      <c r="CV3" s="0"/>
      <c r="CW3" s="0"/>
      <c r="CX3" s="0"/>
      <c r="CY3" s="0"/>
      <c r="CZ3" s="0"/>
      <c r="DA3" s="0"/>
      <c r="DB3" s="0"/>
      <c r="DC3" s="0"/>
      <c r="DD3" s="0"/>
      <c r="DE3" s="0"/>
      <c r="DF3" s="0"/>
      <c r="DG3" s="0"/>
      <c r="DH3" s="0"/>
      <c r="DI3" s="0"/>
      <c r="DJ3" s="0"/>
      <c r="DK3" s="0"/>
      <c r="DL3" s="0"/>
      <c r="DM3" s="0"/>
      <c r="DN3" s="0"/>
      <c r="DO3" s="0"/>
      <c r="DP3" s="0"/>
      <c r="DQ3" s="0"/>
      <c r="DR3" s="0"/>
      <c r="DS3" s="0"/>
      <c r="DT3" s="0"/>
      <c r="DU3" s="0"/>
      <c r="DV3" s="0"/>
      <c r="DW3" s="0"/>
      <c r="DX3" s="0"/>
      <c r="DY3" s="0"/>
      <c r="DZ3" s="0"/>
      <c r="EA3" s="0"/>
      <c r="EB3" s="0"/>
      <c r="EC3" s="0"/>
      <c r="ED3" s="0"/>
      <c r="EE3" s="0"/>
      <c r="EF3" s="0"/>
      <c r="EG3" s="0"/>
      <c r="EH3" s="0"/>
      <c r="EI3" s="0"/>
      <c r="EJ3" s="0"/>
      <c r="EK3" s="0"/>
      <c r="EL3" s="0"/>
      <c r="EM3" s="0"/>
      <c r="EN3" s="0"/>
      <c r="EO3" s="0"/>
      <c r="EP3" s="0"/>
      <c r="EQ3" s="0"/>
      <c r="ER3" s="0"/>
      <c r="ES3" s="0"/>
      <c r="ET3" s="0"/>
      <c r="EU3" s="0"/>
      <c r="EV3" s="0"/>
      <c r="EW3" s="0"/>
      <c r="EX3" s="0"/>
      <c r="EY3" s="0"/>
      <c r="EZ3" s="0"/>
      <c r="FA3" s="0"/>
      <c r="FB3" s="0"/>
      <c r="FC3" s="0"/>
      <c r="FD3" s="0"/>
      <c r="FE3" s="0"/>
      <c r="FF3" s="0"/>
      <c r="FG3" s="0"/>
      <c r="FH3" s="0"/>
      <c r="FI3" s="0"/>
      <c r="FJ3" s="0"/>
      <c r="FK3" s="0"/>
      <c r="FL3" s="0"/>
      <c r="FM3" s="0"/>
      <c r="FN3" s="0"/>
      <c r="FO3" s="0"/>
      <c r="FP3" s="0"/>
      <c r="FQ3" s="0"/>
      <c r="FR3" s="0"/>
      <c r="FS3" s="0"/>
      <c r="FT3" s="0"/>
      <c r="FU3" s="0"/>
      <c r="FV3" s="0"/>
      <c r="FW3" s="0"/>
      <c r="FX3" s="0"/>
      <c r="FY3" s="0"/>
      <c r="FZ3" s="0"/>
      <c r="GA3" s="0"/>
      <c r="GB3" s="0"/>
      <c r="GC3" s="0"/>
      <c r="GD3" s="0"/>
      <c r="GE3" s="0"/>
      <c r="GF3" s="0"/>
      <c r="GG3" s="0"/>
      <c r="GH3" s="0"/>
      <c r="GI3" s="0"/>
      <c r="GJ3" s="0"/>
      <c r="GK3" s="0"/>
      <c r="GL3" s="0"/>
      <c r="GM3" s="0"/>
      <c r="GN3" s="0"/>
      <c r="GO3" s="0"/>
      <c r="GP3" s="0"/>
      <c r="GQ3" s="0"/>
      <c r="GR3" s="0"/>
      <c r="GS3" s="0"/>
      <c r="GT3" s="0"/>
      <c r="GU3" s="0"/>
      <c r="GV3" s="0"/>
      <c r="GW3" s="0"/>
      <c r="GX3" s="0"/>
      <c r="GY3" s="0"/>
      <c r="GZ3" s="0"/>
      <c r="HA3" s="0"/>
      <c r="HB3" s="0"/>
      <c r="HC3" s="0"/>
      <c r="HD3" s="0"/>
      <c r="HE3" s="0"/>
      <c r="HF3" s="0"/>
      <c r="HG3" s="0"/>
      <c r="HH3" s="0"/>
      <c r="HI3" s="0"/>
      <c r="HJ3" s="0"/>
      <c r="HK3" s="0"/>
      <c r="HL3" s="0"/>
      <c r="HM3" s="0"/>
      <c r="HN3" s="0"/>
      <c r="HO3" s="0"/>
      <c r="HP3" s="0"/>
      <c r="HQ3" s="0"/>
      <c r="HR3" s="0"/>
      <c r="HS3" s="0"/>
      <c r="HT3" s="0"/>
      <c r="HU3" s="0"/>
      <c r="HV3" s="0"/>
      <c r="HW3" s="0"/>
      <c r="HX3" s="0"/>
      <c r="HY3" s="0"/>
      <c r="HZ3" s="0"/>
      <c r="IA3" s="0"/>
      <c r="IB3" s="0"/>
      <c r="IC3" s="0"/>
      <c r="ID3" s="0"/>
      <c r="IE3" s="0"/>
      <c r="IF3" s="0"/>
      <c r="IG3" s="0"/>
      <c r="IH3" s="0"/>
      <c r="II3" s="0"/>
      <c r="IJ3" s="0"/>
      <c r="IK3" s="0"/>
      <c r="IL3" s="0"/>
      <c r="IM3" s="0"/>
      <c r="IN3" s="0"/>
      <c r="IO3" s="0"/>
      <c r="IP3" s="0"/>
      <c r="IQ3" s="0"/>
      <c r="IR3" s="0"/>
      <c r="IS3" s="0"/>
      <c r="IT3" s="0"/>
      <c r="IU3" s="0"/>
      <c r="IV3" s="0"/>
      <c r="IW3" s="0"/>
      <c r="IX3" s="0"/>
      <c r="IY3" s="0"/>
      <c r="IZ3" s="0"/>
      <c r="JA3" s="0"/>
      <c r="JB3" s="0"/>
      <c r="JC3" s="0"/>
      <c r="JD3" s="0"/>
      <c r="JE3" s="0"/>
      <c r="JF3" s="0"/>
      <c r="JG3" s="0"/>
      <c r="JH3" s="0"/>
      <c r="JI3" s="0"/>
      <c r="JJ3" s="0"/>
      <c r="JK3" s="0"/>
      <c r="JL3" s="0"/>
      <c r="JM3" s="0"/>
      <c r="JN3" s="0"/>
      <c r="JO3" s="0"/>
      <c r="JP3" s="0"/>
      <c r="JQ3" s="0"/>
      <c r="JR3" s="0"/>
      <c r="JS3" s="0"/>
      <c r="JT3" s="0"/>
      <c r="JU3" s="0"/>
      <c r="JV3" s="0"/>
      <c r="JW3" s="0"/>
      <c r="JX3" s="0"/>
      <c r="JY3" s="0"/>
      <c r="JZ3" s="0"/>
      <c r="KA3" s="0"/>
      <c r="KB3" s="0"/>
      <c r="KC3" s="0"/>
      <c r="KD3" s="0"/>
      <c r="KE3" s="0"/>
      <c r="KF3" s="0"/>
      <c r="KG3" s="0"/>
      <c r="KH3" s="0"/>
      <c r="KI3" s="0"/>
      <c r="KJ3" s="0"/>
      <c r="KK3" s="0"/>
      <c r="KL3" s="0"/>
      <c r="KM3" s="0"/>
      <c r="KN3" s="0"/>
      <c r="KO3" s="0"/>
      <c r="KP3" s="0"/>
      <c r="KQ3" s="0"/>
      <c r="KR3" s="0"/>
      <c r="KS3" s="0"/>
      <c r="KT3" s="0"/>
      <c r="KU3" s="0"/>
      <c r="KV3" s="0"/>
      <c r="KW3" s="0"/>
      <c r="KX3" s="0"/>
      <c r="KY3" s="0"/>
      <c r="KZ3" s="0"/>
      <c r="LA3" s="0"/>
      <c r="LB3" s="0"/>
      <c r="LC3" s="0"/>
      <c r="LD3" s="0"/>
      <c r="LE3" s="0"/>
      <c r="LF3" s="0"/>
      <c r="LG3" s="0"/>
      <c r="LH3" s="0"/>
      <c r="LI3" s="0"/>
      <c r="LJ3" s="0"/>
      <c r="LK3" s="0"/>
      <c r="LL3" s="0"/>
      <c r="LM3" s="0"/>
      <c r="LN3" s="0"/>
      <c r="LO3" s="0"/>
      <c r="LP3" s="0"/>
      <c r="LQ3" s="0"/>
      <c r="LR3" s="0"/>
      <c r="LS3" s="0"/>
      <c r="LT3" s="0"/>
      <c r="LU3" s="0"/>
      <c r="LV3" s="0"/>
      <c r="LW3" s="0"/>
      <c r="LX3" s="0"/>
      <c r="LY3" s="0"/>
      <c r="LZ3" s="0"/>
      <c r="MA3" s="0"/>
      <c r="MB3" s="0"/>
      <c r="MC3" s="0"/>
      <c r="MD3" s="0"/>
      <c r="ME3" s="0"/>
      <c r="MF3" s="0"/>
      <c r="MG3" s="0"/>
      <c r="MH3" s="0"/>
      <c r="MI3" s="0"/>
      <c r="MJ3" s="0"/>
      <c r="MK3" s="0"/>
      <c r="ML3" s="0"/>
      <c r="MM3" s="0"/>
      <c r="MN3" s="0"/>
      <c r="MO3" s="0"/>
      <c r="MP3" s="0"/>
      <c r="MQ3" s="0"/>
      <c r="MR3" s="0"/>
      <c r="MS3" s="0"/>
      <c r="MT3" s="0"/>
      <c r="MU3" s="0"/>
      <c r="MV3" s="0"/>
      <c r="MW3" s="0"/>
      <c r="MX3" s="0"/>
      <c r="MY3" s="0"/>
      <c r="MZ3" s="0"/>
      <c r="NA3" s="0"/>
      <c r="NB3" s="0"/>
      <c r="NC3" s="0"/>
      <c r="ND3" s="0"/>
      <c r="NE3" s="0"/>
      <c r="NF3" s="0"/>
      <c r="NG3" s="0"/>
      <c r="NH3" s="0"/>
      <c r="NI3" s="0"/>
      <c r="NJ3" s="0"/>
      <c r="NK3" s="0"/>
      <c r="NL3" s="0"/>
      <c r="NM3" s="0"/>
      <c r="NN3" s="0"/>
      <c r="NO3" s="0"/>
      <c r="NP3" s="0"/>
      <c r="NQ3" s="0"/>
      <c r="NR3" s="0"/>
      <c r="NS3" s="0"/>
      <c r="NT3" s="0"/>
      <c r="NU3" s="0"/>
      <c r="NV3" s="0"/>
      <c r="NW3" s="0"/>
      <c r="NX3" s="0"/>
      <c r="NY3" s="0"/>
      <c r="NZ3" s="0"/>
      <c r="OA3" s="0"/>
      <c r="OB3" s="0"/>
      <c r="OC3" s="0"/>
      <c r="OD3" s="0"/>
      <c r="OE3" s="0"/>
      <c r="OF3" s="0"/>
      <c r="OG3" s="0"/>
      <c r="OH3" s="0"/>
      <c r="OI3" s="0"/>
      <c r="OJ3" s="0"/>
      <c r="OK3" s="0"/>
      <c r="OL3" s="0"/>
      <c r="OM3" s="0"/>
      <c r="ON3" s="0"/>
      <c r="OO3" s="0"/>
      <c r="OP3" s="0"/>
      <c r="OQ3" s="0"/>
      <c r="OR3" s="0"/>
      <c r="OS3" s="0"/>
      <c r="OT3" s="0"/>
      <c r="OU3" s="0"/>
      <c r="OV3" s="0"/>
      <c r="OW3" s="0"/>
      <c r="OX3" s="0"/>
      <c r="OY3" s="0"/>
      <c r="OZ3" s="0"/>
      <c r="PA3" s="0"/>
      <c r="PB3" s="0"/>
      <c r="PC3" s="0"/>
      <c r="PD3" s="0"/>
      <c r="PE3" s="0"/>
      <c r="PF3" s="0"/>
      <c r="PG3" s="0"/>
      <c r="PH3" s="0"/>
      <c r="PI3" s="0"/>
      <c r="PJ3" s="0"/>
      <c r="PK3" s="0"/>
      <c r="PL3" s="0"/>
      <c r="PM3" s="0"/>
      <c r="PN3" s="0"/>
      <c r="PO3" s="0"/>
      <c r="PP3" s="0"/>
      <c r="PQ3" s="0"/>
      <c r="PR3" s="0"/>
      <c r="PS3" s="0"/>
      <c r="PT3" s="0"/>
      <c r="PU3" s="0"/>
      <c r="PV3" s="0"/>
      <c r="PW3" s="0"/>
      <c r="PX3" s="0"/>
      <c r="PY3" s="0"/>
      <c r="PZ3" s="0"/>
      <c r="QA3" s="0"/>
      <c r="QB3" s="0"/>
      <c r="QC3" s="0"/>
      <c r="QD3" s="0"/>
      <c r="QE3" s="0"/>
      <c r="QF3" s="0"/>
      <c r="QG3" s="0"/>
      <c r="QH3" s="0"/>
      <c r="QI3" s="0"/>
      <c r="QJ3" s="0"/>
      <c r="QK3" s="0"/>
      <c r="QL3" s="0"/>
      <c r="QM3" s="0"/>
      <c r="QN3" s="0"/>
      <c r="QO3" s="0"/>
      <c r="QP3" s="0"/>
      <c r="QQ3" s="0"/>
      <c r="QR3" s="0"/>
      <c r="QS3" s="0"/>
      <c r="QT3" s="0"/>
      <c r="QU3" s="0"/>
      <c r="QV3" s="0"/>
      <c r="QW3" s="0"/>
      <c r="QX3" s="0"/>
      <c r="QY3" s="0"/>
      <c r="QZ3" s="0"/>
      <c r="RA3" s="0"/>
      <c r="RB3" s="0"/>
      <c r="RC3" s="0"/>
      <c r="RD3" s="0"/>
      <c r="RE3" s="0"/>
      <c r="RF3" s="0"/>
      <c r="RG3" s="0"/>
      <c r="RH3" s="0"/>
      <c r="RI3" s="0"/>
      <c r="RJ3" s="0"/>
      <c r="RK3" s="0"/>
      <c r="RL3" s="0"/>
      <c r="RM3" s="0"/>
      <c r="RN3" s="0"/>
      <c r="RO3" s="0"/>
      <c r="RP3" s="0"/>
      <c r="RQ3" s="0"/>
      <c r="RR3" s="0"/>
      <c r="RS3" s="0"/>
      <c r="RT3" s="0"/>
      <c r="RU3" s="0"/>
      <c r="RV3" s="0"/>
      <c r="RW3" s="0"/>
      <c r="RX3" s="0"/>
      <c r="RY3" s="0"/>
      <c r="RZ3" s="0"/>
      <c r="SA3" s="0"/>
      <c r="SB3" s="0"/>
      <c r="SC3" s="0"/>
      <c r="SD3" s="0"/>
      <c r="SE3" s="0"/>
      <c r="SF3" s="0"/>
      <c r="SG3" s="0"/>
      <c r="SH3" s="0"/>
      <c r="SI3" s="0"/>
      <c r="SJ3" s="0"/>
      <c r="SK3" s="0"/>
      <c r="SL3" s="0"/>
      <c r="SM3" s="0"/>
      <c r="SN3" s="0"/>
      <c r="SO3" s="0"/>
      <c r="SP3" s="0"/>
      <c r="SQ3" s="0"/>
      <c r="SR3" s="0"/>
      <c r="SS3" s="0"/>
      <c r="ST3" s="0"/>
      <c r="SU3" s="0"/>
      <c r="SV3" s="0"/>
      <c r="SW3" s="0"/>
      <c r="SX3" s="0"/>
      <c r="SY3" s="0"/>
      <c r="SZ3" s="0"/>
      <c r="TA3" s="0"/>
      <c r="TB3" s="0"/>
      <c r="TC3" s="0"/>
      <c r="TD3" s="0"/>
      <c r="TE3" s="0"/>
      <c r="TF3" s="0"/>
      <c r="TG3" s="0"/>
      <c r="TH3" s="0"/>
      <c r="TI3" s="0"/>
      <c r="TJ3" s="0"/>
      <c r="TK3" s="0"/>
      <c r="TL3" s="0"/>
      <c r="TM3" s="0"/>
      <c r="TN3" s="0"/>
      <c r="TO3" s="0"/>
      <c r="TP3" s="0"/>
      <c r="TQ3" s="0"/>
      <c r="TR3" s="0"/>
      <c r="TS3" s="0"/>
      <c r="TT3" s="0"/>
      <c r="TU3" s="0"/>
      <c r="TV3" s="0"/>
      <c r="TW3" s="0"/>
      <c r="TX3" s="0"/>
      <c r="TY3" s="0"/>
      <c r="TZ3" s="0"/>
      <c r="UA3" s="0"/>
      <c r="UB3" s="0"/>
      <c r="UC3" s="0"/>
      <c r="UD3" s="0"/>
      <c r="UE3" s="0"/>
      <c r="UF3" s="0"/>
      <c r="UG3" s="0"/>
      <c r="UH3" s="0"/>
      <c r="UI3" s="0"/>
      <c r="UJ3" s="0"/>
      <c r="UK3" s="0"/>
      <c r="UL3" s="0"/>
      <c r="UM3" s="0"/>
      <c r="UN3" s="0"/>
      <c r="UO3" s="0"/>
      <c r="UP3" s="0"/>
      <c r="UQ3" s="0"/>
      <c r="UR3" s="0"/>
      <c r="US3" s="0"/>
      <c r="UT3" s="0"/>
      <c r="UU3" s="0"/>
      <c r="UV3" s="0"/>
      <c r="UW3" s="0"/>
      <c r="UX3" s="0"/>
      <c r="UY3" s="0"/>
      <c r="UZ3" s="0"/>
      <c r="VA3" s="0"/>
      <c r="VB3" s="0"/>
      <c r="VC3" s="0"/>
      <c r="VD3" s="0"/>
      <c r="VE3" s="0"/>
      <c r="VF3" s="0"/>
      <c r="VG3" s="0"/>
      <c r="VH3" s="0"/>
      <c r="VI3" s="0"/>
      <c r="VJ3" s="0"/>
      <c r="VK3" s="0"/>
      <c r="VL3" s="0"/>
      <c r="VM3" s="0"/>
      <c r="VN3" s="0"/>
      <c r="VO3" s="0"/>
      <c r="VP3" s="0"/>
      <c r="VQ3" s="0"/>
      <c r="VR3" s="0"/>
      <c r="VS3" s="0"/>
      <c r="VT3" s="0"/>
      <c r="VU3" s="0"/>
      <c r="VV3" s="0"/>
      <c r="VW3" s="0"/>
      <c r="VX3" s="0"/>
      <c r="VY3" s="0"/>
      <c r="VZ3" s="0"/>
      <c r="WA3" s="0"/>
      <c r="WB3" s="0"/>
      <c r="WC3" s="0"/>
      <c r="WD3" s="0"/>
      <c r="WE3" s="0"/>
      <c r="WF3" s="0"/>
      <c r="WG3" s="0"/>
      <c r="WH3" s="0"/>
      <c r="WI3" s="0"/>
      <c r="WJ3" s="0"/>
      <c r="WK3" s="0"/>
      <c r="WL3" s="0"/>
      <c r="WM3" s="0"/>
      <c r="WN3" s="0"/>
      <c r="WO3" s="0"/>
      <c r="WP3" s="0"/>
      <c r="WQ3" s="0"/>
      <c r="WR3" s="0"/>
      <c r="WS3" s="0"/>
      <c r="WT3" s="0"/>
      <c r="WU3" s="0"/>
      <c r="WV3" s="0"/>
      <c r="WW3" s="0"/>
      <c r="WX3" s="0"/>
      <c r="WY3" s="0"/>
      <c r="WZ3" s="0"/>
      <c r="XA3" s="0"/>
      <c r="XB3" s="0"/>
      <c r="XC3" s="0"/>
      <c r="XD3" s="0"/>
      <c r="XE3" s="0"/>
      <c r="XF3" s="0"/>
      <c r="XG3" s="0"/>
      <c r="XH3" s="0"/>
      <c r="XI3" s="0"/>
      <c r="XJ3" s="0"/>
      <c r="XK3" s="0"/>
      <c r="XL3" s="0"/>
      <c r="XM3" s="0"/>
      <c r="XN3" s="0"/>
      <c r="XO3" s="0"/>
      <c r="XP3" s="0"/>
      <c r="XQ3" s="0"/>
      <c r="XR3" s="0"/>
      <c r="XS3" s="0"/>
      <c r="XT3" s="0"/>
      <c r="XU3" s="0"/>
      <c r="XV3" s="0"/>
      <c r="XW3" s="0"/>
      <c r="XX3" s="0"/>
      <c r="XY3" s="0"/>
      <c r="XZ3" s="0"/>
      <c r="YA3" s="0"/>
      <c r="YB3" s="0"/>
      <c r="YC3" s="0"/>
      <c r="YD3" s="0"/>
      <c r="YE3" s="0"/>
      <c r="YF3" s="0"/>
      <c r="YG3" s="0"/>
      <c r="YH3" s="0"/>
      <c r="YI3" s="0"/>
      <c r="YJ3" s="0"/>
      <c r="YK3" s="0"/>
      <c r="YL3" s="0"/>
      <c r="YM3" s="0"/>
      <c r="YN3" s="0"/>
      <c r="YO3" s="0"/>
      <c r="YP3" s="0"/>
      <c r="YQ3" s="0"/>
      <c r="YR3" s="0"/>
      <c r="YS3" s="0"/>
      <c r="YT3" s="0"/>
      <c r="YU3" s="0"/>
      <c r="YV3" s="0"/>
      <c r="YW3" s="0"/>
      <c r="YX3" s="0"/>
      <c r="YY3" s="0"/>
      <c r="YZ3" s="0"/>
      <c r="ZA3" s="0"/>
      <c r="ZB3" s="0"/>
      <c r="ZC3" s="0"/>
      <c r="ZD3" s="0"/>
      <c r="ZE3" s="0"/>
      <c r="ZF3" s="0"/>
      <c r="ZG3" s="0"/>
      <c r="ZH3" s="0"/>
      <c r="ZI3" s="0"/>
      <c r="ZJ3" s="0"/>
      <c r="ZK3" s="0"/>
      <c r="ZL3" s="0"/>
      <c r="ZM3" s="0"/>
      <c r="ZN3" s="0"/>
      <c r="ZO3" s="0"/>
      <c r="ZP3" s="0"/>
      <c r="ZQ3" s="0"/>
      <c r="ZR3" s="0"/>
      <c r="ZS3" s="0"/>
      <c r="ZT3" s="0"/>
      <c r="ZU3" s="0"/>
      <c r="ZV3" s="0"/>
      <c r="ZW3" s="0"/>
      <c r="ZX3" s="0"/>
      <c r="ZY3" s="0"/>
      <c r="ZZ3" s="0"/>
      <c r="AAA3" s="0"/>
      <c r="AAB3" s="0"/>
      <c r="AAC3" s="0"/>
      <c r="AAD3" s="0"/>
      <c r="AAE3" s="0"/>
      <c r="AAF3" s="0"/>
      <c r="AAG3" s="0"/>
      <c r="AAH3" s="0"/>
      <c r="AAI3" s="0"/>
      <c r="AAJ3" s="0"/>
      <c r="AAK3" s="0"/>
      <c r="AAL3" s="0"/>
      <c r="AAM3" s="0"/>
      <c r="AAN3" s="0"/>
      <c r="AAO3" s="0"/>
      <c r="AAP3" s="0"/>
      <c r="AAQ3" s="0"/>
      <c r="AAR3" s="0"/>
      <c r="AAS3" s="0"/>
      <c r="AAT3" s="0"/>
      <c r="AAU3" s="0"/>
      <c r="AAV3" s="0"/>
      <c r="AAW3" s="0"/>
      <c r="AAX3" s="0"/>
      <c r="AAY3" s="0"/>
      <c r="AAZ3" s="0"/>
      <c r="ABA3" s="0"/>
      <c r="ABB3" s="0"/>
      <c r="ABC3" s="0"/>
      <c r="ABD3" s="0"/>
      <c r="ABE3" s="0"/>
      <c r="ABF3" s="0"/>
      <c r="ABG3" s="0"/>
      <c r="ABH3" s="0"/>
      <c r="ABI3" s="0"/>
      <c r="ABJ3" s="0"/>
      <c r="ABK3" s="0"/>
      <c r="ABL3" s="0"/>
      <c r="ABM3" s="0"/>
      <c r="ABN3" s="0"/>
      <c r="ABO3" s="0"/>
      <c r="ABP3" s="0"/>
      <c r="ABQ3" s="0"/>
      <c r="ABR3" s="0"/>
      <c r="ABS3" s="0"/>
      <c r="ABT3" s="0"/>
      <c r="ABU3" s="0"/>
      <c r="ABV3" s="0"/>
      <c r="ABW3" s="0"/>
      <c r="ABX3" s="0"/>
      <c r="ABY3" s="0"/>
      <c r="ABZ3" s="0"/>
      <c r="ACA3" s="0"/>
      <c r="ACB3" s="0"/>
      <c r="ACC3" s="0"/>
      <c r="ACD3" s="0"/>
      <c r="ACE3" s="0"/>
      <c r="ACF3" s="0"/>
      <c r="ACG3" s="0"/>
      <c r="ACH3" s="0"/>
      <c r="ACI3" s="0"/>
      <c r="ACJ3" s="0"/>
      <c r="ACK3" s="0"/>
      <c r="ACL3" s="0"/>
      <c r="ACM3" s="0"/>
      <c r="ACN3" s="0"/>
      <c r="ACO3" s="0"/>
      <c r="ACP3" s="0"/>
      <c r="ACQ3" s="0"/>
      <c r="ACR3" s="0"/>
      <c r="ACS3" s="0"/>
      <c r="ACT3" s="0"/>
      <c r="ACU3" s="0"/>
      <c r="ACV3" s="0"/>
      <c r="ACW3" s="0"/>
      <c r="ACX3" s="0"/>
      <c r="ACY3" s="0"/>
      <c r="ACZ3" s="0"/>
      <c r="ADA3" s="0"/>
      <c r="ADB3" s="0"/>
      <c r="ADC3" s="0"/>
      <c r="ADD3" s="0"/>
      <c r="ADE3" s="0"/>
      <c r="ADF3" s="0"/>
      <c r="ADG3" s="0"/>
      <c r="ADH3" s="0"/>
      <c r="ADI3" s="0"/>
      <c r="ADJ3" s="0"/>
      <c r="ADK3" s="0"/>
      <c r="ADL3" s="0"/>
      <c r="ADM3" s="0"/>
      <c r="ADN3" s="0"/>
      <c r="ADO3" s="0"/>
      <c r="ADP3" s="0"/>
      <c r="ADQ3" s="0"/>
      <c r="ADR3" s="0"/>
      <c r="ADS3" s="0"/>
      <c r="ADT3" s="0"/>
      <c r="ADU3" s="0"/>
      <c r="ADV3" s="0"/>
      <c r="ADW3" s="0"/>
      <c r="ADX3" s="0"/>
      <c r="ADY3" s="0"/>
      <c r="ADZ3" s="0"/>
      <c r="AEA3" s="0"/>
      <c r="AEB3" s="0"/>
      <c r="AEC3" s="0"/>
      <c r="AED3" s="0"/>
      <c r="AEE3" s="0"/>
      <c r="AEF3" s="0"/>
      <c r="AEG3" s="0"/>
      <c r="AEH3" s="0"/>
      <c r="AEI3" s="0"/>
      <c r="AEJ3" s="0"/>
      <c r="AEK3" s="0"/>
      <c r="AEL3" s="0"/>
      <c r="AEM3" s="0"/>
      <c r="AEN3" s="0"/>
      <c r="AEO3" s="0"/>
      <c r="AEP3" s="0"/>
      <c r="AEQ3" s="0"/>
      <c r="AER3" s="0"/>
      <c r="AES3" s="0"/>
      <c r="AET3" s="0"/>
      <c r="AEU3" s="0"/>
      <c r="AEV3" s="0"/>
      <c r="AEW3" s="0"/>
      <c r="AEX3" s="0"/>
      <c r="AEY3" s="0"/>
      <c r="AEZ3" s="0"/>
      <c r="AFA3" s="0"/>
      <c r="AFB3" s="0"/>
      <c r="AFC3" s="0"/>
      <c r="AFD3" s="0"/>
      <c r="AFE3" s="0"/>
      <c r="AFF3" s="0"/>
      <c r="AFG3" s="0"/>
      <c r="AFH3" s="0"/>
      <c r="AFI3" s="0"/>
      <c r="AFJ3" s="0"/>
      <c r="AFK3" s="0"/>
      <c r="AFL3" s="0"/>
      <c r="AFM3" s="0"/>
      <c r="AFN3" s="0"/>
      <c r="AFO3" s="0"/>
      <c r="AFP3" s="0"/>
      <c r="AFQ3" s="0"/>
      <c r="AFR3" s="0"/>
      <c r="AFS3" s="0"/>
      <c r="AFT3" s="0"/>
      <c r="AFU3" s="0"/>
      <c r="AFV3" s="0"/>
      <c r="AFW3" s="0"/>
      <c r="AFX3" s="0"/>
      <c r="AFY3" s="0"/>
      <c r="AFZ3" s="0"/>
      <c r="AGA3" s="0"/>
      <c r="AGB3" s="0"/>
      <c r="AGC3" s="0"/>
      <c r="AGD3" s="0"/>
      <c r="AGE3" s="0"/>
      <c r="AGF3" s="0"/>
      <c r="AGG3" s="0"/>
      <c r="AGH3" s="0"/>
      <c r="AGI3" s="0"/>
      <c r="AGJ3" s="0"/>
      <c r="AGK3" s="0"/>
      <c r="AGL3" s="0"/>
      <c r="AGM3" s="0"/>
      <c r="AGN3" s="0"/>
      <c r="AGO3" s="0"/>
      <c r="AGP3" s="0"/>
      <c r="AGQ3" s="0"/>
      <c r="AGR3" s="0"/>
      <c r="AGS3" s="0"/>
      <c r="AGT3" s="0"/>
      <c r="AGU3" s="0"/>
      <c r="AGV3" s="0"/>
      <c r="AGW3" s="0"/>
      <c r="AGX3" s="0"/>
      <c r="AGY3" s="0"/>
      <c r="AGZ3" s="0"/>
      <c r="AHA3" s="0"/>
      <c r="AHB3" s="0"/>
      <c r="AHC3" s="0"/>
      <c r="AHD3" s="0"/>
      <c r="AHE3" s="0"/>
      <c r="AHF3" s="0"/>
      <c r="AHG3" s="0"/>
      <c r="AHH3" s="0"/>
      <c r="AHI3" s="0"/>
      <c r="AHJ3" s="0"/>
      <c r="AHK3" s="0"/>
      <c r="AHL3" s="0"/>
      <c r="AHM3" s="0"/>
      <c r="AHN3" s="0"/>
      <c r="AHO3" s="0"/>
      <c r="AHP3" s="0"/>
      <c r="AHQ3" s="0"/>
      <c r="AHR3" s="0"/>
      <c r="AHS3" s="0"/>
      <c r="AHT3" s="0"/>
      <c r="AHU3" s="0"/>
      <c r="AHV3" s="0"/>
      <c r="AHW3" s="0"/>
      <c r="AHX3" s="0"/>
      <c r="AHY3" s="0"/>
      <c r="AHZ3" s="0"/>
      <c r="AIA3" s="0"/>
      <c r="AIB3" s="0"/>
      <c r="AIC3" s="0"/>
      <c r="AID3" s="0"/>
      <c r="AIE3" s="0"/>
      <c r="AIF3" s="0"/>
      <c r="AIG3" s="0"/>
      <c r="AIH3" s="0"/>
      <c r="AII3" s="0"/>
      <c r="AIJ3" s="0"/>
      <c r="AIK3" s="0"/>
      <c r="AIL3" s="0"/>
      <c r="AIM3" s="0"/>
      <c r="AIN3" s="0"/>
      <c r="AIO3" s="0"/>
      <c r="AIP3" s="0"/>
      <c r="AIQ3" s="0"/>
      <c r="AIR3" s="0"/>
      <c r="AIS3" s="0"/>
      <c r="AIT3" s="0"/>
      <c r="AIU3" s="0"/>
      <c r="AIV3" s="0"/>
      <c r="AIW3" s="0"/>
      <c r="AIX3" s="0"/>
      <c r="AIY3" s="0"/>
      <c r="AIZ3" s="0"/>
      <c r="AJA3" s="0"/>
      <c r="AJB3" s="0"/>
      <c r="AJC3" s="0"/>
      <c r="AJD3" s="0"/>
      <c r="AJE3" s="0"/>
      <c r="AJF3" s="0"/>
      <c r="AJG3" s="0"/>
      <c r="AJH3" s="0"/>
      <c r="AJI3" s="0"/>
      <c r="AJJ3" s="0"/>
      <c r="AJK3" s="0"/>
      <c r="AJL3" s="0"/>
      <c r="AJM3" s="0"/>
      <c r="AJN3" s="0"/>
      <c r="AJO3" s="0"/>
      <c r="AJP3" s="0"/>
      <c r="AJQ3" s="0"/>
      <c r="AJR3" s="0"/>
      <c r="AJS3" s="0"/>
      <c r="AJT3" s="0"/>
      <c r="AJU3" s="0"/>
      <c r="AJV3" s="0"/>
      <c r="AJW3" s="0"/>
      <c r="AJX3" s="0"/>
      <c r="AJY3" s="0"/>
      <c r="AJZ3" s="0"/>
      <c r="AKA3" s="0"/>
      <c r="AKB3" s="0"/>
      <c r="AKC3" s="0"/>
      <c r="AKD3" s="0"/>
      <c r="AKE3" s="0"/>
      <c r="AKF3" s="0"/>
      <c r="AKG3" s="0"/>
      <c r="AKH3" s="0"/>
      <c r="AKI3" s="0"/>
      <c r="AKJ3" s="0"/>
      <c r="AKK3" s="0"/>
      <c r="AKL3" s="0"/>
      <c r="AKM3" s="0"/>
      <c r="AKN3" s="0"/>
      <c r="AKO3" s="0"/>
      <c r="AKP3" s="0"/>
      <c r="AKQ3" s="0"/>
      <c r="AKR3" s="0"/>
      <c r="AKS3" s="0"/>
      <c r="AKT3" s="0"/>
      <c r="AKU3" s="0"/>
      <c r="AKV3" s="0"/>
      <c r="AKW3" s="0"/>
      <c r="AKX3" s="0"/>
      <c r="AKY3" s="0"/>
      <c r="AKZ3" s="0"/>
      <c r="ALA3" s="0"/>
      <c r="ALB3" s="0"/>
      <c r="ALC3" s="0"/>
      <c r="ALD3" s="0"/>
      <c r="ALE3" s="0"/>
      <c r="ALF3" s="0"/>
      <c r="ALG3" s="0"/>
      <c r="ALH3" s="0"/>
      <c r="ALI3" s="0"/>
      <c r="ALJ3" s="0"/>
      <c r="ALK3" s="0"/>
      <c r="ALL3" s="0"/>
      <c r="ALM3" s="0"/>
      <c r="ALN3" s="0"/>
      <c r="ALO3" s="0"/>
      <c r="ALP3" s="0"/>
      <c r="ALQ3" s="0"/>
      <c r="ALR3" s="0"/>
      <c r="ALS3" s="0"/>
      <c r="ALT3" s="0"/>
      <c r="ALU3" s="0"/>
      <c r="ALV3" s="0"/>
      <c r="ALW3" s="0"/>
      <c r="ALX3" s="0"/>
      <c r="ALY3" s="0"/>
      <c r="ALZ3" s="0"/>
      <c r="AMA3" s="0"/>
      <c r="AMB3" s="0"/>
      <c r="AMC3" s="0"/>
      <c r="AMD3" s="0"/>
      <c r="AME3" s="0"/>
      <c r="AMF3" s="0"/>
      <c r="AMG3" s="0"/>
      <c r="AMH3" s="0"/>
      <c r="AMI3" s="0"/>
      <c r="AMJ3" s="0"/>
      <c r="AMK3" s="0"/>
      <c r="AML3" s="0"/>
      <c r="AMM3" s="0"/>
      <c r="AMN3" s="0"/>
      <c r="AMO3" s="0"/>
      <c r="AMP3" s="0"/>
      <c r="AMQ3" s="0"/>
      <c r="AMR3" s="0"/>
      <c r="AMS3" s="0"/>
      <c r="AMT3" s="0"/>
      <c r="AMU3" s="0"/>
      <c r="AMV3" s="0"/>
      <c r="AMW3" s="0"/>
      <c r="AMX3" s="0"/>
      <c r="AMY3" s="0"/>
      <c r="AMZ3" s="0"/>
      <c r="ANA3" s="0"/>
      <c r="ANB3" s="0"/>
      <c r="ANC3" s="0"/>
      <c r="AND3" s="0"/>
      <c r="ANE3" s="0"/>
      <c r="ANF3" s="0"/>
      <c r="ANG3" s="0"/>
      <c r="ANH3" s="0"/>
      <c r="ANI3" s="0"/>
      <c r="ANJ3" s="0"/>
      <c r="ANK3" s="0"/>
      <c r="ANL3" s="0"/>
      <c r="ANM3" s="0"/>
      <c r="ANN3" s="0"/>
      <c r="ANO3" s="0"/>
      <c r="ANP3" s="0"/>
      <c r="ANQ3" s="0"/>
      <c r="ANR3" s="0"/>
      <c r="ANS3" s="0"/>
      <c r="ANT3" s="0"/>
      <c r="ANU3" s="0"/>
      <c r="ANV3" s="0"/>
      <c r="ANW3" s="0"/>
      <c r="ANX3" s="0"/>
      <c r="ANY3" s="0"/>
      <c r="ANZ3" s="0"/>
      <c r="AOA3" s="0"/>
      <c r="AOB3" s="0"/>
      <c r="AOC3" s="0"/>
      <c r="AOD3" s="0"/>
      <c r="AOE3" s="0"/>
      <c r="AOF3" s="0"/>
      <c r="AOG3" s="0"/>
      <c r="AOH3" s="0"/>
      <c r="AOI3" s="0"/>
      <c r="AOJ3" s="0"/>
      <c r="AOK3" s="0"/>
      <c r="AOL3" s="0"/>
      <c r="AOM3" s="0"/>
      <c r="AON3" s="0"/>
      <c r="AOO3" s="0"/>
      <c r="AOP3" s="0"/>
      <c r="AOQ3" s="0"/>
      <c r="AOR3" s="0"/>
      <c r="AOS3" s="0"/>
      <c r="AOT3" s="0"/>
      <c r="AOU3" s="0"/>
      <c r="AOV3" s="0"/>
      <c r="AOW3" s="0"/>
      <c r="AOX3" s="0"/>
      <c r="AOY3" s="0"/>
      <c r="AOZ3" s="0"/>
      <c r="APA3" s="0"/>
      <c r="APB3" s="0"/>
      <c r="APC3" s="0"/>
      <c r="APD3" s="0"/>
      <c r="APE3" s="0"/>
      <c r="APF3" s="0"/>
      <c r="APG3" s="0"/>
      <c r="APH3" s="0"/>
      <c r="API3" s="0"/>
      <c r="APJ3" s="0"/>
      <c r="APK3" s="0"/>
      <c r="APL3" s="0"/>
      <c r="APM3" s="0"/>
      <c r="APN3" s="0"/>
      <c r="APO3" s="0"/>
      <c r="APP3" s="0"/>
      <c r="APQ3" s="0"/>
      <c r="APR3" s="0"/>
      <c r="APS3" s="0"/>
      <c r="APT3" s="0"/>
      <c r="APU3" s="0"/>
      <c r="APV3" s="0"/>
      <c r="APW3" s="0"/>
      <c r="APX3" s="0"/>
      <c r="APY3" s="0"/>
      <c r="APZ3" s="0"/>
      <c r="AQA3" s="0"/>
      <c r="AQB3" s="0"/>
      <c r="AQC3" s="0"/>
      <c r="AQD3" s="0"/>
      <c r="AQE3" s="0"/>
      <c r="AQF3" s="0"/>
      <c r="AQG3" s="0"/>
      <c r="AQH3" s="0"/>
      <c r="AQI3" s="0"/>
      <c r="AQJ3" s="0"/>
      <c r="AQK3" s="0"/>
      <c r="AQL3" s="0"/>
      <c r="AQM3" s="0"/>
      <c r="AQN3" s="0"/>
      <c r="AQO3" s="0"/>
      <c r="AQP3" s="0"/>
      <c r="AQQ3" s="0"/>
      <c r="AQR3" s="0"/>
      <c r="AQS3" s="0"/>
      <c r="AQT3" s="0"/>
      <c r="AQU3" s="0"/>
      <c r="AQV3" s="0"/>
      <c r="AQW3" s="0"/>
      <c r="AQX3" s="0"/>
      <c r="AQY3" s="0"/>
      <c r="AQZ3" s="0"/>
      <c r="ARA3" s="0"/>
      <c r="ARB3" s="0"/>
      <c r="ARC3" s="0"/>
      <c r="ARD3" s="0"/>
      <c r="ARE3" s="0"/>
      <c r="ARF3" s="0"/>
      <c r="ARG3" s="0"/>
      <c r="ARH3" s="0"/>
      <c r="ARI3" s="0"/>
      <c r="ARJ3" s="0"/>
      <c r="ARK3" s="0"/>
      <c r="ARL3" s="0"/>
      <c r="ARM3" s="0"/>
      <c r="ARN3" s="0"/>
      <c r="ARO3" s="0"/>
      <c r="ARP3" s="0"/>
      <c r="ARQ3" s="0"/>
      <c r="ARR3" s="0"/>
      <c r="ARS3" s="0"/>
      <c r="ART3" s="0"/>
      <c r="ARU3" s="0"/>
      <c r="ARV3" s="0"/>
      <c r="ARW3" s="0"/>
      <c r="ARX3" s="0"/>
      <c r="ARY3" s="0"/>
      <c r="ARZ3" s="0"/>
      <c r="ASA3" s="0"/>
      <c r="ASB3" s="0"/>
      <c r="ASC3" s="0"/>
      <c r="ASD3" s="0"/>
      <c r="ASE3" s="0"/>
      <c r="ASF3" s="0"/>
      <c r="ASG3" s="0"/>
      <c r="ASH3" s="0"/>
      <c r="ASI3" s="0"/>
      <c r="ASJ3" s="0"/>
      <c r="ASK3" s="0"/>
      <c r="ASL3" s="0"/>
      <c r="ASM3" s="0"/>
      <c r="ASN3" s="0"/>
      <c r="ASO3" s="0"/>
      <c r="ASP3" s="0"/>
      <c r="ASQ3" s="0"/>
      <c r="ASR3" s="0"/>
      <c r="ASS3" s="0"/>
      <c r="AST3" s="0"/>
      <c r="ASU3" s="0"/>
      <c r="ASV3" s="0"/>
      <c r="ASW3" s="0"/>
      <c r="ASX3" s="0"/>
      <c r="ASY3" s="0"/>
      <c r="ASZ3" s="0"/>
      <c r="ATA3" s="0"/>
      <c r="ATB3" s="0"/>
      <c r="ATC3" s="0"/>
      <c r="ATD3" s="0"/>
      <c r="ATE3" s="0"/>
      <c r="ATF3" s="0"/>
      <c r="ATG3" s="0"/>
      <c r="ATH3" s="0"/>
      <c r="ATI3" s="0"/>
      <c r="ATJ3" s="0"/>
      <c r="ATK3" s="0"/>
      <c r="ATL3" s="0"/>
      <c r="ATM3" s="0"/>
      <c r="ATN3" s="0"/>
      <c r="ATO3" s="0"/>
      <c r="ATP3" s="0"/>
      <c r="ATQ3" s="0"/>
      <c r="ATR3" s="0"/>
      <c r="ATS3" s="0"/>
      <c r="ATT3" s="0"/>
      <c r="ATU3" s="0"/>
      <c r="ATV3" s="0"/>
      <c r="ATW3" s="0"/>
      <c r="ATX3" s="0"/>
      <c r="ATY3" s="0"/>
      <c r="ATZ3" s="0"/>
      <c r="AUA3" s="0"/>
      <c r="AUB3" s="0"/>
      <c r="AUC3" s="0"/>
      <c r="AUD3" s="0"/>
      <c r="AUE3" s="0"/>
      <c r="AUF3" s="0"/>
      <c r="AUG3" s="0"/>
      <c r="AUH3" s="0"/>
      <c r="AUI3" s="0"/>
      <c r="AUJ3" s="0"/>
      <c r="AUK3" s="0"/>
      <c r="AUL3" s="0"/>
      <c r="AUM3" s="0"/>
      <c r="AUN3" s="0"/>
      <c r="AUO3" s="0"/>
      <c r="AUP3" s="0"/>
      <c r="AUQ3" s="0"/>
      <c r="AUR3" s="0"/>
      <c r="AUS3" s="0"/>
      <c r="AUT3" s="0"/>
      <c r="AUU3" s="0"/>
      <c r="AUV3" s="0"/>
      <c r="AUW3" s="0"/>
      <c r="AUX3" s="0"/>
      <c r="AUY3" s="0"/>
      <c r="AUZ3" s="0"/>
      <c r="AVA3" s="0"/>
      <c r="AVB3" s="0"/>
      <c r="AVC3" s="0"/>
      <c r="AVD3" s="0"/>
      <c r="AVE3" s="0"/>
      <c r="AVF3" s="0"/>
      <c r="AVG3" s="0"/>
      <c r="AVH3" s="0"/>
      <c r="AVI3" s="0"/>
      <c r="AVJ3" s="0"/>
      <c r="AVK3" s="0"/>
      <c r="AVL3" s="0"/>
      <c r="AVM3" s="0"/>
      <c r="AVN3" s="0"/>
      <c r="AVO3" s="0"/>
      <c r="AVP3" s="0"/>
      <c r="AVQ3" s="0"/>
      <c r="AVR3" s="0"/>
      <c r="AVS3" s="0"/>
      <c r="AVT3" s="0"/>
      <c r="AVU3" s="0"/>
      <c r="AVV3" s="0"/>
      <c r="AVW3" s="0"/>
      <c r="AVX3" s="0"/>
      <c r="AVY3" s="0"/>
      <c r="AVZ3" s="0"/>
      <c r="AWA3" s="0"/>
      <c r="AWB3" s="0"/>
      <c r="AWC3" s="0"/>
      <c r="AWD3" s="0"/>
      <c r="AWE3" s="0"/>
      <c r="AWF3" s="0"/>
      <c r="AWG3" s="0"/>
      <c r="AWH3" s="0"/>
      <c r="AWI3" s="0"/>
      <c r="AWJ3" s="0"/>
      <c r="AWK3" s="0"/>
      <c r="AWL3" s="0"/>
      <c r="AWM3" s="0"/>
      <c r="AWN3" s="0"/>
      <c r="AWO3" s="0"/>
      <c r="AWP3" s="0"/>
      <c r="AWQ3" s="0"/>
      <c r="AWR3" s="0"/>
      <c r="AWS3" s="0"/>
      <c r="AWT3" s="0"/>
      <c r="AWU3" s="0"/>
      <c r="AWV3" s="0"/>
      <c r="AWW3" s="0"/>
      <c r="AWX3" s="0"/>
      <c r="AWY3" s="0"/>
      <c r="AWZ3" s="0"/>
      <c r="AXA3" s="0"/>
      <c r="AXB3" s="0"/>
      <c r="AXC3" s="0"/>
      <c r="AXD3" s="0"/>
      <c r="AXE3" s="0"/>
      <c r="AXF3" s="0"/>
      <c r="AXG3" s="0"/>
      <c r="AXH3" s="0"/>
      <c r="AXI3" s="0"/>
      <c r="AXJ3" s="0"/>
      <c r="AXK3" s="0"/>
      <c r="AXL3" s="0"/>
      <c r="AXM3" s="0"/>
      <c r="AXN3" s="0"/>
      <c r="AXO3" s="0"/>
      <c r="AXP3" s="0"/>
      <c r="AXQ3" s="0"/>
      <c r="AXR3" s="0"/>
      <c r="AXS3" s="0"/>
      <c r="AXT3" s="0"/>
      <c r="AXU3" s="0"/>
      <c r="AXV3" s="0"/>
      <c r="AXW3" s="0"/>
      <c r="AXX3" s="0"/>
      <c r="AXY3" s="0"/>
      <c r="AXZ3" s="0"/>
      <c r="AYA3" s="0"/>
      <c r="AYB3" s="0"/>
      <c r="AYC3" s="0"/>
      <c r="AYD3" s="0"/>
      <c r="AYE3" s="0"/>
      <c r="AYF3" s="0"/>
      <c r="AYG3" s="0"/>
      <c r="AYH3" s="0"/>
      <c r="AYI3" s="0"/>
      <c r="AYJ3" s="0"/>
      <c r="AYK3" s="0"/>
      <c r="AYL3" s="0"/>
      <c r="AYM3" s="0"/>
      <c r="AYN3" s="0"/>
      <c r="AYO3" s="0"/>
      <c r="AYP3" s="0"/>
      <c r="AYQ3" s="0"/>
      <c r="AYR3" s="0"/>
      <c r="AYS3" s="0"/>
      <c r="AYT3" s="0"/>
      <c r="AYU3" s="0"/>
      <c r="AYV3" s="0"/>
      <c r="AYW3" s="0"/>
      <c r="AYX3" s="0"/>
      <c r="AYY3" s="0"/>
      <c r="AYZ3" s="0"/>
      <c r="AZA3" s="0"/>
      <c r="AZB3" s="0"/>
      <c r="AZC3" s="0"/>
      <c r="AZD3" s="0"/>
      <c r="AZE3" s="0"/>
      <c r="AZF3" s="0"/>
      <c r="AZG3" s="0"/>
      <c r="AZH3" s="0"/>
      <c r="AZI3" s="0"/>
      <c r="AZJ3" s="0"/>
      <c r="AZK3" s="0"/>
      <c r="AZL3" s="0"/>
      <c r="AZM3" s="0"/>
      <c r="AZN3" s="0"/>
      <c r="AZO3" s="0"/>
      <c r="AZP3" s="0"/>
      <c r="AZQ3" s="0"/>
      <c r="AZR3" s="0"/>
      <c r="AZS3" s="0"/>
      <c r="AZT3" s="0"/>
      <c r="AZU3" s="0"/>
      <c r="AZV3" s="0"/>
      <c r="AZW3" s="0"/>
      <c r="AZX3" s="0"/>
      <c r="AZY3" s="0"/>
      <c r="AZZ3" s="0"/>
      <c r="BAA3" s="0"/>
      <c r="BAB3" s="0"/>
      <c r="BAC3" s="0"/>
      <c r="BAD3" s="0"/>
      <c r="BAE3" s="0"/>
      <c r="BAF3" s="0"/>
      <c r="BAG3" s="0"/>
      <c r="BAH3" s="0"/>
      <c r="BAI3" s="0"/>
      <c r="BAJ3" s="0"/>
      <c r="BAK3" s="0"/>
      <c r="BAL3" s="0"/>
      <c r="BAM3" s="0"/>
      <c r="BAN3" s="0"/>
      <c r="BAO3" s="0"/>
      <c r="BAP3" s="0"/>
      <c r="BAQ3" s="0"/>
      <c r="BAR3" s="0"/>
      <c r="BAS3" s="0"/>
      <c r="BAT3" s="0"/>
      <c r="BAU3" s="0"/>
      <c r="BAV3" s="0"/>
      <c r="BAW3" s="0"/>
      <c r="BAX3" s="0"/>
      <c r="BAY3" s="0"/>
      <c r="BAZ3" s="0"/>
      <c r="BBA3" s="0"/>
      <c r="BBB3" s="0"/>
      <c r="BBC3" s="0"/>
      <c r="BBD3" s="0"/>
      <c r="BBE3" s="0"/>
      <c r="BBF3" s="0"/>
      <c r="BBG3" s="0"/>
      <c r="BBH3" s="0"/>
      <c r="BBI3" s="0"/>
      <c r="BBJ3" s="0"/>
      <c r="BBK3" s="0"/>
      <c r="BBL3" s="0"/>
      <c r="BBM3" s="0"/>
      <c r="BBN3" s="0"/>
      <c r="BBO3" s="0"/>
      <c r="BBP3" s="0"/>
      <c r="BBQ3" s="0"/>
      <c r="BBR3" s="0"/>
      <c r="BBS3" s="0"/>
      <c r="BBT3" s="0"/>
      <c r="BBU3" s="0"/>
      <c r="BBV3" s="0"/>
      <c r="BBW3" s="0"/>
      <c r="BBX3" s="0"/>
      <c r="BBY3" s="0"/>
      <c r="BBZ3" s="0"/>
      <c r="BCA3" s="0"/>
      <c r="BCB3" s="0"/>
      <c r="BCC3" s="0"/>
      <c r="BCD3" s="0"/>
      <c r="BCE3" s="0"/>
      <c r="BCF3" s="0"/>
      <c r="BCG3" s="0"/>
      <c r="BCH3" s="0"/>
      <c r="BCI3" s="0"/>
      <c r="BCJ3" s="0"/>
      <c r="BCK3" s="0"/>
      <c r="BCL3" s="0"/>
      <c r="BCM3" s="0"/>
      <c r="BCN3" s="0"/>
      <c r="BCO3" s="0"/>
      <c r="BCP3" s="0"/>
      <c r="BCQ3" s="0"/>
      <c r="BCR3" s="0"/>
      <c r="BCS3" s="0"/>
      <c r="BCT3" s="0"/>
      <c r="BCU3" s="0"/>
      <c r="BCV3" s="0"/>
      <c r="BCW3" s="0"/>
      <c r="BCX3" s="0"/>
      <c r="BCY3" s="0"/>
      <c r="BCZ3" s="0"/>
      <c r="BDA3" s="0"/>
      <c r="BDB3" s="0"/>
      <c r="BDC3" s="0"/>
      <c r="BDD3" s="0"/>
      <c r="BDE3" s="0"/>
      <c r="BDF3" s="0"/>
      <c r="BDG3" s="0"/>
      <c r="BDH3" s="0"/>
      <c r="BDI3" s="0"/>
      <c r="BDJ3" s="0"/>
      <c r="BDK3" s="0"/>
      <c r="BDL3" s="0"/>
      <c r="BDM3" s="0"/>
      <c r="BDN3" s="0"/>
      <c r="BDO3" s="0"/>
      <c r="BDP3" s="0"/>
      <c r="BDQ3" s="0"/>
      <c r="BDR3" s="0"/>
      <c r="BDS3" s="0"/>
      <c r="BDT3" s="0"/>
      <c r="BDU3" s="0"/>
      <c r="BDV3" s="0"/>
      <c r="BDW3" s="0"/>
      <c r="BDX3" s="0"/>
      <c r="BDY3" s="0"/>
      <c r="BDZ3" s="0"/>
      <c r="BEA3" s="0"/>
      <c r="BEB3" s="0"/>
      <c r="BEC3" s="0"/>
      <c r="BED3" s="0"/>
      <c r="BEE3" s="0"/>
      <c r="BEF3" s="0"/>
      <c r="BEG3" s="0"/>
      <c r="BEH3" s="0"/>
      <c r="BEI3" s="0"/>
      <c r="BEJ3" s="0"/>
      <c r="BEK3" s="0"/>
      <c r="BEL3" s="0"/>
      <c r="BEM3" s="0"/>
      <c r="BEN3" s="0"/>
      <c r="BEO3" s="0"/>
      <c r="BEP3" s="0"/>
      <c r="BEQ3" s="0"/>
      <c r="BER3" s="0"/>
      <c r="BES3" s="0"/>
      <c r="BET3" s="0"/>
      <c r="BEU3" s="0"/>
      <c r="BEV3" s="0"/>
      <c r="BEW3" s="0"/>
      <c r="BEX3" s="0"/>
      <c r="BEY3" s="0"/>
      <c r="BEZ3" s="0"/>
      <c r="BFA3" s="0"/>
      <c r="BFB3" s="0"/>
      <c r="BFC3" s="0"/>
      <c r="BFD3" s="0"/>
      <c r="BFE3" s="0"/>
      <c r="BFF3" s="0"/>
      <c r="BFG3" s="0"/>
      <c r="BFH3" s="0"/>
      <c r="BFI3" s="0"/>
      <c r="BFJ3" s="0"/>
      <c r="BFK3" s="0"/>
      <c r="BFL3" s="0"/>
      <c r="BFM3" s="0"/>
      <c r="BFN3" s="0"/>
      <c r="BFO3" s="0"/>
      <c r="BFP3" s="0"/>
      <c r="BFQ3" s="0"/>
      <c r="BFR3" s="0"/>
      <c r="BFS3" s="0"/>
      <c r="BFT3" s="0"/>
      <c r="BFU3" s="0"/>
      <c r="BFV3" s="0"/>
      <c r="BFW3" s="0"/>
      <c r="BFX3" s="0"/>
      <c r="BFY3" s="0"/>
      <c r="BFZ3" s="0"/>
      <c r="BGA3" s="0"/>
      <c r="BGB3" s="0"/>
      <c r="BGC3" s="0"/>
      <c r="BGD3" s="0"/>
      <c r="BGE3" s="0"/>
      <c r="BGF3" s="0"/>
      <c r="BGG3" s="0"/>
      <c r="BGH3" s="0"/>
      <c r="BGI3" s="0"/>
      <c r="BGJ3" s="0"/>
      <c r="BGK3" s="0"/>
      <c r="BGL3" s="0"/>
      <c r="BGM3" s="0"/>
      <c r="BGN3" s="0"/>
      <c r="BGO3" s="0"/>
      <c r="BGP3" s="0"/>
      <c r="BGQ3" s="0"/>
      <c r="BGR3" s="0"/>
      <c r="BGS3" s="0"/>
      <c r="BGT3" s="0"/>
      <c r="BGU3" s="0"/>
      <c r="BGV3" s="0"/>
      <c r="BGW3" s="0"/>
      <c r="BGX3" s="0"/>
      <c r="BGY3" s="0"/>
      <c r="BGZ3" s="0"/>
      <c r="BHA3" s="0"/>
      <c r="BHB3" s="0"/>
      <c r="BHC3" s="0"/>
      <c r="BHD3" s="0"/>
      <c r="BHE3" s="0"/>
      <c r="BHF3" s="0"/>
      <c r="BHG3" s="0"/>
      <c r="BHH3" s="0"/>
      <c r="BHI3" s="0"/>
      <c r="BHJ3" s="0"/>
      <c r="BHK3" s="0"/>
      <c r="BHL3" s="0"/>
      <c r="BHM3" s="0"/>
      <c r="BHN3" s="0"/>
      <c r="BHO3" s="0"/>
      <c r="BHP3" s="0"/>
      <c r="BHQ3" s="0"/>
      <c r="BHR3" s="0"/>
      <c r="BHS3" s="0"/>
      <c r="BHT3" s="0"/>
      <c r="BHU3" s="0"/>
      <c r="BHV3" s="0"/>
      <c r="BHW3" s="0"/>
      <c r="BHX3" s="0"/>
      <c r="BHY3" s="0"/>
      <c r="BHZ3" s="0"/>
      <c r="BIA3" s="0"/>
      <c r="BIB3" s="0"/>
      <c r="BIC3" s="0"/>
      <c r="BID3" s="0"/>
      <c r="BIE3" s="0"/>
      <c r="BIF3" s="0"/>
      <c r="BIG3" s="0"/>
      <c r="BIH3" s="0"/>
      <c r="BII3" s="0"/>
      <c r="BIJ3" s="0"/>
      <c r="BIK3" s="0"/>
      <c r="BIL3" s="0"/>
      <c r="BIM3" s="0"/>
      <c r="BIN3" s="0"/>
      <c r="BIO3" s="0"/>
      <c r="BIP3" s="0"/>
      <c r="BIQ3" s="0"/>
      <c r="BIR3" s="0"/>
      <c r="BIS3" s="0"/>
      <c r="BIT3" s="0"/>
      <c r="BIU3" s="0"/>
      <c r="BIV3" s="0"/>
      <c r="BIW3" s="0"/>
      <c r="BIX3" s="0"/>
      <c r="BIY3" s="0"/>
      <c r="BIZ3" s="0"/>
      <c r="BJA3" s="0"/>
      <c r="BJB3" s="0"/>
      <c r="BJC3" s="0"/>
      <c r="BJD3" s="0"/>
      <c r="BJE3" s="0"/>
      <c r="BJF3" s="0"/>
      <c r="BJG3" s="0"/>
      <c r="BJH3" s="0"/>
      <c r="BJI3" s="0"/>
      <c r="BJJ3" s="0"/>
      <c r="BJK3" s="0"/>
      <c r="BJL3" s="0"/>
      <c r="BJM3" s="0"/>
      <c r="BJN3" s="0"/>
      <c r="BJO3" s="0"/>
      <c r="BJP3" s="0"/>
      <c r="BJQ3" s="0"/>
      <c r="BJR3" s="0"/>
      <c r="BJS3" s="0"/>
      <c r="BJT3" s="0"/>
      <c r="BJU3" s="0"/>
      <c r="BJV3" s="0"/>
      <c r="BJW3" s="0"/>
      <c r="BJX3" s="0"/>
      <c r="BJY3" s="0"/>
      <c r="BJZ3" s="0"/>
      <c r="BKA3" s="0"/>
      <c r="BKB3" s="0"/>
      <c r="BKC3" s="0"/>
      <c r="BKD3" s="0"/>
      <c r="BKE3" s="0"/>
      <c r="BKF3" s="0"/>
      <c r="BKG3" s="0"/>
      <c r="BKH3" s="0"/>
      <c r="BKI3" s="0"/>
      <c r="BKJ3" s="0"/>
      <c r="BKK3" s="0"/>
      <c r="BKL3" s="0"/>
      <c r="BKM3" s="0"/>
      <c r="BKN3" s="0"/>
      <c r="BKO3" s="0"/>
      <c r="BKP3" s="0"/>
      <c r="BKQ3" s="0"/>
      <c r="BKR3" s="0"/>
      <c r="BKS3" s="0"/>
      <c r="BKT3" s="0"/>
      <c r="BKU3" s="0"/>
      <c r="BKV3" s="0"/>
      <c r="BKW3" s="0"/>
      <c r="BKX3" s="0"/>
      <c r="BKY3" s="0"/>
      <c r="BKZ3" s="0"/>
      <c r="BLA3" s="0"/>
      <c r="BLB3" s="0"/>
      <c r="BLC3" s="0"/>
      <c r="BLD3" s="0"/>
      <c r="BLE3" s="0"/>
      <c r="BLF3" s="0"/>
      <c r="BLG3" s="0"/>
      <c r="BLH3" s="0"/>
      <c r="BLI3" s="0"/>
      <c r="BLJ3" s="0"/>
      <c r="BLK3" s="0"/>
      <c r="BLL3" s="0"/>
      <c r="BLM3" s="0"/>
      <c r="BLN3" s="0"/>
      <c r="BLO3" s="0"/>
      <c r="BLP3" s="0"/>
      <c r="BLQ3" s="0"/>
      <c r="BLR3" s="0"/>
      <c r="BLS3" s="0"/>
      <c r="BLT3" s="0"/>
      <c r="BLU3" s="0"/>
      <c r="BLV3" s="0"/>
      <c r="BLW3" s="0"/>
      <c r="BLX3" s="0"/>
      <c r="BLY3" s="0"/>
      <c r="BLZ3" s="0"/>
      <c r="BMA3" s="0"/>
      <c r="BMB3" s="0"/>
      <c r="BMC3" s="0"/>
      <c r="BMD3" s="0"/>
      <c r="BME3" s="0"/>
      <c r="BMF3" s="0"/>
      <c r="BMG3" s="0"/>
      <c r="BMH3" s="0"/>
      <c r="BMI3" s="0"/>
      <c r="BMJ3" s="0"/>
      <c r="BMK3" s="0"/>
      <c r="BML3" s="0"/>
      <c r="BMM3" s="0"/>
      <c r="BMN3" s="0"/>
      <c r="BMO3" s="0"/>
      <c r="BMP3" s="0"/>
      <c r="BMQ3" s="0"/>
      <c r="BMR3" s="0"/>
      <c r="BMS3" s="0"/>
      <c r="BMT3" s="0"/>
      <c r="BMU3" s="0"/>
      <c r="BMV3" s="0"/>
      <c r="BMW3" s="0"/>
      <c r="BMX3" s="0"/>
      <c r="BMY3" s="0"/>
      <c r="BMZ3" s="0"/>
      <c r="BNA3" s="0"/>
      <c r="BNB3" s="0"/>
      <c r="BNC3" s="0"/>
      <c r="BND3" s="0"/>
      <c r="BNE3" s="0"/>
      <c r="BNF3" s="0"/>
      <c r="BNG3" s="0"/>
      <c r="BNH3" s="0"/>
      <c r="BNI3" s="0"/>
      <c r="BNJ3" s="0"/>
      <c r="BNK3" s="0"/>
      <c r="BNL3" s="0"/>
      <c r="BNM3" s="0"/>
      <c r="BNN3" s="0"/>
      <c r="BNO3" s="0"/>
      <c r="BNP3" s="0"/>
      <c r="BNQ3" s="0"/>
      <c r="BNR3" s="0"/>
      <c r="BNS3" s="0"/>
      <c r="BNT3" s="0"/>
      <c r="BNU3" s="0"/>
      <c r="BNV3" s="0"/>
      <c r="BNW3" s="0"/>
      <c r="BNX3" s="0"/>
      <c r="BNY3" s="0"/>
      <c r="BNZ3" s="0"/>
      <c r="BOA3" s="0"/>
      <c r="BOB3" s="0"/>
      <c r="BOC3" s="0"/>
      <c r="BOD3" s="0"/>
      <c r="BOE3" s="0"/>
      <c r="BOF3" s="0"/>
      <c r="BOG3" s="0"/>
      <c r="BOH3" s="0"/>
      <c r="BOI3" s="0"/>
      <c r="BOJ3" s="0"/>
      <c r="BOK3" s="0"/>
      <c r="BOL3" s="0"/>
      <c r="BOM3" s="0"/>
      <c r="BON3" s="0"/>
      <c r="BOO3" s="0"/>
      <c r="BOP3" s="0"/>
      <c r="BOQ3" s="0"/>
      <c r="BOR3" s="0"/>
      <c r="BOS3" s="0"/>
      <c r="BOT3" s="0"/>
      <c r="BOU3" s="0"/>
      <c r="BOV3" s="0"/>
      <c r="BOW3" s="0"/>
      <c r="BOX3" s="0"/>
      <c r="BOY3" s="0"/>
      <c r="BOZ3" s="0"/>
      <c r="BPA3" s="0"/>
      <c r="BPB3" s="0"/>
      <c r="BPC3" s="0"/>
      <c r="BPD3" s="0"/>
      <c r="BPE3" s="0"/>
      <c r="BPF3" s="0"/>
      <c r="BPG3" s="0"/>
      <c r="BPH3" s="0"/>
      <c r="BPI3" s="0"/>
      <c r="BPJ3" s="0"/>
      <c r="BPK3" s="0"/>
      <c r="BPL3" s="0"/>
      <c r="BPM3" s="0"/>
      <c r="BPN3" s="0"/>
      <c r="BPO3" s="0"/>
      <c r="BPP3" s="0"/>
      <c r="BPQ3" s="0"/>
      <c r="BPR3" s="0"/>
      <c r="BPS3" s="0"/>
      <c r="BPT3" s="0"/>
      <c r="BPU3" s="0"/>
      <c r="BPV3" s="0"/>
      <c r="BPW3" s="0"/>
      <c r="BPX3" s="0"/>
      <c r="BPY3" s="0"/>
      <c r="BPZ3" s="0"/>
      <c r="BQA3" s="0"/>
      <c r="BQB3" s="0"/>
      <c r="BQC3" s="0"/>
      <c r="BQD3" s="0"/>
      <c r="BQE3" s="0"/>
      <c r="BQF3" s="0"/>
      <c r="BQG3" s="0"/>
      <c r="BQH3" s="0"/>
      <c r="BQI3" s="0"/>
      <c r="BQJ3" s="0"/>
      <c r="BQK3" s="0"/>
      <c r="BQL3" s="0"/>
      <c r="BQM3" s="0"/>
      <c r="BQN3" s="0"/>
      <c r="BQO3" s="0"/>
      <c r="BQP3" s="0"/>
      <c r="BQQ3" s="0"/>
      <c r="BQR3" s="0"/>
      <c r="BQS3" s="0"/>
      <c r="BQT3" s="0"/>
      <c r="BQU3" s="0"/>
      <c r="BQV3" s="0"/>
      <c r="BQW3" s="0"/>
      <c r="BQX3" s="0"/>
      <c r="BQY3" s="0"/>
      <c r="BQZ3" s="0"/>
      <c r="BRA3" s="0"/>
      <c r="BRB3" s="0"/>
      <c r="BRC3" s="0"/>
      <c r="BRD3" s="0"/>
      <c r="BRE3" s="0"/>
      <c r="BRF3" s="0"/>
      <c r="BRG3" s="0"/>
      <c r="BRH3" s="0"/>
      <c r="BRI3" s="0"/>
      <c r="BRJ3" s="0"/>
      <c r="BRK3" s="0"/>
      <c r="BRL3" s="0"/>
      <c r="BRM3" s="0"/>
      <c r="BRN3" s="0"/>
      <c r="BRO3" s="0"/>
      <c r="BRP3" s="0"/>
      <c r="BRQ3" s="0"/>
      <c r="BRR3" s="0"/>
      <c r="BRS3" s="0"/>
      <c r="BRT3" s="0"/>
      <c r="BRU3" s="0"/>
      <c r="BRV3" s="0"/>
      <c r="BRW3" s="0"/>
      <c r="BRX3" s="0"/>
      <c r="BRY3" s="0"/>
      <c r="BRZ3" s="0"/>
      <c r="BSA3" s="0"/>
      <c r="BSB3" s="0"/>
      <c r="BSC3" s="0"/>
      <c r="BSD3" s="0"/>
      <c r="BSE3" s="0"/>
      <c r="BSF3" s="0"/>
      <c r="BSG3" s="0"/>
      <c r="BSH3" s="0"/>
      <c r="BSI3" s="0"/>
      <c r="BSJ3" s="0"/>
      <c r="BSK3" s="0"/>
      <c r="BSL3" s="0"/>
      <c r="BSM3" s="0"/>
      <c r="BSN3" s="0"/>
      <c r="BSO3" s="0"/>
      <c r="BSP3" s="0"/>
      <c r="BSQ3" s="0"/>
      <c r="BSR3" s="0"/>
      <c r="BSS3" s="0"/>
      <c r="BST3" s="0"/>
      <c r="BSU3" s="0"/>
      <c r="BSV3" s="0"/>
      <c r="BSW3" s="0"/>
      <c r="BSX3" s="0"/>
      <c r="BSY3" s="0"/>
      <c r="BSZ3" s="0"/>
      <c r="BTA3" s="0"/>
      <c r="BTB3" s="0"/>
      <c r="BTC3" s="0"/>
      <c r="BTD3" s="0"/>
      <c r="BTE3" s="0"/>
      <c r="BTF3" s="0"/>
      <c r="BTG3" s="0"/>
      <c r="BTH3" s="0"/>
      <c r="BTI3" s="0"/>
      <c r="BTJ3" s="0"/>
      <c r="BTK3" s="0"/>
      <c r="BTL3" s="0"/>
      <c r="BTM3" s="0"/>
      <c r="BTN3" s="0"/>
      <c r="BTO3" s="0"/>
      <c r="BTP3" s="0"/>
      <c r="BTQ3" s="0"/>
      <c r="BTR3" s="0"/>
      <c r="BTS3" s="0"/>
      <c r="BTT3" s="0"/>
      <c r="BTU3" s="0"/>
      <c r="BTV3" s="0"/>
      <c r="BTW3" s="0"/>
      <c r="BTX3" s="0"/>
      <c r="BTY3" s="0"/>
      <c r="BTZ3" s="0"/>
      <c r="BUA3" s="0"/>
      <c r="BUB3" s="0"/>
      <c r="BUC3" s="0"/>
      <c r="BUD3" s="0"/>
      <c r="BUE3" s="0"/>
      <c r="BUF3" s="0"/>
      <c r="BUG3" s="0"/>
      <c r="BUH3" s="0"/>
      <c r="BUI3" s="0"/>
      <c r="BUJ3" s="0"/>
      <c r="BUK3" s="0"/>
      <c r="BUL3" s="0"/>
      <c r="BUM3" s="0"/>
      <c r="BUN3" s="0"/>
      <c r="BUO3" s="0"/>
      <c r="BUP3" s="0"/>
      <c r="BUQ3" s="0"/>
      <c r="BUR3" s="0"/>
      <c r="BUS3" s="0"/>
      <c r="BUT3" s="0"/>
      <c r="BUU3" s="0"/>
      <c r="BUV3" s="0"/>
      <c r="BUW3" s="0"/>
      <c r="BUX3" s="0"/>
      <c r="BUY3" s="0"/>
      <c r="BUZ3" s="0"/>
      <c r="BVA3" s="0"/>
      <c r="BVB3" s="0"/>
      <c r="BVC3" s="0"/>
      <c r="BVD3" s="0"/>
      <c r="BVE3" s="0"/>
      <c r="BVF3" s="0"/>
      <c r="BVG3" s="0"/>
      <c r="BVH3" s="0"/>
      <c r="BVI3" s="0"/>
      <c r="BVJ3" s="0"/>
      <c r="BVK3" s="0"/>
      <c r="BVL3" s="0"/>
      <c r="BVM3" s="0"/>
      <c r="BVN3" s="0"/>
      <c r="BVO3" s="0"/>
      <c r="BVP3" s="0"/>
      <c r="BVQ3" s="0"/>
      <c r="BVR3" s="0"/>
      <c r="BVS3" s="0"/>
      <c r="BVT3" s="0"/>
      <c r="BVU3" s="0"/>
      <c r="BVV3" s="0"/>
      <c r="BVW3" s="0"/>
      <c r="BVX3" s="0"/>
      <c r="BVY3" s="0"/>
      <c r="BVZ3" s="0"/>
      <c r="BWA3" s="0"/>
      <c r="BWB3" s="0"/>
      <c r="BWC3" s="0"/>
      <c r="BWD3" s="0"/>
      <c r="BWE3" s="0"/>
      <c r="BWF3" s="0"/>
      <c r="BWG3" s="0"/>
      <c r="BWH3" s="0"/>
      <c r="BWI3" s="0"/>
      <c r="BWJ3" s="0"/>
      <c r="BWK3" s="0"/>
      <c r="BWL3" s="0"/>
      <c r="BWM3" s="0"/>
      <c r="BWN3" s="0"/>
      <c r="BWO3" s="0"/>
      <c r="BWP3" s="0"/>
      <c r="BWQ3" s="0"/>
      <c r="BWR3" s="0"/>
      <c r="BWS3" s="0"/>
      <c r="BWT3" s="0"/>
      <c r="BWU3" s="0"/>
      <c r="BWV3" s="0"/>
      <c r="BWW3" s="0"/>
      <c r="BWX3" s="0"/>
      <c r="BWY3" s="0"/>
      <c r="BWZ3" s="0"/>
      <c r="BXA3" s="0"/>
      <c r="BXB3" s="0"/>
      <c r="BXC3" s="0"/>
      <c r="BXD3" s="0"/>
      <c r="BXE3" s="0"/>
      <c r="BXF3" s="0"/>
      <c r="BXG3" s="0"/>
      <c r="BXH3" s="0"/>
      <c r="BXI3" s="0"/>
      <c r="BXJ3" s="0"/>
      <c r="BXK3" s="0"/>
      <c r="BXL3" s="0"/>
      <c r="BXM3" s="0"/>
      <c r="BXN3" s="0"/>
      <c r="BXO3" s="0"/>
      <c r="BXP3" s="0"/>
      <c r="BXQ3" s="0"/>
      <c r="BXR3" s="0"/>
      <c r="BXS3" s="0"/>
      <c r="BXT3" s="0"/>
      <c r="BXU3" s="0"/>
      <c r="BXV3" s="0"/>
      <c r="BXW3" s="0"/>
      <c r="BXX3" s="0"/>
      <c r="BXY3" s="0"/>
      <c r="BXZ3" s="0"/>
      <c r="BYA3" s="0"/>
      <c r="BYB3" s="0"/>
      <c r="BYC3" s="0"/>
      <c r="BYD3" s="0"/>
      <c r="BYE3" s="0"/>
      <c r="BYF3" s="0"/>
      <c r="BYG3" s="0"/>
      <c r="BYH3" s="0"/>
      <c r="BYI3" s="0"/>
      <c r="BYJ3" s="0"/>
      <c r="BYK3" s="0"/>
      <c r="BYL3" s="0"/>
      <c r="BYM3" s="0"/>
      <c r="BYN3" s="0"/>
      <c r="BYO3" s="0"/>
      <c r="BYP3" s="0"/>
      <c r="BYQ3" s="0"/>
      <c r="BYR3" s="0"/>
      <c r="BYS3" s="0"/>
      <c r="BYT3" s="0"/>
      <c r="BYU3" s="0"/>
      <c r="BYV3" s="0"/>
      <c r="BYW3" s="0"/>
      <c r="BYX3" s="0"/>
      <c r="BYY3" s="0"/>
      <c r="BYZ3" s="0"/>
      <c r="BZA3" s="0"/>
      <c r="BZB3" s="0"/>
      <c r="BZC3" s="0"/>
      <c r="BZD3" s="0"/>
      <c r="BZE3" s="0"/>
      <c r="BZF3" s="0"/>
      <c r="BZG3" s="0"/>
      <c r="BZH3" s="0"/>
      <c r="BZI3" s="0"/>
      <c r="BZJ3" s="0"/>
      <c r="BZK3" s="0"/>
      <c r="BZL3" s="0"/>
      <c r="BZM3" s="0"/>
      <c r="BZN3" s="0"/>
      <c r="BZO3" s="0"/>
      <c r="BZP3" s="0"/>
      <c r="BZQ3" s="0"/>
      <c r="BZR3" s="0"/>
      <c r="BZS3" s="0"/>
      <c r="BZT3" s="0"/>
      <c r="BZU3" s="0"/>
      <c r="BZV3" s="0"/>
      <c r="BZW3" s="0"/>
      <c r="BZX3" s="0"/>
      <c r="BZY3" s="0"/>
      <c r="BZZ3" s="0"/>
      <c r="CAA3" s="0"/>
      <c r="CAB3" s="0"/>
      <c r="CAC3" s="0"/>
      <c r="CAD3" s="0"/>
      <c r="CAE3" s="0"/>
      <c r="CAF3" s="0"/>
      <c r="CAG3" s="0"/>
      <c r="CAH3" s="0"/>
      <c r="CAI3" s="0"/>
      <c r="CAJ3" s="0"/>
      <c r="CAK3" s="0"/>
      <c r="CAL3" s="0"/>
      <c r="CAM3" s="0"/>
      <c r="CAN3" s="0"/>
      <c r="CAO3" s="0"/>
      <c r="CAP3" s="0"/>
      <c r="CAQ3" s="0"/>
      <c r="CAR3" s="0"/>
      <c r="CAS3" s="0"/>
      <c r="CAT3" s="0"/>
      <c r="CAU3" s="0"/>
      <c r="CAV3" s="0"/>
      <c r="CAW3" s="0"/>
      <c r="CAX3" s="0"/>
      <c r="CAY3" s="0"/>
      <c r="CAZ3" s="0"/>
      <c r="CBA3" s="0"/>
      <c r="CBB3" s="0"/>
      <c r="CBC3" s="0"/>
      <c r="CBD3" s="0"/>
      <c r="CBE3" s="0"/>
      <c r="CBF3" s="0"/>
      <c r="CBG3" s="0"/>
      <c r="CBH3" s="0"/>
      <c r="CBI3" s="0"/>
      <c r="CBJ3" s="0"/>
      <c r="CBK3" s="0"/>
      <c r="CBL3" s="0"/>
      <c r="CBM3" s="0"/>
      <c r="CBN3" s="0"/>
      <c r="CBO3" s="0"/>
      <c r="CBP3" s="0"/>
      <c r="CBQ3" s="0"/>
      <c r="CBR3" s="0"/>
      <c r="CBS3" s="0"/>
      <c r="CBT3" s="0"/>
      <c r="CBU3" s="0"/>
      <c r="CBV3" s="0"/>
      <c r="CBW3" s="0"/>
      <c r="CBX3" s="0"/>
      <c r="CBY3" s="0"/>
      <c r="CBZ3" s="0"/>
      <c r="CCA3" s="0"/>
      <c r="CCB3" s="0"/>
      <c r="CCC3" s="0"/>
      <c r="CCD3" s="0"/>
      <c r="CCE3" s="0"/>
      <c r="CCF3" s="0"/>
      <c r="CCG3" s="0"/>
      <c r="CCH3" s="0"/>
      <c r="CCI3" s="0"/>
      <c r="CCJ3" s="0"/>
      <c r="CCK3" s="0"/>
      <c r="CCL3" s="0"/>
      <c r="CCM3" s="0"/>
      <c r="CCN3" s="0"/>
      <c r="CCO3" s="0"/>
      <c r="CCP3" s="0"/>
      <c r="CCQ3" s="0"/>
      <c r="CCR3" s="0"/>
      <c r="CCS3" s="0"/>
      <c r="CCT3" s="0"/>
      <c r="CCU3" s="0"/>
      <c r="CCV3" s="0"/>
      <c r="CCW3" s="0"/>
      <c r="CCX3" s="0"/>
      <c r="CCY3" s="0"/>
      <c r="CCZ3" s="0"/>
      <c r="CDA3" s="0"/>
      <c r="CDB3" s="0"/>
      <c r="CDC3" s="0"/>
      <c r="CDD3" s="0"/>
      <c r="CDE3" s="0"/>
      <c r="CDF3" s="0"/>
      <c r="CDG3" s="0"/>
      <c r="CDH3" s="0"/>
      <c r="CDI3" s="0"/>
      <c r="CDJ3" s="0"/>
      <c r="CDK3" s="0"/>
      <c r="CDL3" s="0"/>
      <c r="CDM3" s="0"/>
      <c r="CDN3" s="0"/>
      <c r="CDO3" s="0"/>
      <c r="CDP3" s="0"/>
      <c r="CDQ3" s="0"/>
      <c r="CDR3" s="0"/>
      <c r="CDS3" s="0"/>
      <c r="CDT3" s="0"/>
      <c r="CDU3" s="0"/>
      <c r="CDV3" s="0"/>
      <c r="CDW3" s="0"/>
      <c r="CDX3" s="0"/>
      <c r="CDY3" s="0"/>
      <c r="CDZ3" s="0"/>
      <c r="CEA3" s="0"/>
      <c r="CEB3" s="0"/>
      <c r="CEC3" s="0"/>
      <c r="CED3" s="0"/>
      <c r="CEE3" s="0"/>
      <c r="CEF3" s="0"/>
      <c r="CEG3" s="0"/>
      <c r="CEH3" s="0"/>
      <c r="CEI3" s="0"/>
      <c r="CEJ3" s="0"/>
      <c r="CEK3" s="0"/>
      <c r="CEL3" s="0"/>
      <c r="CEM3" s="0"/>
      <c r="CEN3" s="0"/>
      <c r="CEO3" s="0"/>
      <c r="CEP3" s="0"/>
      <c r="CEQ3" s="0"/>
      <c r="CER3" s="0"/>
      <c r="CES3" s="0"/>
      <c r="CET3" s="0"/>
      <c r="CEU3" s="0"/>
      <c r="CEV3" s="0"/>
      <c r="CEW3" s="0"/>
      <c r="CEX3" s="0"/>
      <c r="CEY3" s="0"/>
      <c r="CEZ3" s="0"/>
      <c r="CFA3" s="0"/>
      <c r="CFB3" s="0"/>
      <c r="CFC3" s="0"/>
      <c r="CFD3" s="0"/>
      <c r="CFE3" s="0"/>
      <c r="CFF3" s="0"/>
      <c r="CFG3" s="0"/>
      <c r="CFH3" s="0"/>
      <c r="CFI3" s="0"/>
      <c r="CFJ3" s="0"/>
      <c r="CFK3" s="0"/>
      <c r="CFL3" s="0"/>
      <c r="CFM3" s="0"/>
      <c r="CFN3" s="0"/>
      <c r="CFO3" s="0"/>
      <c r="CFP3" s="0"/>
      <c r="CFQ3" s="0"/>
      <c r="CFR3" s="0"/>
      <c r="CFS3" s="0"/>
      <c r="CFT3" s="0"/>
      <c r="CFU3" s="0"/>
      <c r="CFV3" s="0"/>
      <c r="CFW3" s="0"/>
      <c r="CFX3" s="0"/>
      <c r="CFY3" s="0"/>
      <c r="CFZ3" s="0"/>
      <c r="CGA3" s="0"/>
      <c r="CGB3" s="0"/>
      <c r="CGC3" s="0"/>
      <c r="CGD3" s="0"/>
      <c r="CGE3" s="0"/>
      <c r="CGF3" s="0"/>
      <c r="CGG3" s="0"/>
      <c r="CGH3" s="0"/>
      <c r="CGI3" s="0"/>
      <c r="CGJ3" s="0"/>
      <c r="CGK3" s="0"/>
      <c r="CGL3" s="0"/>
      <c r="CGM3" s="0"/>
      <c r="CGN3" s="0"/>
      <c r="CGO3" s="0"/>
      <c r="CGP3" s="0"/>
      <c r="CGQ3" s="0"/>
      <c r="CGR3" s="0"/>
      <c r="CGS3" s="0"/>
      <c r="CGT3" s="0"/>
      <c r="CGU3" s="0"/>
      <c r="CGV3" s="0"/>
      <c r="CGW3" s="0"/>
      <c r="CGX3" s="0"/>
      <c r="CGY3" s="0"/>
      <c r="CGZ3" s="0"/>
      <c r="CHA3" s="0"/>
      <c r="CHB3" s="0"/>
      <c r="CHC3" s="0"/>
      <c r="CHD3" s="0"/>
      <c r="CHE3" s="0"/>
      <c r="CHF3" s="0"/>
      <c r="CHG3" s="0"/>
      <c r="CHH3" s="0"/>
      <c r="CHI3" s="0"/>
      <c r="CHJ3" s="0"/>
      <c r="CHK3" s="0"/>
      <c r="CHL3" s="0"/>
      <c r="CHM3" s="0"/>
      <c r="CHN3" s="0"/>
      <c r="CHO3" s="0"/>
      <c r="CHP3" s="0"/>
      <c r="CHQ3" s="0"/>
      <c r="CHR3" s="0"/>
      <c r="CHS3" s="0"/>
      <c r="CHT3" s="0"/>
      <c r="CHU3" s="0"/>
      <c r="CHV3" s="0"/>
      <c r="CHW3" s="0"/>
      <c r="CHX3" s="0"/>
      <c r="CHY3" s="0"/>
      <c r="CHZ3" s="0"/>
      <c r="CIA3" s="0"/>
      <c r="CIB3" s="0"/>
      <c r="CIC3" s="0"/>
      <c r="CID3" s="0"/>
      <c r="CIE3" s="0"/>
      <c r="CIF3" s="0"/>
      <c r="CIG3" s="0"/>
      <c r="CIH3" s="0"/>
      <c r="CII3" s="0"/>
      <c r="CIJ3" s="0"/>
      <c r="CIK3" s="0"/>
      <c r="CIL3" s="0"/>
      <c r="CIM3" s="0"/>
      <c r="CIN3" s="0"/>
      <c r="CIO3" s="0"/>
      <c r="CIP3" s="0"/>
      <c r="CIQ3" s="0"/>
      <c r="CIR3" s="0"/>
      <c r="CIS3" s="0"/>
      <c r="CIT3" s="0"/>
      <c r="CIU3" s="0"/>
      <c r="CIV3" s="0"/>
      <c r="CIW3" s="0"/>
      <c r="CIX3" s="0"/>
      <c r="CIY3" s="0"/>
      <c r="CIZ3" s="0"/>
      <c r="CJA3" s="0"/>
      <c r="CJB3" s="0"/>
      <c r="CJC3" s="0"/>
      <c r="CJD3" s="0"/>
      <c r="CJE3" s="0"/>
      <c r="CJF3" s="0"/>
      <c r="CJG3" s="0"/>
      <c r="CJH3" s="0"/>
      <c r="CJI3" s="0"/>
      <c r="CJJ3" s="0"/>
      <c r="CJK3" s="0"/>
      <c r="CJL3" s="0"/>
      <c r="CJM3" s="0"/>
      <c r="CJN3" s="0"/>
      <c r="CJO3" s="0"/>
      <c r="CJP3" s="0"/>
      <c r="CJQ3" s="0"/>
      <c r="CJR3" s="0"/>
      <c r="CJS3" s="0"/>
      <c r="CJT3" s="0"/>
      <c r="CJU3" s="0"/>
      <c r="CJV3" s="0"/>
      <c r="CJW3" s="0"/>
      <c r="CJX3" s="0"/>
      <c r="CJY3" s="0"/>
      <c r="CJZ3" s="0"/>
      <c r="CKA3" s="0"/>
      <c r="CKB3" s="0"/>
      <c r="CKC3" s="0"/>
      <c r="CKD3" s="0"/>
      <c r="CKE3" s="0"/>
      <c r="CKF3" s="0"/>
      <c r="CKG3" s="0"/>
      <c r="CKH3" s="0"/>
      <c r="CKI3" s="0"/>
      <c r="CKJ3" s="0"/>
      <c r="CKK3" s="0"/>
      <c r="CKL3" s="0"/>
      <c r="CKM3" s="0"/>
      <c r="CKN3" s="0"/>
      <c r="CKO3" s="0"/>
      <c r="CKP3" s="0"/>
      <c r="CKQ3" s="0"/>
      <c r="CKR3" s="0"/>
      <c r="CKS3" s="0"/>
      <c r="CKT3" s="0"/>
      <c r="CKU3" s="0"/>
      <c r="CKV3" s="0"/>
      <c r="CKW3" s="0"/>
      <c r="CKX3" s="0"/>
      <c r="CKY3" s="0"/>
      <c r="CKZ3" s="0"/>
      <c r="CLA3" s="0"/>
      <c r="CLB3" s="0"/>
      <c r="CLC3" s="0"/>
      <c r="CLD3" s="0"/>
      <c r="CLE3" s="0"/>
      <c r="CLF3" s="0"/>
      <c r="CLG3" s="0"/>
      <c r="CLH3" s="0"/>
      <c r="CLI3" s="0"/>
      <c r="CLJ3" s="0"/>
      <c r="CLK3" s="0"/>
      <c r="CLL3" s="0"/>
      <c r="CLM3" s="0"/>
      <c r="CLN3" s="0"/>
      <c r="CLO3" s="0"/>
      <c r="CLP3" s="0"/>
      <c r="CLQ3" s="0"/>
      <c r="CLR3" s="0"/>
      <c r="CLS3" s="0"/>
      <c r="CLT3" s="0"/>
      <c r="CLU3" s="0"/>
      <c r="CLV3" s="0"/>
      <c r="CLW3" s="0"/>
      <c r="CLX3" s="0"/>
      <c r="CLY3" s="0"/>
      <c r="CLZ3" s="0"/>
      <c r="CMA3" s="0"/>
      <c r="CMB3" s="0"/>
      <c r="CMC3" s="0"/>
      <c r="CMD3" s="0"/>
      <c r="CME3" s="0"/>
      <c r="CMF3" s="0"/>
      <c r="CMG3" s="0"/>
      <c r="CMH3" s="0"/>
      <c r="CMI3" s="0"/>
      <c r="CMJ3" s="0"/>
      <c r="CMK3" s="0"/>
      <c r="CML3" s="0"/>
      <c r="CMM3" s="0"/>
      <c r="CMN3" s="0"/>
      <c r="CMO3" s="0"/>
      <c r="CMP3" s="0"/>
      <c r="CMQ3" s="0"/>
      <c r="CMR3" s="0"/>
      <c r="CMS3" s="0"/>
      <c r="CMT3" s="0"/>
      <c r="CMU3" s="0"/>
      <c r="CMV3" s="0"/>
      <c r="CMW3" s="0"/>
      <c r="CMX3" s="0"/>
      <c r="CMY3" s="0"/>
      <c r="CMZ3" s="0"/>
      <c r="CNA3" s="0"/>
      <c r="CNB3" s="0"/>
      <c r="CNC3" s="0"/>
      <c r="CND3" s="0"/>
      <c r="CNE3" s="0"/>
      <c r="CNF3" s="0"/>
      <c r="CNG3" s="0"/>
      <c r="CNH3" s="0"/>
      <c r="CNI3" s="0"/>
      <c r="CNJ3" s="0"/>
      <c r="CNK3" s="0"/>
      <c r="CNL3" s="0"/>
      <c r="CNM3" s="0"/>
      <c r="CNN3" s="0"/>
      <c r="CNO3" s="0"/>
      <c r="CNP3" s="0"/>
      <c r="CNQ3" s="0"/>
      <c r="CNR3" s="0"/>
      <c r="CNS3" s="0"/>
      <c r="CNT3" s="0"/>
      <c r="CNU3" s="0"/>
      <c r="CNV3" s="0"/>
      <c r="CNW3" s="0"/>
      <c r="CNX3" s="0"/>
      <c r="CNY3" s="0"/>
      <c r="CNZ3" s="0"/>
      <c r="COA3" s="0"/>
      <c r="COB3" s="0"/>
      <c r="COC3" s="0"/>
      <c r="COD3" s="0"/>
      <c r="COE3" s="0"/>
      <c r="COF3" s="0"/>
      <c r="COG3" s="0"/>
      <c r="COH3" s="0"/>
      <c r="COI3" s="0"/>
      <c r="COJ3" s="0"/>
      <c r="COK3" s="0"/>
      <c r="COL3" s="0"/>
      <c r="COM3" s="0"/>
      <c r="CON3" s="0"/>
      <c r="COO3" s="0"/>
      <c r="COP3" s="0"/>
      <c r="COQ3" s="0"/>
      <c r="COR3" s="0"/>
      <c r="COS3" s="0"/>
      <c r="COT3" s="0"/>
      <c r="COU3" s="0"/>
      <c r="COV3" s="0"/>
      <c r="COW3" s="0"/>
      <c r="COX3" s="0"/>
      <c r="COY3" s="0"/>
      <c r="COZ3" s="0"/>
      <c r="CPA3" s="0"/>
      <c r="CPB3" s="0"/>
      <c r="CPC3" s="0"/>
      <c r="CPD3" s="0"/>
      <c r="CPE3" s="0"/>
      <c r="CPF3" s="0"/>
      <c r="CPG3" s="0"/>
      <c r="CPH3" s="0"/>
      <c r="CPI3" s="0"/>
      <c r="CPJ3" s="0"/>
      <c r="CPK3" s="0"/>
      <c r="CPL3" s="0"/>
      <c r="CPM3" s="0"/>
      <c r="CPN3" s="0"/>
      <c r="CPO3" s="0"/>
      <c r="CPP3" s="0"/>
      <c r="CPQ3" s="0"/>
      <c r="CPR3" s="0"/>
      <c r="CPS3" s="0"/>
      <c r="CPT3" s="0"/>
      <c r="CPU3" s="0"/>
      <c r="CPV3" s="0"/>
      <c r="CPW3" s="0"/>
      <c r="CPX3" s="0"/>
      <c r="CPY3" s="0"/>
      <c r="CPZ3" s="0"/>
      <c r="CQA3" s="0"/>
      <c r="CQB3" s="0"/>
      <c r="CQC3" s="0"/>
      <c r="CQD3" s="0"/>
      <c r="CQE3" s="0"/>
      <c r="CQF3" s="0"/>
      <c r="CQG3" s="0"/>
      <c r="CQH3" s="0"/>
      <c r="CQI3" s="0"/>
      <c r="CQJ3" s="0"/>
      <c r="CQK3" s="0"/>
      <c r="CQL3" s="0"/>
      <c r="CQM3" s="0"/>
      <c r="CQN3" s="0"/>
      <c r="CQO3" s="0"/>
      <c r="CQP3" s="0"/>
      <c r="CQQ3" s="0"/>
      <c r="CQR3" s="0"/>
      <c r="CQS3" s="0"/>
      <c r="CQT3" s="0"/>
      <c r="CQU3" s="0"/>
      <c r="CQV3" s="0"/>
      <c r="CQW3" s="0"/>
      <c r="CQX3" s="0"/>
      <c r="CQY3" s="0"/>
      <c r="CQZ3" s="0"/>
      <c r="CRA3" s="0"/>
      <c r="CRB3" s="0"/>
      <c r="CRC3" s="0"/>
      <c r="CRD3" s="0"/>
      <c r="CRE3" s="0"/>
      <c r="CRF3" s="0"/>
      <c r="CRG3" s="0"/>
      <c r="CRH3" s="0"/>
      <c r="CRI3" s="0"/>
      <c r="CRJ3" s="0"/>
      <c r="CRK3" s="0"/>
      <c r="CRL3" s="0"/>
      <c r="CRM3" s="0"/>
      <c r="CRN3" s="0"/>
      <c r="CRO3" s="0"/>
      <c r="CRP3" s="0"/>
      <c r="CRQ3" s="0"/>
      <c r="CRR3" s="0"/>
      <c r="CRS3" s="0"/>
      <c r="CRT3" s="0"/>
      <c r="CRU3" s="0"/>
      <c r="CRV3" s="0"/>
      <c r="CRW3" s="0"/>
      <c r="CRX3" s="0"/>
      <c r="CRY3" s="0"/>
      <c r="CRZ3" s="0"/>
      <c r="CSA3" s="0"/>
      <c r="CSB3" s="0"/>
      <c r="CSC3" s="0"/>
      <c r="CSD3" s="0"/>
      <c r="CSE3" s="0"/>
      <c r="CSF3" s="0"/>
      <c r="CSG3" s="0"/>
      <c r="CSH3" s="0"/>
      <c r="CSI3" s="0"/>
      <c r="CSJ3" s="0"/>
      <c r="CSK3" s="0"/>
      <c r="CSL3" s="0"/>
      <c r="CSM3" s="0"/>
      <c r="CSN3" s="0"/>
      <c r="CSO3" s="0"/>
      <c r="CSP3" s="0"/>
      <c r="CSQ3" s="0"/>
      <c r="CSR3" s="0"/>
      <c r="CSS3" s="0"/>
      <c r="CST3" s="0"/>
      <c r="CSU3" s="0"/>
      <c r="CSV3" s="0"/>
      <c r="CSW3" s="0"/>
      <c r="CSX3" s="0"/>
      <c r="CSY3" s="0"/>
      <c r="CSZ3" s="0"/>
      <c r="CTA3" s="0"/>
      <c r="CTB3" s="0"/>
      <c r="CTC3" s="0"/>
      <c r="CTD3" s="0"/>
      <c r="CTE3" s="0"/>
      <c r="CTF3" s="0"/>
      <c r="CTG3" s="0"/>
      <c r="CTH3" s="0"/>
      <c r="CTI3" s="0"/>
      <c r="CTJ3" s="0"/>
      <c r="CTK3" s="0"/>
      <c r="CTL3" s="0"/>
      <c r="CTM3" s="0"/>
      <c r="CTN3" s="0"/>
      <c r="CTO3" s="0"/>
      <c r="CTP3" s="0"/>
      <c r="CTQ3" s="0"/>
      <c r="CTR3" s="0"/>
      <c r="CTS3" s="0"/>
      <c r="CTT3" s="0"/>
      <c r="CTU3" s="0"/>
      <c r="CTV3" s="0"/>
      <c r="CTW3" s="0"/>
      <c r="CTX3" s="0"/>
      <c r="CTY3" s="0"/>
      <c r="CTZ3" s="0"/>
      <c r="CUA3" s="0"/>
      <c r="CUB3" s="0"/>
      <c r="CUC3" s="0"/>
      <c r="CUD3" s="0"/>
      <c r="CUE3" s="0"/>
      <c r="CUF3" s="0"/>
      <c r="CUG3" s="0"/>
      <c r="CUH3" s="0"/>
      <c r="CUI3" s="0"/>
      <c r="CUJ3" s="0"/>
      <c r="CUK3" s="0"/>
      <c r="CUL3" s="0"/>
      <c r="CUM3" s="0"/>
      <c r="CUN3" s="0"/>
      <c r="CUO3" s="0"/>
      <c r="CUP3" s="0"/>
      <c r="CUQ3" s="0"/>
      <c r="CUR3" s="0"/>
      <c r="CUS3" s="0"/>
      <c r="CUT3" s="0"/>
      <c r="CUU3" s="0"/>
      <c r="CUV3" s="0"/>
      <c r="CUW3" s="0"/>
      <c r="CUX3" s="0"/>
      <c r="CUY3" s="0"/>
      <c r="CUZ3" s="0"/>
      <c r="CVA3" s="0"/>
      <c r="CVB3" s="0"/>
      <c r="CVC3" s="0"/>
      <c r="CVD3" s="0"/>
      <c r="CVE3" s="0"/>
      <c r="CVF3" s="0"/>
      <c r="CVG3" s="0"/>
      <c r="CVH3" s="0"/>
      <c r="CVI3" s="0"/>
      <c r="CVJ3" s="0"/>
      <c r="CVK3" s="0"/>
      <c r="CVL3" s="0"/>
      <c r="CVM3" s="0"/>
      <c r="CVN3" s="0"/>
      <c r="CVO3" s="0"/>
      <c r="CVP3" s="0"/>
      <c r="CVQ3" s="0"/>
      <c r="CVR3" s="0"/>
      <c r="CVS3" s="0"/>
      <c r="CVT3" s="0"/>
      <c r="CVU3" s="0"/>
      <c r="CVV3" s="0"/>
      <c r="CVW3" s="0"/>
      <c r="CVX3" s="0"/>
      <c r="CVY3" s="0"/>
      <c r="CVZ3" s="0"/>
      <c r="CWA3" s="0"/>
      <c r="CWB3" s="0"/>
      <c r="CWC3" s="0"/>
      <c r="CWD3" s="0"/>
      <c r="CWE3" s="0"/>
      <c r="CWF3" s="0"/>
      <c r="CWG3" s="0"/>
      <c r="CWH3" s="0"/>
      <c r="CWI3" s="0"/>
      <c r="CWJ3" s="0"/>
      <c r="CWK3" s="0"/>
      <c r="CWL3" s="0"/>
      <c r="CWM3" s="0"/>
      <c r="CWN3" s="0"/>
      <c r="CWO3" s="0"/>
      <c r="CWP3" s="0"/>
      <c r="CWQ3" s="0"/>
      <c r="CWR3" s="0"/>
      <c r="CWS3" s="0"/>
      <c r="CWT3" s="0"/>
      <c r="CWU3" s="0"/>
      <c r="CWV3" s="0"/>
      <c r="CWW3" s="0"/>
      <c r="CWX3" s="0"/>
      <c r="CWY3" s="0"/>
      <c r="CWZ3" s="0"/>
      <c r="CXA3" s="0"/>
      <c r="CXB3" s="0"/>
      <c r="CXC3" s="0"/>
      <c r="CXD3" s="0"/>
      <c r="CXE3" s="0"/>
      <c r="CXF3" s="0"/>
      <c r="CXG3" s="0"/>
      <c r="CXH3" s="0"/>
      <c r="CXI3" s="0"/>
      <c r="CXJ3" s="0"/>
      <c r="CXK3" s="0"/>
      <c r="CXL3" s="0"/>
      <c r="CXM3" s="0"/>
      <c r="CXN3" s="0"/>
      <c r="CXO3" s="0"/>
      <c r="CXP3" s="0"/>
      <c r="CXQ3" s="0"/>
      <c r="CXR3" s="0"/>
      <c r="CXS3" s="0"/>
      <c r="CXT3" s="0"/>
      <c r="CXU3" s="0"/>
      <c r="CXV3" s="0"/>
      <c r="CXW3" s="0"/>
      <c r="CXX3" s="0"/>
      <c r="CXY3" s="0"/>
      <c r="CXZ3" s="0"/>
      <c r="CYA3" s="0"/>
      <c r="CYB3" s="0"/>
      <c r="CYC3" s="0"/>
      <c r="CYD3" s="0"/>
      <c r="CYE3" s="0"/>
      <c r="CYF3" s="0"/>
      <c r="CYG3" s="0"/>
      <c r="CYH3" s="0"/>
      <c r="CYI3" s="0"/>
      <c r="CYJ3" s="0"/>
      <c r="CYK3" s="0"/>
      <c r="CYL3" s="0"/>
      <c r="CYM3" s="0"/>
      <c r="CYN3" s="0"/>
      <c r="CYO3" s="0"/>
      <c r="CYP3" s="0"/>
      <c r="CYQ3" s="0"/>
      <c r="CYR3" s="0"/>
      <c r="CYS3" s="0"/>
      <c r="CYT3" s="0"/>
      <c r="CYU3" s="0"/>
      <c r="CYV3" s="0"/>
      <c r="CYW3" s="0"/>
      <c r="CYX3" s="0"/>
      <c r="CYY3" s="0"/>
      <c r="CYZ3" s="0"/>
      <c r="CZA3" s="0"/>
      <c r="CZB3" s="0"/>
      <c r="CZC3" s="0"/>
      <c r="CZD3" s="0"/>
      <c r="CZE3" s="0"/>
      <c r="CZF3" s="0"/>
      <c r="CZG3" s="0"/>
      <c r="CZH3" s="0"/>
      <c r="CZI3" s="0"/>
      <c r="CZJ3" s="0"/>
      <c r="CZK3" s="0"/>
      <c r="CZL3" s="0"/>
      <c r="CZM3" s="0"/>
      <c r="CZN3" s="0"/>
      <c r="CZO3" s="0"/>
      <c r="CZP3" s="0"/>
      <c r="CZQ3" s="0"/>
      <c r="CZR3" s="0"/>
      <c r="CZS3" s="0"/>
      <c r="CZT3" s="0"/>
      <c r="CZU3" s="0"/>
      <c r="CZV3" s="0"/>
      <c r="CZW3" s="0"/>
      <c r="CZX3" s="0"/>
      <c r="CZY3" s="0"/>
      <c r="CZZ3" s="0"/>
      <c r="DAA3" s="0"/>
      <c r="DAB3" s="0"/>
      <c r="DAC3" s="0"/>
      <c r="DAD3" s="0"/>
      <c r="DAE3" s="0"/>
      <c r="DAF3" s="0"/>
      <c r="DAG3" s="0"/>
      <c r="DAH3" s="0"/>
      <c r="DAI3" s="0"/>
      <c r="DAJ3" s="0"/>
      <c r="DAK3" s="0"/>
      <c r="DAL3" s="0"/>
      <c r="DAM3" s="0"/>
      <c r="DAN3" s="0"/>
      <c r="DAO3" s="0"/>
      <c r="DAP3" s="0"/>
      <c r="DAQ3" s="0"/>
      <c r="DAR3" s="0"/>
      <c r="DAS3" s="0"/>
      <c r="DAT3" s="0"/>
      <c r="DAU3" s="0"/>
      <c r="DAV3" s="0"/>
      <c r="DAW3" s="0"/>
      <c r="DAX3" s="0"/>
      <c r="DAY3" s="0"/>
      <c r="DAZ3" s="0"/>
      <c r="DBA3" s="0"/>
      <c r="DBB3" s="0"/>
      <c r="DBC3" s="0"/>
      <c r="DBD3" s="0"/>
      <c r="DBE3" s="0"/>
      <c r="DBF3" s="0"/>
      <c r="DBG3" s="0"/>
      <c r="DBH3" s="0"/>
      <c r="DBI3" s="0"/>
      <c r="DBJ3" s="0"/>
      <c r="DBK3" s="0"/>
      <c r="DBL3" s="0"/>
      <c r="DBM3" s="0"/>
      <c r="DBN3" s="0"/>
      <c r="DBO3" s="0"/>
      <c r="DBP3" s="0"/>
      <c r="DBQ3" s="0"/>
      <c r="DBR3" s="0"/>
      <c r="DBS3" s="0"/>
      <c r="DBT3" s="0"/>
      <c r="DBU3" s="0"/>
      <c r="DBV3" s="0"/>
      <c r="DBW3" s="0"/>
      <c r="DBX3" s="0"/>
      <c r="DBY3" s="0"/>
      <c r="DBZ3" s="0"/>
      <c r="DCA3" s="0"/>
      <c r="DCB3" s="0"/>
      <c r="DCC3" s="0"/>
      <c r="DCD3" s="0"/>
      <c r="DCE3" s="0"/>
      <c r="DCF3" s="0"/>
      <c r="DCG3" s="0"/>
      <c r="DCH3" s="0"/>
      <c r="DCI3" s="0"/>
      <c r="DCJ3" s="0"/>
      <c r="DCK3" s="0"/>
      <c r="DCL3" s="0"/>
      <c r="DCM3" s="0"/>
      <c r="DCN3" s="0"/>
      <c r="DCO3" s="0"/>
      <c r="DCP3" s="0"/>
      <c r="DCQ3" s="0"/>
      <c r="DCR3" s="0"/>
      <c r="DCS3" s="0"/>
      <c r="DCT3" s="0"/>
      <c r="DCU3" s="0"/>
      <c r="DCV3" s="0"/>
      <c r="DCW3" s="0"/>
      <c r="DCX3" s="0"/>
      <c r="DCY3" s="0"/>
      <c r="DCZ3" s="0"/>
      <c r="DDA3" s="0"/>
      <c r="DDB3" s="0"/>
      <c r="DDC3" s="0"/>
      <c r="DDD3" s="0"/>
      <c r="DDE3" s="0"/>
      <c r="DDF3" s="0"/>
      <c r="DDG3" s="0"/>
      <c r="DDH3" s="0"/>
      <c r="DDI3" s="0"/>
      <c r="DDJ3" s="0"/>
      <c r="DDK3" s="0"/>
      <c r="DDL3" s="0"/>
      <c r="DDM3" s="0"/>
      <c r="DDN3" s="0"/>
      <c r="DDO3" s="0"/>
      <c r="DDP3" s="0"/>
      <c r="DDQ3" s="0"/>
      <c r="DDR3" s="0"/>
      <c r="DDS3" s="0"/>
      <c r="DDT3" s="0"/>
      <c r="DDU3" s="0"/>
      <c r="DDV3" s="0"/>
      <c r="DDW3" s="0"/>
      <c r="DDX3" s="0"/>
      <c r="DDY3" s="0"/>
      <c r="DDZ3" s="0"/>
      <c r="DEA3" s="0"/>
      <c r="DEB3" s="0"/>
      <c r="DEC3" s="0"/>
      <c r="DED3" s="0"/>
      <c r="DEE3" s="0"/>
      <c r="DEF3" s="0"/>
      <c r="DEG3" s="0"/>
      <c r="DEH3" s="0"/>
      <c r="DEI3" s="0"/>
      <c r="DEJ3" s="0"/>
      <c r="DEK3" s="0"/>
      <c r="DEL3" s="0"/>
      <c r="DEM3" s="0"/>
      <c r="DEN3" s="0"/>
      <c r="DEO3" s="0"/>
      <c r="DEP3" s="0"/>
      <c r="DEQ3" s="0"/>
      <c r="DER3" s="0"/>
      <c r="DES3" s="0"/>
      <c r="DET3" s="0"/>
      <c r="DEU3" s="0"/>
      <c r="DEV3" s="0"/>
      <c r="DEW3" s="0"/>
      <c r="DEX3" s="0"/>
      <c r="DEY3" s="0"/>
      <c r="DEZ3" s="0"/>
      <c r="DFA3" s="0"/>
      <c r="DFB3" s="0"/>
      <c r="DFC3" s="0"/>
      <c r="DFD3" s="0"/>
      <c r="DFE3" s="0"/>
      <c r="DFF3" s="0"/>
      <c r="DFG3" s="0"/>
      <c r="DFH3" s="0"/>
      <c r="DFI3" s="0"/>
      <c r="DFJ3" s="0"/>
      <c r="DFK3" s="0"/>
      <c r="DFL3" s="0"/>
      <c r="DFM3" s="0"/>
      <c r="DFN3" s="0"/>
      <c r="DFO3" s="0"/>
      <c r="DFP3" s="0"/>
      <c r="DFQ3" s="0"/>
      <c r="DFR3" s="0"/>
      <c r="DFS3" s="0"/>
      <c r="DFT3" s="0"/>
      <c r="DFU3" s="0"/>
      <c r="DFV3" s="0"/>
      <c r="DFW3" s="0"/>
      <c r="DFX3" s="0"/>
      <c r="DFY3" s="0"/>
      <c r="DFZ3" s="0"/>
      <c r="DGA3" s="0"/>
      <c r="DGB3" s="0"/>
      <c r="DGC3" s="0"/>
      <c r="DGD3" s="0"/>
      <c r="DGE3" s="0"/>
      <c r="DGF3" s="0"/>
      <c r="DGG3" s="0"/>
      <c r="DGH3" s="0"/>
      <c r="DGI3" s="0"/>
      <c r="DGJ3" s="0"/>
      <c r="DGK3" s="0"/>
      <c r="DGL3" s="0"/>
      <c r="DGM3" s="0"/>
      <c r="DGN3" s="0"/>
      <c r="DGO3" s="0"/>
      <c r="DGP3" s="0"/>
      <c r="DGQ3" s="0"/>
      <c r="DGR3" s="0"/>
      <c r="DGS3" s="0"/>
      <c r="DGT3" s="0"/>
      <c r="DGU3" s="0"/>
      <c r="DGV3" s="0"/>
      <c r="DGW3" s="0"/>
      <c r="DGX3" s="0"/>
      <c r="DGY3" s="0"/>
      <c r="DGZ3" s="0"/>
      <c r="DHA3" s="0"/>
      <c r="DHB3" s="0"/>
      <c r="DHC3" s="0"/>
      <c r="DHD3" s="0"/>
      <c r="DHE3" s="0"/>
      <c r="DHF3" s="0"/>
      <c r="DHG3" s="0"/>
      <c r="DHH3" s="0"/>
      <c r="DHI3" s="0"/>
      <c r="DHJ3" s="0"/>
      <c r="DHK3" s="0"/>
      <c r="DHL3" s="0"/>
      <c r="DHM3" s="0"/>
      <c r="DHN3" s="0"/>
      <c r="DHO3" s="0"/>
      <c r="DHP3" s="0"/>
      <c r="DHQ3" s="0"/>
      <c r="DHR3" s="0"/>
      <c r="DHS3" s="0"/>
      <c r="DHT3" s="0"/>
      <c r="DHU3" s="0"/>
      <c r="DHV3" s="0"/>
      <c r="DHW3" s="0"/>
      <c r="DHX3" s="0"/>
      <c r="DHY3" s="0"/>
      <c r="DHZ3" s="0"/>
      <c r="DIA3" s="0"/>
      <c r="DIB3" s="0"/>
      <c r="DIC3" s="0"/>
      <c r="DID3" s="0"/>
      <c r="DIE3" s="0"/>
      <c r="DIF3" s="0"/>
      <c r="DIG3" s="0"/>
      <c r="DIH3" s="0"/>
      <c r="DII3" s="0"/>
      <c r="DIJ3" s="0"/>
      <c r="DIK3" s="0"/>
      <c r="DIL3" s="0"/>
      <c r="DIM3" s="0"/>
      <c r="DIN3" s="0"/>
      <c r="DIO3" s="0"/>
      <c r="DIP3" s="0"/>
      <c r="DIQ3" s="0"/>
      <c r="DIR3" s="0"/>
      <c r="DIS3" s="0"/>
      <c r="DIT3" s="0"/>
      <c r="DIU3" s="0"/>
      <c r="DIV3" s="0"/>
      <c r="DIW3" s="0"/>
      <c r="DIX3" s="0"/>
      <c r="DIY3" s="0"/>
      <c r="DIZ3" s="0"/>
      <c r="DJA3" s="0"/>
      <c r="DJB3" s="0"/>
      <c r="DJC3" s="0"/>
      <c r="DJD3" s="0"/>
      <c r="DJE3" s="0"/>
      <c r="DJF3" s="0"/>
      <c r="DJG3" s="0"/>
      <c r="DJH3" s="0"/>
      <c r="DJI3" s="0"/>
      <c r="DJJ3" s="0"/>
      <c r="DJK3" s="0"/>
      <c r="DJL3" s="0"/>
      <c r="DJM3" s="0"/>
      <c r="DJN3" s="0"/>
      <c r="DJO3" s="0"/>
      <c r="DJP3" s="0"/>
      <c r="DJQ3" s="0"/>
      <c r="DJR3" s="0"/>
      <c r="DJS3" s="0"/>
      <c r="DJT3" s="0"/>
      <c r="DJU3" s="0"/>
      <c r="DJV3" s="0"/>
      <c r="DJW3" s="0"/>
      <c r="DJX3" s="0"/>
      <c r="DJY3" s="0"/>
      <c r="DJZ3" s="0"/>
      <c r="DKA3" s="0"/>
      <c r="DKB3" s="0"/>
      <c r="DKC3" s="0"/>
      <c r="DKD3" s="0"/>
      <c r="DKE3" s="0"/>
      <c r="DKF3" s="0"/>
      <c r="DKG3" s="0"/>
      <c r="DKH3" s="0"/>
      <c r="DKI3" s="0"/>
      <c r="DKJ3" s="0"/>
      <c r="DKK3" s="0"/>
      <c r="DKL3" s="0"/>
      <c r="DKM3" s="0"/>
      <c r="DKN3" s="0"/>
      <c r="DKO3" s="0"/>
      <c r="DKP3" s="0"/>
      <c r="DKQ3" s="0"/>
      <c r="DKR3" s="0"/>
      <c r="DKS3" s="0"/>
      <c r="DKT3" s="0"/>
      <c r="DKU3" s="0"/>
      <c r="DKV3" s="0"/>
      <c r="DKW3" s="0"/>
      <c r="DKX3" s="0"/>
      <c r="DKY3" s="0"/>
      <c r="DKZ3" s="0"/>
      <c r="DLA3" s="0"/>
      <c r="DLB3" s="0"/>
      <c r="DLC3" s="0"/>
      <c r="DLD3" s="0"/>
      <c r="DLE3" s="0"/>
      <c r="DLF3" s="0"/>
      <c r="DLG3" s="0"/>
      <c r="DLH3" s="0"/>
      <c r="DLI3" s="0"/>
      <c r="DLJ3" s="0"/>
      <c r="DLK3" s="0"/>
      <c r="DLL3" s="0"/>
      <c r="DLM3" s="0"/>
      <c r="DLN3" s="0"/>
      <c r="DLO3" s="0"/>
      <c r="DLP3" s="0"/>
      <c r="DLQ3" s="0"/>
      <c r="DLR3" s="0"/>
      <c r="DLS3" s="0"/>
      <c r="DLT3" s="0"/>
      <c r="DLU3" s="0"/>
      <c r="DLV3" s="0"/>
      <c r="DLW3" s="0"/>
      <c r="DLX3" s="0"/>
      <c r="DLY3" s="0"/>
      <c r="DLZ3" s="0"/>
      <c r="DMA3" s="0"/>
      <c r="DMB3" s="0"/>
      <c r="DMC3" s="0"/>
      <c r="DMD3" s="0"/>
      <c r="DME3" s="0"/>
      <c r="DMF3" s="0"/>
      <c r="DMG3" s="0"/>
      <c r="DMH3" s="0"/>
      <c r="DMI3" s="0"/>
      <c r="DMJ3" s="0"/>
      <c r="DMK3" s="0"/>
      <c r="DML3" s="0"/>
      <c r="DMM3" s="0"/>
      <c r="DMN3" s="0"/>
      <c r="DMO3" s="0"/>
      <c r="DMP3" s="0"/>
      <c r="DMQ3" s="0"/>
      <c r="DMR3" s="0"/>
      <c r="DMS3" s="0"/>
      <c r="DMT3" s="0"/>
      <c r="DMU3" s="0"/>
      <c r="DMV3" s="0"/>
      <c r="DMW3" s="0"/>
      <c r="DMX3" s="0"/>
      <c r="DMY3" s="0"/>
      <c r="DMZ3" s="0"/>
      <c r="DNA3" s="0"/>
      <c r="DNB3" s="0"/>
      <c r="DNC3" s="0"/>
      <c r="DND3" s="0"/>
      <c r="DNE3" s="0"/>
      <c r="DNF3" s="0"/>
      <c r="DNG3" s="0"/>
      <c r="DNH3" s="0"/>
      <c r="DNI3" s="0"/>
      <c r="DNJ3" s="0"/>
      <c r="DNK3" s="0"/>
      <c r="DNL3" s="0"/>
      <c r="DNM3" s="0"/>
      <c r="DNN3" s="0"/>
      <c r="DNO3" s="0"/>
      <c r="DNP3" s="0"/>
      <c r="DNQ3" s="0"/>
      <c r="DNR3" s="0"/>
      <c r="DNS3" s="0"/>
      <c r="DNT3" s="0"/>
      <c r="DNU3" s="0"/>
      <c r="DNV3" s="0"/>
      <c r="DNW3" s="0"/>
      <c r="DNX3" s="0"/>
      <c r="DNY3" s="0"/>
      <c r="DNZ3" s="0"/>
      <c r="DOA3" s="0"/>
      <c r="DOB3" s="0"/>
      <c r="DOC3" s="0"/>
      <c r="DOD3" s="0"/>
      <c r="DOE3" s="0"/>
      <c r="DOF3" s="0"/>
      <c r="DOG3" s="0"/>
      <c r="DOH3" s="0"/>
      <c r="DOI3" s="0"/>
      <c r="DOJ3" s="0"/>
      <c r="DOK3" s="0"/>
      <c r="DOL3" s="0"/>
      <c r="DOM3" s="0"/>
      <c r="DON3" s="0"/>
      <c r="DOO3" s="0"/>
      <c r="DOP3" s="0"/>
      <c r="DOQ3" s="0"/>
      <c r="DOR3" s="0"/>
      <c r="DOS3" s="0"/>
      <c r="DOT3" s="0"/>
      <c r="DOU3" s="0"/>
      <c r="DOV3" s="0"/>
      <c r="DOW3" s="0"/>
      <c r="DOX3" s="0"/>
      <c r="DOY3" s="0"/>
      <c r="DOZ3" s="0"/>
      <c r="DPA3" s="0"/>
      <c r="DPB3" s="0"/>
      <c r="DPC3" s="0"/>
      <c r="DPD3" s="0"/>
      <c r="DPE3" s="0"/>
      <c r="DPF3" s="0"/>
      <c r="DPG3" s="0"/>
      <c r="DPH3" s="0"/>
      <c r="DPI3" s="0"/>
      <c r="DPJ3" s="0"/>
      <c r="DPK3" s="0"/>
      <c r="DPL3" s="0"/>
      <c r="DPM3" s="0"/>
      <c r="DPN3" s="0"/>
      <c r="DPO3" s="0"/>
      <c r="DPP3" s="0"/>
      <c r="DPQ3" s="0"/>
      <c r="DPR3" s="0"/>
      <c r="DPS3" s="0"/>
      <c r="DPT3" s="0"/>
      <c r="DPU3" s="0"/>
      <c r="DPV3" s="0"/>
      <c r="DPW3" s="0"/>
      <c r="DPX3" s="0"/>
      <c r="DPY3" s="0"/>
      <c r="DPZ3" s="0"/>
      <c r="DQA3" s="0"/>
      <c r="DQB3" s="0"/>
      <c r="DQC3" s="0"/>
      <c r="DQD3" s="0"/>
      <c r="DQE3" s="0"/>
      <c r="DQF3" s="0"/>
      <c r="DQG3" s="0"/>
      <c r="DQH3" s="0"/>
      <c r="DQI3" s="0"/>
      <c r="DQJ3" s="0"/>
      <c r="DQK3" s="0"/>
      <c r="DQL3" s="0"/>
      <c r="DQM3" s="0"/>
      <c r="DQN3" s="0"/>
      <c r="DQO3" s="0"/>
      <c r="DQP3" s="0"/>
      <c r="DQQ3" s="0"/>
      <c r="DQR3" s="0"/>
      <c r="DQS3" s="0"/>
      <c r="DQT3" s="0"/>
      <c r="DQU3" s="0"/>
      <c r="DQV3" s="0"/>
      <c r="DQW3" s="0"/>
      <c r="DQX3" s="0"/>
      <c r="DQY3" s="0"/>
      <c r="DQZ3" s="0"/>
      <c r="DRA3" s="0"/>
      <c r="DRB3" s="0"/>
      <c r="DRC3" s="0"/>
      <c r="DRD3" s="0"/>
      <c r="DRE3" s="0"/>
      <c r="DRF3" s="0"/>
      <c r="DRG3" s="0"/>
      <c r="DRH3" s="0"/>
      <c r="DRI3" s="0"/>
      <c r="DRJ3" s="0"/>
      <c r="DRK3" s="0"/>
      <c r="DRL3" s="0"/>
      <c r="DRM3" s="0"/>
      <c r="DRN3" s="0"/>
      <c r="DRO3" s="0"/>
      <c r="DRP3" s="0"/>
      <c r="DRQ3" s="0"/>
      <c r="DRR3" s="0"/>
      <c r="DRS3" s="0"/>
      <c r="DRT3" s="0"/>
      <c r="DRU3" s="0"/>
      <c r="DRV3" s="0"/>
      <c r="DRW3" s="0"/>
      <c r="DRX3" s="0"/>
      <c r="DRY3" s="0"/>
      <c r="DRZ3" s="0"/>
      <c r="DSA3" s="0"/>
      <c r="DSB3" s="0"/>
      <c r="DSC3" s="0"/>
      <c r="DSD3" s="0"/>
      <c r="DSE3" s="0"/>
      <c r="DSF3" s="0"/>
      <c r="DSG3" s="0"/>
      <c r="DSH3" s="0"/>
      <c r="DSI3" s="0"/>
      <c r="DSJ3" s="0"/>
      <c r="DSK3" s="0"/>
      <c r="DSL3" s="0"/>
      <c r="DSM3" s="0"/>
      <c r="DSN3" s="0"/>
      <c r="DSO3" s="0"/>
      <c r="DSP3" s="0"/>
      <c r="DSQ3" s="0"/>
      <c r="DSR3" s="0"/>
      <c r="DSS3" s="0"/>
      <c r="DST3" s="0"/>
      <c r="DSU3" s="0"/>
      <c r="DSV3" s="0"/>
      <c r="DSW3" s="0"/>
      <c r="DSX3" s="0"/>
      <c r="DSY3" s="0"/>
      <c r="DSZ3" s="0"/>
      <c r="DTA3" s="0"/>
      <c r="DTB3" s="0"/>
      <c r="DTC3" s="0"/>
      <c r="DTD3" s="0"/>
      <c r="DTE3" s="0"/>
      <c r="DTF3" s="0"/>
      <c r="DTG3" s="0"/>
      <c r="DTH3" s="0"/>
      <c r="DTI3" s="0"/>
      <c r="DTJ3" s="0"/>
      <c r="DTK3" s="0"/>
      <c r="DTL3" s="0"/>
      <c r="DTM3" s="0"/>
      <c r="DTN3" s="0"/>
      <c r="DTO3" s="0"/>
      <c r="DTP3" s="0"/>
      <c r="DTQ3" s="0"/>
      <c r="DTR3" s="0"/>
      <c r="DTS3" s="0"/>
      <c r="DTT3" s="0"/>
      <c r="DTU3" s="0"/>
      <c r="DTV3" s="0"/>
      <c r="DTW3" s="0"/>
      <c r="DTX3" s="0"/>
      <c r="DTY3" s="0"/>
      <c r="DTZ3" s="0"/>
      <c r="DUA3" s="0"/>
      <c r="DUB3" s="0"/>
      <c r="DUC3" s="0"/>
      <c r="DUD3" s="0"/>
      <c r="DUE3" s="0"/>
      <c r="DUF3" s="0"/>
      <c r="DUG3" s="0"/>
      <c r="DUH3" s="0"/>
      <c r="DUI3" s="0"/>
      <c r="DUJ3" s="0"/>
      <c r="DUK3" s="0"/>
      <c r="DUL3" s="0"/>
      <c r="DUM3" s="0"/>
      <c r="DUN3" s="0"/>
      <c r="DUO3" s="0"/>
      <c r="DUP3" s="0"/>
      <c r="DUQ3" s="0"/>
      <c r="DUR3" s="0"/>
      <c r="DUS3" s="0"/>
      <c r="DUT3" s="0"/>
      <c r="DUU3" s="0"/>
      <c r="DUV3" s="0"/>
      <c r="DUW3" s="0"/>
      <c r="DUX3" s="0"/>
      <c r="DUY3" s="0"/>
      <c r="DUZ3" s="0"/>
      <c r="DVA3" s="0"/>
      <c r="DVB3" s="0"/>
      <c r="DVC3" s="0"/>
      <c r="DVD3" s="0"/>
      <c r="DVE3" s="0"/>
      <c r="DVF3" s="0"/>
      <c r="DVG3" s="0"/>
      <c r="DVH3" s="0"/>
      <c r="DVI3" s="0"/>
      <c r="DVJ3" s="0"/>
      <c r="DVK3" s="0"/>
      <c r="DVL3" s="0"/>
      <c r="DVM3" s="0"/>
      <c r="DVN3" s="0"/>
      <c r="DVO3" s="0"/>
      <c r="DVP3" s="0"/>
      <c r="DVQ3" s="0"/>
      <c r="DVR3" s="0"/>
      <c r="DVS3" s="0"/>
      <c r="DVT3" s="0"/>
      <c r="DVU3" s="0"/>
      <c r="DVV3" s="0"/>
      <c r="DVW3" s="0"/>
      <c r="DVX3" s="0"/>
      <c r="DVY3" s="0"/>
      <c r="DVZ3" s="0"/>
      <c r="DWA3" s="0"/>
      <c r="DWB3" s="0"/>
      <c r="DWC3" s="0"/>
      <c r="DWD3" s="0"/>
      <c r="DWE3" s="0"/>
      <c r="DWF3" s="0"/>
      <c r="DWG3" s="0"/>
      <c r="DWH3" s="0"/>
      <c r="DWI3" s="0"/>
      <c r="DWJ3" s="0"/>
      <c r="DWK3" s="0"/>
      <c r="DWL3" s="0"/>
      <c r="DWM3" s="0"/>
      <c r="DWN3" s="0"/>
      <c r="DWO3" s="0"/>
      <c r="DWP3" s="0"/>
      <c r="DWQ3" s="0"/>
      <c r="DWR3" s="0"/>
      <c r="DWS3" s="0"/>
      <c r="DWT3" s="0"/>
      <c r="DWU3" s="0"/>
      <c r="DWV3" s="0"/>
      <c r="DWW3" s="0"/>
      <c r="DWX3" s="0"/>
      <c r="DWY3" s="0"/>
      <c r="DWZ3" s="0"/>
      <c r="DXA3" s="0"/>
      <c r="DXB3" s="0"/>
      <c r="DXC3" s="0"/>
      <c r="DXD3" s="0"/>
      <c r="DXE3" s="0"/>
      <c r="DXF3" s="0"/>
      <c r="DXG3" s="0"/>
      <c r="DXH3" s="0"/>
      <c r="DXI3" s="0"/>
      <c r="DXJ3" s="0"/>
      <c r="DXK3" s="0"/>
      <c r="DXL3" s="0"/>
      <c r="DXM3" s="0"/>
      <c r="DXN3" s="0"/>
      <c r="DXO3" s="0"/>
      <c r="DXP3" s="0"/>
      <c r="DXQ3" s="0"/>
      <c r="DXR3" s="0"/>
      <c r="DXS3" s="0"/>
      <c r="DXT3" s="0"/>
      <c r="DXU3" s="0"/>
      <c r="DXV3" s="0"/>
      <c r="DXW3" s="0"/>
      <c r="DXX3" s="0"/>
      <c r="DXY3" s="0"/>
      <c r="DXZ3" s="0"/>
      <c r="DYA3" s="0"/>
      <c r="DYB3" s="0"/>
      <c r="DYC3" s="0"/>
      <c r="DYD3" s="0"/>
      <c r="DYE3" s="0"/>
      <c r="DYF3" s="0"/>
      <c r="DYG3" s="0"/>
      <c r="DYH3" s="0"/>
      <c r="DYI3" s="0"/>
      <c r="DYJ3" s="0"/>
      <c r="DYK3" s="0"/>
      <c r="DYL3" s="0"/>
      <c r="DYM3" s="0"/>
      <c r="DYN3" s="0"/>
      <c r="DYO3" s="0"/>
      <c r="DYP3" s="0"/>
      <c r="DYQ3" s="0"/>
      <c r="DYR3" s="0"/>
      <c r="DYS3" s="0"/>
      <c r="DYT3" s="0"/>
      <c r="DYU3" s="0"/>
      <c r="DYV3" s="0"/>
      <c r="DYW3" s="0"/>
      <c r="DYX3" s="0"/>
      <c r="DYY3" s="0"/>
      <c r="DYZ3" s="0"/>
      <c r="DZA3" s="0"/>
      <c r="DZB3" s="0"/>
      <c r="DZC3" s="0"/>
      <c r="DZD3" s="0"/>
      <c r="DZE3" s="0"/>
      <c r="DZF3" s="0"/>
      <c r="DZG3" s="0"/>
      <c r="DZH3" s="0"/>
      <c r="DZI3" s="0"/>
      <c r="DZJ3" s="0"/>
      <c r="DZK3" s="0"/>
      <c r="DZL3" s="0"/>
      <c r="DZM3" s="0"/>
      <c r="DZN3" s="0"/>
      <c r="DZO3" s="0"/>
      <c r="DZP3" s="0"/>
      <c r="DZQ3" s="0"/>
      <c r="DZR3" s="0"/>
      <c r="DZS3" s="0"/>
      <c r="DZT3" s="0"/>
      <c r="DZU3" s="0"/>
      <c r="DZV3" s="0"/>
      <c r="DZW3" s="0"/>
      <c r="DZX3" s="0"/>
      <c r="DZY3" s="0"/>
      <c r="DZZ3" s="0"/>
      <c r="EAA3" s="0"/>
      <c r="EAB3" s="0"/>
      <c r="EAC3" s="0"/>
      <c r="EAD3" s="0"/>
      <c r="EAE3" s="0"/>
      <c r="EAF3" s="0"/>
      <c r="EAG3" s="0"/>
      <c r="EAH3" s="0"/>
      <c r="EAI3" s="0"/>
      <c r="EAJ3" s="0"/>
      <c r="EAK3" s="0"/>
      <c r="EAL3" s="0"/>
      <c r="EAM3" s="0"/>
      <c r="EAN3" s="0"/>
      <c r="EAO3" s="0"/>
      <c r="EAP3" s="0"/>
      <c r="EAQ3" s="0"/>
      <c r="EAR3" s="0"/>
      <c r="EAS3" s="0"/>
      <c r="EAT3" s="0"/>
      <c r="EAU3" s="0"/>
      <c r="EAV3" s="0"/>
      <c r="EAW3" s="0"/>
      <c r="EAX3" s="0"/>
      <c r="EAY3" s="0"/>
      <c r="EAZ3" s="0"/>
      <c r="EBA3" s="0"/>
      <c r="EBB3" s="0"/>
      <c r="EBC3" s="0"/>
      <c r="EBD3" s="0"/>
      <c r="EBE3" s="0"/>
      <c r="EBF3" s="0"/>
      <c r="EBG3" s="0"/>
      <c r="EBH3" s="0"/>
      <c r="EBI3" s="0"/>
      <c r="EBJ3" s="0"/>
      <c r="EBK3" s="0"/>
      <c r="EBL3" s="0"/>
      <c r="EBM3" s="0"/>
      <c r="EBN3" s="0"/>
      <c r="EBO3" s="0"/>
      <c r="EBP3" s="0"/>
      <c r="EBQ3" s="0"/>
      <c r="EBR3" s="0"/>
      <c r="EBS3" s="0"/>
      <c r="EBT3" s="0"/>
      <c r="EBU3" s="0"/>
      <c r="EBV3" s="0"/>
      <c r="EBW3" s="0"/>
      <c r="EBX3" s="0"/>
      <c r="EBY3" s="0"/>
      <c r="EBZ3" s="0"/>
      <c r="ECA3" s="0"/>
      <c r="ECB3" s="0"/>
      <c r="ECC3" s="0"/>
      <c r="ECD3" s="0"/>
      <c r="ECE3" s="0"/>
      <c r="ECF3" s="0"/>
      <c r="ECG3" s="0"/>
      <c r="ECH3" s="0"/>
      <c r="ECI3" s="0"/>
      <c r="ECJ3" s="0"/>
      <c r="ECK3" s="0"/>
      <c r="ECL3" s="0"/>
      <c r="ECM3" s="0"/>
      <c r="ECN3" s="0"/>
      <c r="ECO3" s="0"/>
      <c r="ECP3" s="0"/>
      <c r="ECQ3" s="0"/>
      <c r="ECR3" s="0"/>
      <c r="ECS3" s="0"/>
      <c r="ECT3" s="0"/>
      <c r="ECU3" s="0"/>
      <c r="ECV3" s="0"/>
      <c r="ECW3" s="0"/>
      <c r="ECX3" s="0"/>
      <c r="ECY3" s="0"/>
      <c r="ECZ3" s="0"/>
      <c r="EDA3" s="0"/>
      <c r="EDB3" s="0"/>
      <c r="EDC3" s="0"/>
      <c r="EDD3" s="0"/>
      <c r="EDE3" s="0"/>
      <c r="EDF3" s="0"/>
      <c r="EDG3" s="0"/>
      <c r="EDH3" s="0"/>
      <c r="EDI3" s="0"/>
      <c r="EDJ3" s="0"/>
      <c r="EDK3" s="0"/>
      <c r="EDL3" s="0"/>
      <c r="EDM3" s="0"/>
      <c r="EDN3" s="0"/>
      <c r="EDO3" s="0"/>
      <c r="EDP3" s="0"/>
      <c r="EDQ3" s="0"/>
      <c r="EDR3" s="0"/>
      <c r="EDS3" s="0"/>
      <c r="EDT3" s="0"/>
      <c r="EDU3" s="0"/>
      <c r="EDV3" s="0"/>
      <c r="EDW3" s="0"/>
      <c r="EDX3" s="0"/>
      <c r="EDY3" s="0"/>
      <c r="EDZ3" s="0"/>
      <c r="EEA3" s="0"/>
      <c r="EEB3" s="0"/>
      <c r="EEC3" s="0"/>
      <c r="EED3" s="0"/>
      <c r="EEE3" s="0"/>
      <c r="EEF3" s="0"/>
      <c r="EEG3" s="0"/>
      <c r="EEH3" s="0"/>
      <c r="EEI3" s="0"/>
      <c r="EEJ3" s="0"/>
      <c r="EEK3" s="0"/>
      <c r="EEL3" s="0"/>
      <c r="EEM3" s="0"/>
      <c r="EEN3" s="0"/>
      <c r="EEO3" s="0"/>
      <c r="EEP3" s="0"/>
      <c r="EEQ3" s="0"/>
      <c r="EER3" s="0"/>
      <c r="EES3" s="0"/>
      <c r="EET3" s="0"/>
      <c r="EEU3" s="0"/>
      <c r="EEV3" s="0"/>
      <c r="EEW3" s="0"/>
      <c r="EEX3" s="0"/>
      <c r="EEY3" s="0"/>
      <c r="EEZ3" s="0"/>
      <c r="EFA3" s="0"/>
      <c r="EFB3" s="0"/>
      <c r="EFC3" s="0"/>
      <c r="EFD3" s="0"/>
      <c r="EFE3" s="0"/>
      <c r="EFF3" s="0"/>
      <c r="EFG3" s="0"/>
      <c r="EFH3" s="0"/>
      <c r="EFI3" s="0"/>
      <c r="EFJ3" s="0"/>
      <c r="EFK3" s="0"/>
      <c r="EFL3" s="0"/>
      <c r="EFM3" s="0"/>
      <c r="EFN3" s="0"/>
      <c r="EFO3" s="0"/>
      <c r="EFP3" s="0"/>
      <c r="EFQ3" s="0"/>
      <c r="EFR3" s="0"/>
      <c r="EFS3" s="0"/>
      <c r="EFT3" s="0"/>
      <c r="EFU3" s="0"/>
      <c r="EFV3" s="0"/>
      <c r="EFW3" s="0"/>
      <c r="EFX3" s="0"/>
      <c r="EFY3" s="0"/>
      <c r="EFZ3" s="0"/>
      <c r="EGA3" s="0"/>
      <c r="EGB3" s="0"/>
      <c r="EGC3" s="0"/>
      <c r="EGD3" s="0"/>
      <c r="EGE3" s="0"/>
      <c r="EGF3" s="0"/>
      <c r="EGG3" s="0"/>
      <c r="EGH3" s="0"/>
      <c r="EGI3" s="0"/>
      <c r="EGJ3" s="0"/>
      <c r="EGK3" s="0"/>
      <c r="EGL3" s="0"/>
      <c r="EGM3" s="0"/>
      <c r="EGN3" s="0"/>
      <c r="EGO3" s="0"/>
      <c r="EGP3" s="0"/>
      <c r="EGQ3" s="0"/>
      <c r="EGR3" s="0"/>
      <c r="EGS3" s="0"/>
      <c r="EGT3" s="0"/>
      <c r="EGU3" s="0"/>
      <c r="EGV3" s="0"/>
      <c r="EGW3" s="0"/>
      <c r="EGX3" s="0"/>
      <c r="EGY3" s="0"/>
      <c r="EGZ3" s="0"/>
      <c r="EHA3" s="0"/>
      <c r="EHB3" s="0"/>
      <c r="EHC3" s="0"/>
      <c r="EHD3" s="0"/>
      <c r="EHE3" s="0"/>
      <c r="EHF3" s="0"/>
      <c r="EHG3" s="0"/>
      <c r="EHH3" s="0"/>
      <c r="EHI3" s="0"/>
      <c r="EHJ3" s="0"/>
      <c r="EHK3" s="0"/>
      <c r="EHL3" s="0"/>
      <c r="EHM3" s="0"/>
      <c r="EHN3" s="0"/>
      <c r="EHO3" s="0"/>
      <c r="EHP3" s="0"/>
      <c r="EHQ3" s="0"/>
      <c r="EHR3" s="0"/>
      <c r="EHS3" s="0"/>
      <c r="EHT3" s="0"/>
      <c r="EHU3" s="0"/>
      <c r="EHV3" s="0"/>
      <c r="EHW3" s="0"/>
      <c r="EHX3" s="0"/>
      <c r="EHY3" s="0"/>
      <c r="EHZ3" s="0"/>
      <c r="EIA3" s="0"/>
      <c r="EIB3" s="0"/>
      <c r="EIC3" s="0"/>
      <c r="EID3" s="0"/>
      <c r="EIE3" s="0"/>
      <c r="EIF3" s="0"/>
      <c r="EIG3" s="0"/>
      <c r="EIH3" s="0"/>
      <c r="EII3" s="0"/>
      <c r="EIJ3" s="0"/>
      <c r="EIK3" s="0"/>
      <c r="EIL3" s="0"/>
      <c r="EIM3" s="0"/>
      <c r="EIN3" s="0"/>
      <c r="EIO3" s="0"/>
      <c r="EIP3" s="0"/>
      <c r="EIQ3" s="0"/>
      <c r="EIR3" s="0"/>
      <c r="EIS3" s="0"/>
      <c r="EIT3" s="0"/>
      <c r="EIU3" s="0"/>
      <c r="EIV3" s="0"/>
      <c r="EIW3" s="0"/>
      <c r="EIX3" s="0"/>
      <c r="EIY3" s="0"/>
      <c r="EIZ3" s="0"/>
      <c r="EJA3" s="0"/>
      <c r="EJB3" s="0"/>
      <c r="EJC3" s="0"/>
      <c r="EJD3" s="0"/>
      <c r="EJE3" s="0"/>
      <c r="EJF3" s="0"/>
      <c r="EJG3" s="0"/>
      <c r="EJH3" s="0"/>
      <c r="EJI3" s="0"/>
      <c r="EJJ3" s="0"/>
      <c r="EJK3" s="0"/>
      <c r="EJL3" s="0"/>
      <c r="EJM3" s="0"/>
      <c r="EJN3" s="0"/>
      <c r="EJO3" s="0"/>
      <c r="EJP3" s="0"/>
      <c r="EJQ3" s="0"/>
      <c r="EJR3" s="0"/>
      <c r="EJS3" s="0"/>
      <c r="EJT3" s="0"/>
      <c r="EJU3" s="0"/>
      <c r="EJV3" s="0"/>
      <c r="EJW3" s="0"/>
      <c r="EJX3" s="0"/>
      <c r="EJY3" s="0"/>
      <c r="EJZ3" s="0"/>
      <c r="EKA3" s="0"/>
      <c r="EKB3" s="0"/>
      <c r="EKC3" s="0"/>
      <c r="EKD3" s="0"/>
      <c r="EKE3" s="0"/>
      <c r="EKF3" s="0"/>
      <c r="EKG3" s="0"/>
      <c r="EKH3" s="0"/>
      <c r="EKI3" s="0"/>
      <c r="EKJ3" s="0"/>
      <c r="EKK3" s="0"/>
      <c r="EKL3" s="0"/>
      <c r="EKM3" s="0"/>
      <c r="EKN3" s="0"/>
      <c r="EKO3" s="0"/>
      <c r="EKP3" s="0"/>
      <c r="EKQ3" s="0"/>
      <c r="EKR3" s="0"/>
      <c r="EKS3" s="0"/>
      <c r="EKT3" s="0"/>
      <c r="EKU3" s="0"/>
      <c r="EKV3" s="0"/>
      <c r="EKW3" s="0"/>
      <c r="EKX3" s="0"/>
      <c r="EKY3" s="0"/>
      <c r="EKZ3" s="0"/>
      <c r="ELA3" s="0"/>
      <c r="ELB3" s="0"/>
      <c r="ELC3" s="0"/>
      <c r="ELD3" s="0"/>
      <c r="ELE3" s="0"/>
      <c r="ELF3" s="0"/>
      <c r="ELG3" s="0"/>
      <c r="ELH3" s="0"/>
      <c r="ELI3" s="0"/>
      <c r="ELJ3" s="0"/>
      <c r="ELK3" s="0"/>
      <c r="ELL3" s="0"/>
      <c r="ELM3" s="0"/>
      <c r="ELN3" s="0"/>
      <c r="ELO3" s="0"/>
      <c r="ELP3" s="0"/>
      <c r="ELQ3" s="0"/>
      <c r="ELR3" s="0"/>
      <c r="ELS3" s="0"/>
      <c r="ELT3" s="0"/>
      <c r="ELU3" s="0"/>
      <c r="ELV3" s="0"/>
      <c r="ELW3" s="0"/>
      <c r="ELX3" s="0"/>
      <c r="ELY3" s="0"/>
      <c r="ELZ3" s="0"/>
      <c r="EMA3" s="0"/>
      <c r="EMB3" s="0"/>
      <c r="EMC3" s="0"/>
      <c r="EMD3" s="0"/>
      <c r="EME3" s="0"/>
      <c r="EMF3" s="0"/>
      <c r="EMG3" s="0"/>
      <c r="EMH3" s="0"/>
      <c r="EMI3" s="0"/>
      <c r="EMJ3" s="0"/>
      <c r="EMK3" s="0"/>
      <c r="EML3" s="0"/>
      <c r="EMM3" s="0"/>
      <c r="EMN3" s="0"/>
      <c r="EMO3" s="0"/>
      <c r="EMP3" s="0"/>
      <c r="EMQ3" s="0"/>
      <c r="EMR3" s="0"/>
      <c r="EMS3" s="0"/>
      <c r="EMT3" s="0"/>
      <c r="EMU3" s="0"/>
      <c r="EMV3" s="0"/>
      <c r="EMW3" s="0"/>
      <c r="EMX3" s="0"/>
      <c r="EMY3" s="0"/>
      <c r="EMZ3" s="0"/>
      <c r="ENA3" s="0"/>
      <c r="ENB3" s="0"/>
      <c r="ENC3" s="0"/>
      <c r="END3" s="0"/>
      <c r="ENE3" s="0"/>
      <c r="ENF3" s="0"/>
      <c r="ENG3" s="0"/>
      <c r="ENH3" s="0"/>
      <c r="ENI3" s="0"/>
      <c r="ENJ3" s="0"/>
      <c r="ENK3" s="0"/>
      <c r="ENL3" s="0"/>
      <c r="ENM3" s="0"/>
      <c r="ENN3" s="0"/>
      <c r="ENO3" s="0"/>
      <c r="ENP3" s="0"/>
      <c r="ENQ3" s="0"/>
      <c r="ENR3" s="0"/>
      <c r="ENS3" s="0"/>
      <c r="ENT3" s="0"/>
      <c r="ENU3" s="0"/>
      <c r="ENV3" s="0"/>
      <c r="ENW3" s="0"/>
      <c r="ENX3" s="0"/>
      <c r="ENY3" s="0"/>
      <c r="ENZ3" s="0"/>
      <c r="EOA3" s="0"/>
      <c r="EOB3" s="0"/>
      <c r="EOC3" s="0"/>
      <c r="EOD3" s="0"/>
      <c r="EOE3" s="0"/>
      <c r="EOF3" s="0"/>
      <c r="EOG3" s="0"/>
      <c r="EOH3" s="0"/>
      <c r="EOI3" s="0"/>
      <c r="EOJ3" s="0"/>
      <c r="EOK3" s="0"/>
      <c r="EOL3" s="0"/>
      <c r="EOM3" s="0"/>
      <c r="EON3" s="0"/>
      <c r="EOO3" s="0"/>
      <c r="EOP3" s="0"/>
      <c r="EOQ3" s="0"/>
      <c r="EOR3" s="0"/>
      <c r="EOS3" s="0"/>
      <c r="EOT3" s="0"/>
      <c r="EOU3" s="0"/>
      <c r="EOV3" s="0"/>
      <c r="EOW3" s="0"/>
      <c r="EOX3" s="0"/>
      <c r="EOY3" s="0"/>
      <c r="EOZ3" s="0"/>
      <c r="EPA3" s="0"/>
      <c r="EPB3" s="0"/>
      <c r="EPC3" s="0"/>
      <c r="EPD3" s="0"/>
      <c r="EPE3" s="0"/>
      <c r="EPF3" s="0"/>
      <c r="EPG3" s="0"/>
      <c r="EPH3" s="0"/>
      <c r="EPI3" s="0"/>
      <c r="EPJ3" s="0"/>
      <c r="EPK3" s="0"/>
      <c r="EPL3" s="0"/>
      <c r="EPM3" s="0"/>
      <c r="EPN3" s="0"/>
      <c r="EPO3" s="0"/>
      <c r="EPP3" s="0"/>
      <c r="EPQ3" s="0"/>
      <c r="EPR3" s="0"/>
      <c r="EPS3" s="0"/>
      <c r="EPT3" s="0"/>
      <c r="EPU3" s="0"/>
      <c r="EPV3" s="0"/>
      <c r="EPW3" s="0"/>
      <c r="EPX3" s="0"/>
      <c r="EPY3" s="0"/>
      <c r="EPZ3" s="0"/>
      <c r="EQA3" s="0"/>
      <c r="EQB3" s="0"/>
      <c r="EQC3" s="0"/>
      <c r="EQD3" s="0"/>
      <c r="EQE3" s="0"/>
      <c r="EQF3" s="0"/>
      <c r="EQG3" s="0"/>
      <c r="EQH3" s="0"/>
      <c r="EQI3" s="0"/>
      <c r="EQJ3" s="0"/>
      <c r="EQK3" s="0"/>
      <c r="EQL3" s="0"/>
      <c r="EQM3" s="0"/>
      <c r="EQN3" s="0"/>
      <c r="EQO3" s="0"/>
      <c r="EQP3" s="0"/>
      <c r="EQQ3" s="0"/>
      <c r="EQR3" s="0"/>
      <c r="EQS3" s="0"/>
      <c r="EQT3" s="0"/>
      <c r="EQU3" s="0"/>
      <c r="EQV3" s="0"/>
      <c r="EQW3" s="0"/>
      <c r="EQX3" s="0"/>
      <c r="EQY3" s="0"/>
      <c r="EQZ3" s="0"/>
      <c r="ERA3" s="0"/>
      <c r="ERB3" s="0"/>
      <c r="ERC3" s="0"/>
      <c r="ERD3" s="0"/>
      <c r="ERE3" s="0"/>
      <c r="ERF3" s="0"/>
      <c r="ERG3" s="0"/>
      <c r="ERH3" s="0"/>
      <c r="ERI3" s="0"/>
      <c r="ERJ3" s="0"/>
      <c r="ERK3" s="0"/>
      <c r="ERL3" s="0"/>
      <c r="ERM3" s="0"/>
      <c r="ERN3" s="0"/>
      <c r="ERO3" s="0"/>
      <c r="ERP3" s="0"/>
      <c r="ERQ3" s="0"/>
      <c r="ERR3" s="0"/>
      <c r="ERS3" s="0"/>
      <c r="ERT3" s="0"/>
      <c r="ERU3" s="0"/>
      <c r="ERV3" s="0"/>
      <c r="ERW3" s="0"/>
      <c r="ERX3" s="0"/>
      <c r="ERY3" s="0"/>
      <c r="ERZ3" s="0"/>
      <c r="ESA3" s="0"/>
      <c r="ESB3" s="0"/>
      <c r="ESC3" s="0"/>
      <c r="ESD3" s="0"/>
      <c r="ESE3" s="0"/>
      <c r="ESF3" s="0"/>
      <c r="ESG3" s="0"/>
      <c r="ESH3" s="0"/>
      <c r="ESI3" s="0"/>
      <c r="ESJ3" s="0"/>
      <c r="ESK3" s="0"/>
      <c r="ESL3" s="0"/>
      <c r="ESM3" s="0"/>
      <c r="ESN3" s="0"/>
      <c r="ESO3" s="0"/>
      <c r="ESP3" s="0"/>
      <c r="ESQ3" s="0"/>
      <c r="ESR3" s="0"/>
      <c r="ESS3" s="0"/>
      <c r="EST3" s="0"/>
      <c r="ESU3" s="0"/>
      <c r="ESV3" s="0"/>
      <c r="ESW3" s="0"/>
      <c r="ESX3" s="0"/>
      <c r="ESY3" s="0"/>
      <c r="ESZ3" s="0"/>
      <c r="ETA3" s="0"/>
      <c r="ETB3" s="0"/>
      <c r="ETC3" s="0"/>
      <c r="ETD3" s="0"/>
      <c r="ETE3" s="0"/>
      <c r="ETF3" s="0"/>
      <c r="ETG3" s="0"/>
      <c r="ETH3" s="0"/>
      <c r="ETI3" s="0"/>
      <c r="ETJ3" s="0"/>
      <c r="ETK3" s="0"/>
      <c r="ETL3" s="0"/>
      <c r="ETM3" s="0"/>
      <c r="ETN3" s="0"/>
      <c r="ETO3" s="0"/>
      <c r="ETP3" s="0"/>
      <c r="ETQ3" s="0"/>
      <c r="ETR3" s="0"/>
      <c r="ETS3" s="0"/>
      <c r="ETT3" s="0"/>
      <c r="ETU3" s="0"/>
      <c r="ETV3" s="0"/>
      <c r="ETW3" s="0"/>
      <c r="ETX3" s="0"/>
      <c r="ETY3" s="0"/>
      <c r="ETZ3" s="0"/>
      <c r="EUA3" s="0"/>
      <c r="EUB3" s="0"/>
      <c r="EUC3" s="0"/>
      <c r="EUD3" s="0"/>
      <c r="EUE3" s="0"/>
      <c r="EUF3" s="0"/>
      <c r="EUG3" s="0"/>
      <c r="EUH3" s="0"/>
      <c r="EUI3" s="0"/>
      <c r="EUJ3" s="0"/>
      <c r="EUK3" s="0"/>
      <c r="EUL3" s="0"/>
      <c r="EUM3" s="0"/>
      <c r="EUN3" s="0"/>
      <c r="EUO3" s="0"/>
      <c r="EUP3" s="0"/>
      <c r="EUQ3" s="0"/>
      <c r="EUR3" s="0"/>
      <c r="EUS3" s="0"/>
      <c r="EUT3" s="0"/>
      <c r="EUU3" s="0"/>
      <c r="EUV3" s="0"/>
      <c r="EUW3" s="0"/>
      <c r="EUX3" s="0"/>
      <c r="EUY3" s="0"/>
      <c r="EUZ3" s="0"/>
      <c r="EVA3" s="0"/>
      <c r="EVB3" s="0"/>
      <c r="EVC3" s="0"/>
      <c r="EVD3" s="0"/>
      <c r="EVE3" s="0"/>
      <c r="EVF3" s="0"/>
      <c r="EVG3" s="0"/>
      <c r="EVH3" s="0"/>
      <c r="EVI3" s="0"/>
      <c r="EVJ3" s="0"/>
      <c r="EVK3" s="0"/>
      <c r="EVL3" s="0"/>
      <c r="EVM3" s="0"/>
      <c r="EVN3" s="0"/>
      <c r="EVO3" s="0"/>
      <c r="EVP3" s="0"/>
      <c r="EVQ3" s="0"/>
      <c r="EVR3" s="0"/>
      <c r="EVS3" s="0"/>
      <c r="EVT3" s="0"/>
      <c r="EVU3" s="0"/>
      <c r="EVV3" s="0"/>
      <c r="EVW3" s="0"/>
      <c r="EVX3" s="0"/>
      <c r="EVY3" s="0"/>
      <c r="EVZ3" s="0"/>
      <c r="EWA3" s="0"/>
      <c r="EWB3" s="0"/>
      <c r="EWC3" s="0"/>
      <c r="EWD3" s="0"/>
      <c r="EWE3" s="0"/>
      <c r="EWF3" s="0"/>
      <c r="EWG3" s="0"/>
      <c r="EWH3" s="0"/>
      <c r="EWI3" s="0"/>
      <c r="EWJ3" s="0"/>
      <c r="EWK3" s="0"/>
      <c r="EWL3" s="0"/>
      <c r="EWM3" s="0"/>
      <c r="EWN3" s="0"/>
      <c r="EWO3" s="0"/>
      <c r="EWP3" s="0"/>
      <c r="EWQ3" s="0"/>
      <c r="EWR3" s="0"/>
      <c r="EWS3" s="0"/>
      <c r="EWT3" s="0"/>
      <c r="EWU3" s="0"/>
      <c r="EWV3" s="0"/>
      <c r="EWW3" s="0"/>
      <c r="EWX3" s="0"/>
      <c r="EWY3" s="0"/>
      <c r="EWZ3" s="0"/>
      <c r="EXA3" s="0"/>
      <c r="EXB3" s="0"/>
      <c r="EXC3" s="0"/>
      <c r="EXD3" s="0"/>
      <c r="EXE3" s="0"/>
      <c r="EXF3" s="0"/>
      <c r="EXG3" s="0"/>
      <c r="EXH3" s="0"/>
      <c r="EXI3" s="0"/>
      <c r="EXJ3" s="0"/>
      <c r="EXK3" s="0"/>
      <c r="EXL3" s="0"/>
      <c r="EXM3" s="0"/>
      <c r="EXN3" s="0"/>
      <c r="EXO3" s="0"/>
      <c r="EXP3" s="0"/>
      <c r="EXQ3" s="0"/>
      <c r="EXR3" s="0"/>
      <c r="EXS3" s="0"/>
      <c r="EXT3" s="0"/>
      <c r="EXU3" s="0"/>
      <c r="EXV3" s="0"/>
      <c r="EXW3" s="0"/>
      <c r="EXX3" s="0"/>
      <c r="EXY3" s="0"/>
      <c r="EXZ3" s="0"/>
      <c r="EYA3" s="0"/>
      <c r="EYB3" s="0"/>
      <c r="EYC3" s="0"/>
      <c r="EYD3" s="0"/>
      <c r="EYE3" s="0"/>
      <c r="EYF3" s="0"/>
      <c r="EYG3" s="0"/>
      <c r="EYH3" s="0"/>
      <c r="EYI3" s="0"/>
      <c r="EYJ3" s="0"/>
      <c r="EYK3" s="0"/>
      <c r="EYL3" s="0"/>
      <c r="EYM3" s="0"/>
      <c r="EYN3" s="0"/>
      <c r="EYO3" s="0"/>
      <c r="EYP3" s="0"/>
      <c r="EYQ3" s="0"/>
      <c r="EYR3" s="0"/>
      <c r="EYS3" s="0"/>
      <c r="EYT3" s="0"/>
      <c r="EYU3" s="0"/>
      <c r="EYV3" s="0"/>
      <c r="EYW3" s="0"/>
      <c r="EYX3" s="0"/>
      <c r="EYY3" s="0"/>
      <c r="EYZ3" s="0"/>
      <c r="EZA3" s="0"/>
      <c r="EZB3" s="0"/>
      <c r="EZC3" s="0"/>
      <c r="EZD3" s="0"/>
      <c r="EZE3" s="0"/>
      <c r="EZF3" s="0"/>
      <c r="EZG3" s="0"/>
      <c r="EZH3" s="0"/>
      <c r="EZI3" s="0"/>
      <c r="EZJ3" s="0"/>
      <c r="EZK3" s="0"/>
      <c r="EZL3" s="0"/>
      <c r="EZM3" s="0"/>
      <c r="EZN3" s="0"/>
      <c r="EZO3" s="0"/>
      <c r="EZP3" s="0"/>
      <c r="EZQ3" s="0"/>
      <c r="EZR3" s="0"/>
      <c r="EZS3" s="0"/>
      <c r="EZT3" s="0"/>
      <c r="EZU3" s="0"/>
      <c r="EZV3" s="0"/>
      <c r="EZW3" s="0"/>
      <c r="EZX3" s="0"/>
      <c r="EZY3" s="0"/>
      <c r="EZZ3" s="0"/>
      <c r="FAA3" s="0"/>
      <c r="FAB3" s="0"/>
      <c r="FAC3" s="0"/>
      <c r="FAD3" s="0"/>
      <c r="FAE3" s="0"/>
      <c r="FAF3" s="0"/>
      <c r="FAG3" s="0"/>
      <c r="FAH3" s="0"/>
      <c r="FAI3" s="0"/>
      <c r="FAJ3" s="0"/>
      <c r="FAK3" s="0"/>
      <c r="FAL3" s="0"/>
      <c r="FAM3" s="0"/>
      <c r="FAN3" s="0"/>
      <c r="FAO3" s="0"/>
      <c r="FAP3" s="0"/>
      <c r="FAQ3" s="0"/>
      <c r="FAR3" s="0"/>
      <c r="FAS3" s="0"/>
      <c r="FAT3" s="0"/>
      <c r="FAU3" s="0"/>
      <c r="FAV3" s="0"/>
      <c r="FAW3" s="0"/>
      <c r="FAX3" s="0"/>
      <c r="FAY3" s="0"/>
      <c r="FAZ3" s="0"/>
      <c r="FBA3" s="0"/>
      <c r="FBB3" s="0"/>
      <c r="FBC3" s="0"/>
      <c r="FBD3" s="0"/>
      <c r="FBE3" s="0"/>
      <c r="FBF3" s="0"/>
      <c r="FBG3" s="0"/>
      <c r="FBH3" s="0"/>
      <c r="FBI3" s="0"/>
      <c r="FBJ3" s="0"/>
      <c r="FBK3" s="0"/>
      <c r="FBL3" s="0"/>
      <c r="FBM3" s="0"/>
      <c r="FBN3" s="0"/>
      <c r="FBO3" s="0"/>
      <c r="FBP3" s="0"/>
      <c r="FBQ3" s="0"/>
      <c r="FBR3" s="0"/>
      <c r="FBS3" s="0"/>
      <c r="FBT3" s="0"/>
      <c r="FBU3" s="0"/>
      <c r="FBV3" s="0"/>
      <c r="FBW3" s="0"/>
      <c r="FBX3" s="0"/>
      <c r="FBY3" s="0"/>
      <c r="FBZ3" s="0"/>
      <c r="FCA3" s="0"/>
      <c r="FCB3" s="0"/>
      <c r="FCC3" s="0"/>
      <c r="FCD3" s="0"/>
      <c r="FCE3" s="0"/>
      <c r="FCF3" s="0"/>
      <c r="FCG3" s="0"/>
      <c r="FCH3" s="0"/>
      <c r="FCI3" s="0"/>
      <c r="FCJ3" s="0"/>
      <c r="FCK3" s="0"/>
      <c r="FCL3" s="0"/>
      <c r="FCM3" s="0"/>
      <c r="FCN3" s="0"/>
      <c r="FCO3" s="0"/>
      <c r="FCP3" s="0"/>
      <c r="FCQ3" s="0"/>
      <c r="FCR3" s="0"/>
      <c r="FCS3" s="0"/>
      <c r="FCT3" s="0"/>
      <c r="FCU3" s="0"/>
      <c r="FCV3" s="0"/>
      <c r="FCW3" s="0"/>
      <c r="FCX3" s="0"/>
      <c r="FCY3" s="0"/>
      <c r="FCZ3" s="0"/>
      <c r="FDA3" s="0"/>
      <c r="FDB3" s="0"/>
      <c r="FDC3" s="0"/>
      <c r="FDD3" s="0"/>
      <c r="FDE3" s="0"/>
      <c r="FDF3" s="0"/>
      <c r="FDG3" s="0"/>
      <c r="FDH3" s="0"/>
      <c r="FDI3" s="0"/>
      <c r="FDJ3" s="0"/>
      <c r="FDK3" s="0"/>
      <c r="FDL3" s="0"/>
      <c r="FDM3" s="0"/>
      <c r="FDN3" s="0"/>
      <c r="FDO3" s="0"/>
      <c r="FDP3" s="0"/>
      <c r="FDQ3" s="0"/>
      <c r="FDR3" s="0"/>
      <c r="FDS3" s="0"/>
      <c r="FDT3" s="0"/>
      <c r="FDU3" s="0"/>
      <c r="FDV3" s="0"/>
      <c r="FDW3" s="0"/>
      <c r="FDX3" s="0"/>
      <c r="FDY3" s="0"/>
      <c r="FDZ3" s="0"/>
      <c r="FEA3" s="0"/>
      <c r="FEB3" s="0"/>
      <c r="FEC3" s="0"/>
      <c r="FED3" s="0"/>
      <c r="FEE3" s="0"/>
      <c r="FEF3" s="0"/>
      <c r="FEG3" s="0"/>
      <c r="FEH3" s="0"/>
      <c r="FEI3" s="0"/>
      <c r="FEJ3" s="0"/>
      <c r="FEK3" s="0"/>
      <c r="FEL3" s="0"/>
      <c r="FEM3" s="0"/>
      <c r="FEN3" s="0"/>
      <c r="FEO3" s="0"/>
      <c r="FEP3" s="0"/>
      <c r="FEQ3" s="0"/>
      <c r="FER3" s="0"/>
      <c r="FES3" s="0"/>
      <c r="FET3" s="0"/>
      <c r="FEU3" s="0"/>
      <c r="FEV3" s="0"/>
      <c r="FEW3" s="0"/>
      <c r="FEX3" s="0"/>
      <c r="FEY3" s="0"/>
      <c r="FEZ3" s="0"/>
      <c r="FFA3" s="0"/>
      <c r="FFB3" s="0"/>
      <c r="FFC3" s="0"/>
      <c r="FFD3" s="0"/>
      <c r="FFE3" s="0"/>
      <c r="FFF3" s="0"/>
      <c r="FFG3" s="0"/>
      <c r="FFH3" s="0"/>
      <c r="FFI3" s="0"/>
      <c r="FFJ3" s="0"/>
      <c r="FFK3" s="0"/>
      <c r="FFL3" s="0"/>
      <c r="FFM3" s="0"/>
      <c r="FFN3" s="0"/>
      <c r="FFO3" s="0"/>
      <c r="FFP3" s="0"/>
      <c r="FFQ3" s="0"/>
      <c r="FFR3" s="0"/>
      <c r="FFS3" s="0"/>
      <c r="FFT3" s="0"/>
      <c r="FFU3" s="0"/>
      <c r="FFV3" s="0"/>
      <c r="FFW3" s="0"/>
      <c r="FFX3" s="0"/>
      <c r="FFY3" s="0"/>
      <c r="FFZ3" s="0"/>
      <c r="FGA3" s="0"/>
      <c r="FGB3" s="0"/>
      <c r="FGC3" s="0"/>
      <c r="FGD3" s="0"/>
      <c r="FGE3" s="0"/>
      <c r="FGF3" s="0"/>
      <c r="FGG3" s="0"/>
      <c r="FGH3" s="0"/>
      <c r="FGI3" s="0"/>
      <c r="FGJ3" s="0"/>
      <c r="FGK3" s="0"/>
      <c r="FGL3" s="0"/>
      <c r="FGM3" s="0"/>
      <c r="FGN3" s="0"/>
      <c r="FGO3" s="0"/>
      <c r="FGP3" s="0"/>
      <c r="FGQ3" s="0"/>
      <c r="FGR3" s="0"/>
      <c r="FGS3" s="0"/>
      <c r="FGT3" s="0"/>
      <c r="FGU3" s="0"/>
      <c r="FGV3" s="0"/>
      <c r="FGW3" s="0"/>
      <c r="FGX3" s="0"/>
      <c r="FGY3" s="0"/>
      <c r="FGZ3" s="0"/>
      <c r="FHA3" s="0"/>
      <c r="FHB3" s="0"/>
      <c r="FHC3" s="0"/>
      <c r="FHD3" s="0"/>
      <c r="FHE3" s="0"/>
      <c r="FHF3" s="0"/>
      <c r="FHG3" s="0"/>
      <c r="FHH3" s="0"/>
      <c r="FHI3" s="0"/>
      <c r="FHJ3" s="0"/>
      <c r="FHK3" s="0"/>
      <c r="FHL3" s="0"/>
      <c r="FHM3" s="0"/>
      <c r="FHN3" s="0"/>
      <c r="FHO3" s="0"/>
      <c r="FHP3" s="0"/>
      <c r="FHQ3" s="0"/>
      <c r="FHR3" s="0"/>
      <c r="FHS3" s="0"/>
      <c r="FHT3" s="0"/>
      <c r="FHU3" s="0"/>
      <c r="FHV3" s="0"/>
      <c r="FHW3" s="0"/>
      <c r="FHX3" s="0"/>
      <c r="FHY3" s="0"/>
      <c r="FHZ3" s="0"/>
      <c r="FIA3" s="0"/>
      <c r="FIB3" s="0"/>
      <c r="FIC3" s="0"/>
      <c r="FID3" s="0"/>
      <c r="FIE3" s="0"/>
      <c r="FIF3" s="0"/>
      <c r="FIG3" s="0"/>
      <c r="FIH3" s="0"/>
      <c r="FII3" s="0"/>
      <c r="FIJ3" s="0"/>
      <c r="FIK3" s="0"/>
      <c r="FIL3" s="0"/>
      <c r="FIM3" s="0"/>
      <c r="FIN3" s="0"/>
      <c r="FIO3" s="0"/>
      <c r="FIP3" s="0"/>
      <c r="FIQ3" s="0"/>
      <c r="FIR3" s="0"/>
      <c r="FIS3" s="0"/>
      <c r="FIT3" s="0"/>
      <c r="FIU3" s="0"/>
      <c r="FIV3" s="0"/>
      <c r="FIW3" s="0"/>
      <c r="FIX3" s="0"/>
      <c r="FIY3" s="0"/>
      <c r="FIZ3" s="0"/>
      <c r="FJA3" s="0"/>
      <c r="FJB3" s="0"/>
      <c r="FJC3" s="0"/>
      <c r="FJD3" s="0"/>
      <c r="FJE3" s="0"/>
      <c r="FJF3" s="0"/>
      <c r="FJG3" s="0"/>
      <c r="FJH3" s="0"/>
      <c r="FJI3" s="0"/>
      <c r="FJJ3" s="0"/>
      <c r="FJK3" s="0"/>
      <c r="FJL3" s="0"/>
      <c r="FJM3" s="0"/>
      <c r="FJN3" s="0"/>
      <c r="FJO3" s="0"/>
      <c r="FJP3" s="0"/>
      <c r="FJQ3" s="0"/>
      <c r="FJR3" s="0"/>
      <c r="FJS3" s="0"/>
      <c r="FJT3" s="0"/>
      <c r="FJU3" s="0"/>
      <c r="FJV3" s="0"/>
      <c r="FJW3" s="0"/>
      <c r="FJX3" s="0"/>
      <c r="FJY3" s="0"/>
      <c r="FJZ3" s="0"/>
      <c r="FKA3" s="0"/>
      <c r="FKB3" s="0"/>
      <c r="FKC3" s="0"/>
      <c r="FKD3" s="0"/>
      <c r="FKE3" s="0"/>
      <c r="FKF3" s="0"/>
      <c r="FKG3" s="0"/>
      <c r="FKH3" s="0"/>
      <c r="FKI3" s="0"/>
      <c r="FKJ3" s="0"/>
      <c r="FKK3" s="0"/>
      <c r="FKL3" s="0"/>
      <c r="FKM3" s="0"/>
      <c r="FKN3" s="0"/>
      <c r="FKO3" s="0"/>
      <c r="FKP3" s="0"/>
      <c r="FKQ3" s="0"/>
      <c r="FKR3" s="0"/>
      <c r="FKS3" s="0"/>
      <c r="FKT3" s="0"/>
      <c r="FKU3" s="0"/>
      <c r="FKV3" s="0"/>
      <c r="FKW3" s="0"/>
      <c r="FKX3" s="0"/>
      <c r="FKY3" s="0"/>
      <c r="FKZ3" s="0"/>
      <c r="FLA3" s="0"/>
      <c r="FLB3" s="0"/>
      <c r="FLC3" s="0"/>
      <c r="FLD3" s="0"/>
      <c r="FLE3" s="0"/>
      <c r="FLF3" s="0"/>
      <c r="FLG3" s="0"/>
      <c r="FLH3" s="0"/>
      <c r="FLI3" s="0"/>
      <c r="FLJ3" s="0"/>
      <c r="FLK3" s="0"/>
      <c r="FLL3" s="0"/>
      <c r="FLM3" s="0"/>
      <c r="FLN3" s="0"/>
      <c r="FLO3" s="0"/>
      <c r="FLP3" s="0"/>
      <c r="FLQ3" s="0"/>
      <c r="FLR3" s="0"/>
      <c r="FLS3" s="0"/>
      <c r="FLT3" s="0"/>
      <c r="FLU3" s="0"/>
      <c r="FLV3" s="0"/>
      <c r="FLW3" s="0"/>
      <c r="FLX3" s="0"/>
      <c r="FLY3" s="0"/>
      <c r="FLZ3" s="0"/>
      <c r="FMA3" s="0"/>
      <c r="FMB3" s="0"/>
      <c r="FMC3" s="0"/>
      <c r="FMD3" s="0"/>
      <c r="FME3" s="0"/>
      <c r="FMF3" s="0"/>
      <c r="FMG3" s="0"/>
      <c r="FMH3" s="0"/>
      <c r="FMI3" s="0"/>
      <c r="FMJ3" s="0"/>
      <c r="FMK3" s="0"/>
      <c r="FML3" s="0"/>
      <c r="FMM3" s="0"/>
      <c r="FMN3" s="0"/>
      <c r="FMO3" s="0"/>
      <c r="FMP3" s="0"/>
      <c r="FMQ3" s="0"/>
      <c r="FMR3" s="0"/>
      <c r="FMS3" s="0"/>
      <c r="FMT3" s="0"/>
      <c r="FMU3" s="0"/>
      <c r="FMV3" s="0"/>
      <c r="FMW3" s="0"/>
      <c r="FMX3" s="0"/>
      <c r="FMY3" s="0"/>
      <c r="FMZ3" s="0"/>
      <c r="FNA3" s="0"/>
      <c r="FNB3" s="0"/>
      <c r="FNC3" s="0"/>
      <c r="FND3" s="0"/>
      <c r="FNE3" s="0"/>
      <c r="FNF3" s="0"/>
      <c r="FNG3" s="0"/>
      <c r="FNH3" s="0"/>
      <c r="FNI3" s="0"/>
      <c r="FNJ3" s="0"/>
      <c r="FNK3" s="0"/>
      <c r="FNL3" s="0"/>
      <c r="FNM3" s="0"/>
      <c r="FNN3" s="0"/>
      <c r="FNO3" s="0"/>
      <c r="FNP3" s="0"/>
      <c r="FNQ3" s="0"/>
      <c r="FNR3" s="0"/>
      <c r="FNS3" s="0"/>
      <c r="FNT3" s="0"/>
      <c r="FNU3" s="0"/>
      <c r="FNV3" s="0"/>
      <c r="FNW3" s="0"/>
      <c r="FNX3" s="0"/>
      <c r="FNY3" s="0"/>
      <c r="FNZ3" s="0"/>
      <c r="FOA3" s="0"/>
      <c r="FOB3" s="0"/>
      <c r="FOC3" s="0"/>
      <c r="FOD3" s="0"/>
      <c r="FOE3" s="0"/>
      <c r="FOF3" s="0"/>
      <c r="FOG3" s="0"/>
      <c r="FOH3" s="0"/>
      <c r="FOI3" s="0"/>
      <c r="FOJ3" s="0"/>
      <c r="FOK3" s="0"/>
      <c r="FOL3" s="0"/>
      <c r="FOM3" s="0"/>
      <c r="FON3" s="0"/>
      <c r="FOO3" s="0"/>
      <c r="FOP3" s="0"/>
      <c r="FOQ3" s="0"/>
      <c r="FOR3" s="0"/>
      <c r="FOS3" s="0"/>
      <c r="FOT3" s="0"/>
      <c r="FOU3" s="0"/>
      <c r="FOV3" s="0"/>
      <c r="FOW3" s="0"/>
      <c r="FOX3" s="0"/>
      <c r="FOY3" s="0"/>
      <c r="FOZ3" s="0"/>
      <c r="FPA3" s="0"/>
      <c r="FPB3" s="0"/>
      <c r="FPC3" s="0"/>
      <c r="FPD3" s="0"/>
      <c r="FPE3" s="0"/>
      <c r="FPF3" s="0"/>
      <c r="FPG3" s="0"/>
      <c r="FPH3" s="0"/>
      <c r="FPI3" s="0"/>
      <c r="FPJ3" s="0"/>
      <c r="FPK3" s="0"/>
      <c r="FPL3" s="0"/>
      <c r="FPM3" s="0"/>
      <c r="FPN3" s="0"/>
      <c r="FPO3" s="0"/>
      <c r="FPP3" s="0"/>
      <c r="FPQ3" s="0"/>
      <c r="FPR3" s="0"/>
      <c r="FPS3" s="0"/>
      <c r="FPT3" s="0"/>
      <c r="FPU3" s="0"/>
      <c r="FPV3" s="0"/>
      <c r="FPW3" s="0"/>
      <c r="FPX3" s="0"/>
      <c r="FPY3" s="0"/>
      <c r="FPZ3" s="0"/>
      <c r="FQA3" s="0"/>
      <c r="FQB3" s="0"/>
      <c r="FQC3" s="0"/>
      <c r="FQD3" s="0"/>
      <c r="FQE3" s="0"/>
      <c r="FQF3" s="0"/>
      <c r="FQG3" s="0"/>
      <c r="FQH3" s="0"/>
      <c r="FQI3" s="0"/>
      <c r="FQJ3" s="0"/>
      <c r="FQK3" s="0"/>
      <c r="FQL3" s="0"/>
      <c r="FQM3" s="0"/>
      <c r="FQN3" s="0"/>
      <c r="FQO3" s="0"/>
      <c r="FQP3" s="0"/>
      <c r="FQQ3" s="0"/>
      <c r="FQR3" s="0"/>
      <c r="FQS3" s="0"/>
      <c r="FQT3" s="0"/>
      <c r="FQU3" s="0"/>
      <c r="FQV3" s="0"/>
      <c r="FQW3" s="0"/>
      <c r="FQX3" s="0"/>
      <c r="FQY3" s="0"/>
      <c r="FQZ3" s="0"/>
      <c r="FRA3" s="0"/>
      <c r="FRB3" s="0"/>
      <c r="FRC3" s="0"/>
      <c r="FRD3" s="0"/>
      <c r="FRE3" s="0"/>
      <c r="FRF3" s="0"/>
      <c r="FRG3" s="0"/>
      <c r="FRH3" s="0"/>
      <c r="FRI3" s="0"/>
      <c r="FRJ3" s="0"/>
      <c r="FRK3" s="0"/>
      <c r="FRL3" s="0"/>
      <c r="FRM3" s="0"/>
      <c r="FRN3" s="0"/>
      <c r="FRO3" s="0"/>
      <c r="FRP3" s="0"/>
      <c r="FRQ3" s="0"/>
      <c r="FRR3" s="0"/>
      <c r="FRS3" s="0"/>
      <c r="FRT3" s="0"/>
      <c r="FRU3" s="0"/>
      <c r="FRV3" s="0"/>
      <c r="FRW3" s="0"/>
      <c r="FRX3" s="0"/>
      <c r="FRY3" s="0"/>
      <c r="FRZ3" s="0"/>
      <c r="FSA3" s="0"/>
      <c r="FSB3" s="0"/>
      <c r="FSC3" s="0"/>
      <c r="FSD3" s="0"/>
      <c r="FSE3" s="0"/>
      <c r="FSF3" s="0"/>
      <c r="FSG3" s="0"/>
      <c r="FSH3" s="0"/>
      <c r="FSI3" s="0"/>
      <c r="FSJ3" s="0"/>
      <c r="FSK3" s="0"/>
      <c r="FSL3" s="0"/>
      <c r="FSM3" s="0"/>
      <c r="FSN3" s="0"/>
      <c r="FSO3" s="0"/>
      <c r="FSP3" s="0"/>
      <c r="FSQ3" s="0"/>
      <c r="FSR3" s="0"/>
      <c r="FSS3" s="0"/>
      <c r="FST3" s="0"/>
      <c r="FSU3" s="0"/>
      <c r="FSV3" s="0"/>
      <c r="FSW3" s="0"/>
      <c r="FSX3" s="0"/>
      <c r="FSY3" s="0"/>
      <c r="FSZ3" s="0"/>
      <c r="FTA3" s="0"/>
      <c r="FTB3" s="0"/>
      <c r="FTC3" s="0"/>
      <c r="FTD3" s="0"/>
      <c r="FTE3" s="0"/>
      <c r="FTF3" s="0"/>
      <c r="FTG3" s="0"/>
      <c r="FTH3" s="0"/>
      <c r="FTI3" s="0"/>
      <c r="FTJ3" s="0"/>
      <c r="FTK3" s="0"/>
      <c r="FTL3" s="0"/>
      <c r="FTM3" s="0"/>
      <c r="FTN3" s="0"/>
      <c r="FTO3" s="0"/>
      <c r="FTP3" s="0"/>
      <c r="FTQ3" s="0"/>
      <c r="FTR3" s="0"/>
      <c r="FTS3" s="0"/>
      <c r="FTT3" s="0"/>
      <c r="FTU3" s="0"/>
      <c r="FTV3" s="0"/>
      <c r="FTW3" s="0"/>
      <c r="FTX3" s="0"/>
      <c r="FTY3" s="0"/>
      <c r="FTZ3" s="0"/>
      <c r="FUA3" s="0"/>
      <c r="FUB3" s="0"/>
      <c r="FUC3" s="0"/>
      <c r="FUD3" s="0"/>
      <c r="FUE3" s="0"/>
      <c r="FUF3" s="0"/>
      <c r="FUG3" s="0"/>
      <c r="FUH3" s="0"/>
      <c r="FUI3" s="0"/>
      <c r="FUJ3" s="0"/>
      <c r="FUK3" s="0"/>
      <c r="FUL3" s="0"/>
      <c r="FUM3" s="0"/>
      <c r="FUN3" s="0"/>
      <c r="FUO3" s="0"/>
      <c r="FUP3" s="0"/>
      <c r="FUQ3" s="0"/>
      <c r="FUR3" s="0"/>
      <c r="FUS3" s="0"/>
      <c r="FUT3" s="0"/>
      <c r="FUU3" s="0"/>
      <c r="FUV3" s="0"/>
      <c r="FUW3" s="0"/>
      <c r="FUX3" s="0"/>
      <c r="FUY3" s="0"/>
      <c r="FUZ3" s="0"/>
      <c r="FVA3" s="0"/>
      <c r="FVB3" s="0"/>
      <c r="FVC3" s="0"/>
      <c r="FVD3" s="0"/>
      <c r="FVE3" s="0"/>
      <c r="FVF3" s="0"/>
      <c r="FVG3" s="0"/>
      <c r="FVH3" s="0"/>
      <c r="FVI3" s="0"/>
      <c r="FVJ3" s="0"/>
      <c r="FVK3" s="0"/>
      <c r="FVL3" s="0"/>
      <c r="FVM3" s="0"/>
      <c r="FVN3" s="0"/>
      <c r="FVO3" s="0"/>
      <c r="FVP3" s="0"/>
      <c r="FVQ3" s="0"/>
      <c r="FVR3" s="0"/>
      <c r="FVS3" s="0"/>
      <c r="FVT3" s="0"/>
      <c r="FVU3" s="0"/>
      <c r="FVV3" s="0"/>
      <c r="FVW3" s="0"/>
      <c r="FVX3" s="0"/>
      <c r="FVY3" s="0"/>
      <c r="FVZ3" s="0"/>
      <c r="FWA3" s="0"/>
      <c r="FWB3" s="0"/>
      <c r="FWC3" s="0"/>
      <c r="FWD3" s="0"/>
      <c r="FWE3" s="0"/>
      <c r="FWF3" s="0"/>
      <c r="FWG3" s="0"/>
      <c r="FWH3" s="0"/>
      <c r="FWI3" s="0"/>
      <c r="FWJ3" s="0"/>
      <c r="FWK3" s="0"/>
      <c r="FWL3" s="0"/>
      <c r="FWM3" s="0"/>
      <c r="FWN3" s="0"/>
      <c r="FWO3" s="0"/>
      <c r="FWP3" s="0"/>
      <c r="FWQ3" s="0"/>
      <c r="FWR3" s="0"/>
      <c r="FWS3" s="0"/>
      <c r="FWT3" s="0"/>
      <c r="FWU3" s="0"/>
      <c r="FWV3" s="0"/>
      <c r="FWW3" s="0"/>
      <c r="FWX3" s="0"/>
      <c r="FWY3" s="0"/>
      <c r="FWZ3" s="0"/>
      <c r="FXA3" s="0"/>
      <c r="FXB3" s="0"/>
      <c r="FXC3" s="0"/>
      <c r="FXD3" s="0"/>
      <c r="FXE3" s="0"/>
      <c r="FXF3" s="0"/>
      <c r="FXG3" s="0"/>
      <c r="FXH3" s="0"/>
      <c r="FXI3" s="0"/>
      <c r="FXJ3" s="0"/>
      <c r="FXK3" s="0"/>
      <c r="FXL3" s="0"/>
      <c r="FXM3" s="0"/>
      <c r="FXN3" s="0"/>
      <c r="FXO3" s="0"/>
      <c r="FXP3" s="0"/>
      <c r="FXQ3" s="0"/>
      <c r="FXR3" s="0"/>
      <c r="FXS3" s="0"/>
      <c r="FXT3" s="0"/>
      <c r="FXU3" s="0"/>
      <c r="FXV3" s="0"/>
      <c r="FXW3" s="0"/>
      <c r="FXX3" s="0"/>
      <c r="FXY3" s="0"/>
      <c r="FXZ3" s="0"/>
      <c r="FYA3" s="0"/>
      <c r="FYB3" s="0"/>
      <c r="FYC3" s="0"/>
      <c r="FYD3" s="0"/>
      <c r="FYE3" s="0"/>
      <c r="FYF3" s="0"/>
      <c r="FYG3" s="0"/>
      <c r="FYH3" s="0"/>
      <c r="FYI3" s="0"/>
      <c r="FYJ3" s="0"/>
      <c r="FYK3" s="0"/>
      <c r="FYL3" s="0"/>
      <c r="FYM3" s="0"/>
      <c r="FYN3" s="0"/>
      <c r="FYO3" s="0"/>
      <c r="FYP3" s="0"/>
      <c r="FYQ3" s="0"/>
      <c r="FYR3" s="0"/>
      <c r="FYS3" s="0"/>
      <c r="FYT3" s="0"/>
      <c r="FYU3" s="0"/>
      <c r="FYV3" s="0"/>
      <c r="FYW3" s="0"/>
      <c r="FYX3" s="0"/>
      <c r="FYY3" s="0"/>
      <c r="FYZ3" s="0"/>
      <c r="FZA3" s="0"/>
      <c r="FZB3" s="0"/>
      <c r="FZC3" s="0"/>
      <c r="FZD3" s="0"/>
      <c r="FZE3" s="0"/>
      <c r="FZF3" s="0"/>
      <c r="FZG3" s="0"/>
      <c r="FZH3" s="0"/>
      <c r="FZI3" s="0"/>
      <c r="FZJ3" s="0"/>
      <c r="FZK3" s="0"/>
      <c r="FZL3" s="0"/>
      <c r="FZM3" s="0"/>
      <c r="FZN3" s="0"/>
      <c r="FZO3" s="0"/>
      <c r="FZP3" s="0"/>
      <c r="FZQ3" s="0"/>
      <c r="FZR3" s="0"/>
      <c r="FZS3" s="0"/>
      <c r="FZT3" s="0"/>
      <c r="FZU3" s="0"/>
      <c r="FZV3" s="0"/>
      <c r="FZW3" s="0"/>
      <c r="FZX3" s="0"/>
      <c r="FZY3" s="0"/>
      <c r="FZZ3" s="0"/>
      <c r="GAA3" s="0"/>
      <c r="GAB3" s="0"/>
      <c r="GAC3" s="0"/>
      <c r="GAD3" s="0"/>
      <c r="GAE3" s="0"/>
      <c r="GAF3" s="0"/>
      <c r="GAG3" s="0"/>
      <c r="GAH3" s="0"/>
      <c r="GAI3" s="0"/>
      <c r="GAJ3" s="0"/>
      <c r="GAK3" s="0"/>
      <c r="GAL3" s="0"/>
      <c r="GAM3" s="0"/>
      <c r="GAN3" s="0"/>
      <c r="GAO3" s="0"/>
      <c r="GAP3" s="0"/>
      <c r="GAQ3" s="0"/>
      <c r="GAR3" s="0"/>
      <c r="GAS3" s="0"/>
      <c r="GAT3" s="0"/>
      <c r="GAU3" s="0"/>
      <c r="GAV3" s="0"/>
      <c r="GAW3" s="0"/>
      <c r="GAX3" s="0"/>
      <c r="GAY3" s="0"/>
      <c r="GAZ3" s="0"/>
      <c r="GBA3" s="0"/>
      <c r="GBB3" s="0"/>
      <c r="GBC3" s="0"/>
      <c r="GBD3" s="0"/>
      <c r="GBE3" s="0"/>
      <c r="GBF3" s="0"/>
      <c r="GBG3" s="0"/>
      <c r="GBH3" s="0"/>
      <c r="GBI3" s="0"/>
      <c r="GBJ3" s="0"/>
      <c r="GBK3" s="0"/>
      <c r="GBL3" s="0"/>
      <c r="GBM3" s="0"/>
      <c r="GBN3" s="0"/>
      <c r="GBO3" s="0"/>
      <c r="GBP3" s="0"/>
      <c r="GBQ3" s="0"/>
      <c r="GBR3" s="0"/>
      <c r="GBS3" s="0"/>
      <c r="GBT3" s="0"/>
      <c r="GBU3" s="0"/>
      <c r="GBV3" s="0"/>
      <c r="GBW3" s="0"/>
      <c r="GBX3" s="0"/>
      <c r="GBY3" s="0"/>
      <c r="GBZ3" s="0"/>
      <c r="GCA3" s="0"/>
      <c r="GCB3" s="0"/>
      <c r="GCC3" s="0"/>
      <c r="GCD3" s="0"/>
      <c r="GCE3" s="0"/>
      <c r="GCF3" s="0"/>
      <c r="GCG3" s="0"/>
      <c r="GCH3" s="0"/>
      <c r="GCI3" s="0"/>
      <c r="GCJ3" s="0"/>
      <c r="GCK3" s="0"/>
      <c r="GCL3" s="0"/>
      <c r="GCM3" s="0"/>
      <c r="GCN3" s="0"/>
      <c r="GCO3" s="0"/>
      <c r="GCP3" s="0"/>
      <c r="GCQ3" s="0"/>
      <c r="GCR3" s="0"/>
      <c r="GCS3" s="0"/>
      <c r="GCT3" s="0"/>
      <c r="GCU3" s="0"/>
      <c r="GCV3" s="0"/>
      <c r="GCW3" s="0"/>
      <c r="GCX3" s="0"/>
      <c r="GCY3" s="0"/>
      <c r="GCZ3" s="0"/>
      <c r="GDA3" s="0"/>
      <c r="GDB3" s="0"/>
      <c r="GDC3" s="0"/>
      <c r="GDD3" s="0"/>
      <c r="GDE3" s="0"/>
      <c r="GDF3" s="0"/>
      <c r="GDG3" s="0"/>
      <c r="GDH3" s="0"/>
      <c r="GDI3" s="0"/>
      <c r="GDJ3" s="0"/>
      <c r="GDK3" s="0"/>
      <c r="GDL3" s="0"/>
      <c r="GDM3" s="0"/>
      <c r="GDN3" s="0"/>
      <c r="GDO3" s="0"/>
      <c r="GDP3" s="0"/>
      <c r="GDQ3" s="0"/>
      <c r="GDR3" s="0"/>
      <c r="GDS3" s="0"/>
      <c r="GDT3" s="0"/>
      <c r="GDU3" s="0"/>
      <c r="GDV3" s="0"/>
      <c r="GDW3" s="0"/>
      <c r="GDX3" s="0"/>
      <c r="GDY3" s="0"/>
      <c r="GDZ3" s="0"/>
      <c r="GEA3" s="0"/>
      <c r="GEB3" s="0"/>
      <c r="GEC3" s="0"/>
      <c r="GED3" s="0"/>
      <c r="GEE3" s="0"/>
      <c r="GEF3" s="0"/>
      <c r="GEG3" s="0"/>
      <c r="GEH3" s="0"/>
      <c r="GEI3" s="0"/>
      <c r="GEJ3" s="0"/>
      <c r="GEK3" s="0"/>
      <c r="GEL3" s="0"/>
      <c r="GEM3" s="0"/>
      <c r="GEN3" s="0"/>
      <c r="GEO3" s="0"/>
      <c r="GEP3" s="0"/>
      <c r="GEQ3" s="0"/>
      <c r="GER3" s="0"/>
      <c r="GES3" s="0"/>
      <c r="GET3" s="0"/>
      <c r="GEU3" s="0"/>
      <c r="GEV3" s="0"/>
      <c r="GEW3" s="0"/>
      <c r="GEX3" s="0"/>
      <c r="GEY3" s="0"/>
      <c r="GEZ3" s="0"/>
      <c r="GFA3" s="0"/>
      <c r="GFB3" s="0"/>
      <c r="GFC3" s="0"/>
      <c r="GFD3" s="0"/>
      <c r="GFE3" s="0"/>
      <c r="GFF3" s="0"/>
      <c r="GFG3" s="0"/>
      <c r="GFH3" s="0"/>
      <c r="GFI3" s="0"/>
      <c r="GFJ3" s="0"/>
      <c r="GFK3" s="0"/>
      <c r="GFL3" s="0"/>
      <c r="GFM3" s="0"/>
      <c r="GFN3" s="0"/>
      <c r="GFO3" s="0"/>
      <c r="GFP3" s="0"/>
      <c r="GFQ3" s="0"/>
      <c r="GFR3" s="0"/>
      <c r="GFS3" s="0"/>
      <c r="GFT3" s="0"/>
      <c r="GFU3" s="0"/>
      <c r="GFV3" s="0"/>
      <c r="GFW3" s="0"/>
      <c r="GFX3" s="0"/>
      <c r="GFY3" s="0"/>
      <c r="GFZ3" s="0"/>
      <c r="GGA3" s="0"/>
      <c r="GGB3" s="0"/>
      <c r="GGC3" s="0"/>
      <c r="GGD3" s="0"/>
      <c r="GGE3" s="0"/>
      <c r="GGF3" s="0"/>
      <c r="GGG3" s="0"/>
      <c r="GGH3" s="0"/>
      <c r="GGI3" s="0"/>
      <c r="GGJ3" s="0"/>
      <c r="GGK3" s="0"/>
      <c r="GGL3" s="0"/>
      <c r="GGM3" s="0"/>
      <c r="GGN3" s="0"/>
      <c r="GGO3" s="0"/>
      <c r="GGP3" s="0"/>
      <c r="GGQ3" s="0"/>
      <c r="GGR3" s="0"/>
      <c r="GGS3" s="0"/>
      <c r="GGT3" s="0"/>
      <c r="GGU3" s="0"/>
      <c r="GGV3" s="0"/>
      <c r="GGW3" s="0"/>
      <c r="GGX3" s="0"/>
      <c r="GGY3" s="0"/>
      <c r="GGZ3" s="0"/>
      <c r="GHA3" s="0"/>
      <c r="GHB3" s="0"/>
      <c r="GHC3" s="0"/>
      <c r="GHD3" s="0"/>
      <c r="GHE3" s="0"/>
      <c r="GHF3" s="0"/>
      <c r="GHG3" s="0"/>
      <c r="GHH3" s="0"/>
      <c r="GHI3" s="0"/>
      <c r="GHJ3" s="0"/>
      <c r="GHK3" s="0"/>
      <c r="GHL3" s="0"/>
      <c r="GHM3" s="0"/>
      <c r="GHN3" s="0"/>
      <c r="GHO3" s="0"/>
      <c r="GHP3" s="0"/>
      <c r="GHQ3" s="0"/>
      <c r="GHR3" s="0"/>
      <c r="GHS3" s="0"/>
      <c r="GHT3" s="0"/>
      <c r="GHU3" s="0"/>
      <c r="GHV3" s="0"/>
      <c r="GHW3" s="0"/>
      <c r="GHX3" s="0"/>
      <c r="GHY3" s="0"/>
      <c r="GHZ3" s="0"/>
      <c r="GIA3" s="0"/>
      <c r="GIB3" s="0"/>
      <c r="GIC3" s="0"/>
      <c r="GID3" s="0"/>
      <c r="GIE3" s="0"/>
      <c r="GIF3" s="0"/>
      <c r="GIG3" s="0"/>
      <c r="GIH3" s="0"/>
      <c r="GII3" s="0"/>
      <c r="GIJ3" s="0"/>
      <c r="GIK3" s="0"/>
      <c r="GIL3" s="0"/>
      <c r="GIM3" s="0"/>
      <c r="GIN3" s="0"/>
      <c r="GIO3" s="0"/>
      <c r="GIP3" s="0"/>
      <c r="GIQ3" s="0"/>
      <c r="GIR3" s="0"/>
      <c r="GIS3" s="0"/>
      <c r="GIT3" s="0"/>
      <c r="GIU3" s="0"/>
      <c r="GIV3" s="0"/>
      <c r="GIW3" s="0"/>
      <c r="GIX3" s="0"/>
      <c r="GIY3" s="0"/>
      <c r="GIZ3" s="0"/>
      <c r="GJA3" s="0"/>
      <c r="GJB3" s="0"/>
      <c r="GJC3" s="0"/>
      <c r="GJD3" s="0"/>
      <c r="GJE3" s="0"/>
      <c r="GJF3" s="0"/>
      <c r="GJG3" s="0"/>
      <c r="GJH3" s="0"/>
      <c r="GJI3" s="0"/>
      <c r="GJJ3" s="0"/>
      <c r="GJK3" s="0"/>
      <c r="GJL3" s="0"/>
      <c r="GJM3" s="0"/>
      <c r="GJN3" s="0"/>
      <c r="GJO3" s="0"/>
      <c r="GJP3" s="0"/>
      <c r="GJQ3" s="0"/>
      <c r="GJR3" s="0"/>
      <c r="GJS3" s="0"/>
      <c r="GJT3" s="0"/>
      <c r="GJU3" s="0"/>
      <c r="GJV3" s="0"/>
      <c r="GJW3" s="0"/>
      <c r="GJX3" s="0"/>
      <c r="GJY3" s="0"/>
      <c r="GJZ3" s="0"/>
      <c r="GKA3" s="0"/>
      <c r="GKB3" s="0"/>
      <c r="GKC3" s="0"/>
      <c r="GKD3" s="0"/>
      <c r="GKE3" s="0"/>
      <c r="GKF3" s="0"/>
      <c r="GKG3" s="0"/>
      <c r="GKH3" s="0"/>
      <c r="GKI3" s="0"/>
      <c r="GKJ3" s="0"/>
      <c r="GKK3" s="0"/>
      <c r="GKL3" s="0"/>
      <c r="GKM3" s="0"/>
      <c r="GKN3" s="0"/>
      <c r="GKO3" s="0"/>
      <c r="GKP3" s="0"/>
      <c r="GKQ3" s="0"/>
      <c r="GKR3" s="0"/>
      <c r="GKS3" s="0"/>
      <c r="GKT3" s="0"/>
      <c r="GKU3" s="0"/>
      <c r="GKV3" s="0"/>
      <c r="GKW3" s="0"/>
      <c r="GKX3" s="0"/>
      <c r="GKY3" s="0"/>
      <c r="GKZ3" s="0"/>
      <c r="GLA3" s="0"/>
      <c r="GLB3" s="0"/>
      <c r="GLC3" s="0"/>
      <c r="GLD3" s="0"/>
      <c r="GLE3" s="0"/>
      <c r="GLF3" s="0"/>
      <c r="GLG3" s="0"/>
      <c r="GLH3" s="0"/>
      <c r="GLI3" s="0"/>
      <c r="GLJ3" s="0"/>
      <c r="GLK3" s="0"/>
      <c r="GLL3" s="0"/>
      <c r="GLM3" s="0"/>
      <c r="GLN3" s="0"/>
      <c r="GLO3" s="0"/>
      <c r="GLP3" s="0"/>
      <c r="GLQ3" s="0"/>
      <c r="GLR3" s="0"/>
      <c r="GLS3" s="0"/>
      <c r="GLT3" s="0"/>
      <c r="GLU3" s="0"/>
      <c r="GLV3" s="0"/>
      <c r="GLW3" s="0"/>
      <c r="GLX3" s="0"/>
      <c r="GLY3" s="0"/>
      <c r="GLZ3" s="0"/>
      <c r="GMA3" s="0"/>
      <c r="GMB3" s="0"/>
      <c r="GMC3" s="0"/>
      <c r="GMD3" s="0"/>
      <c r="GME3" s="0"/>
      <c r="GMF3" s="0"/>
      <c r="GMG3" s="0"/>
      <c r="GMH3" s="0"/>
      <c r="GMI3" s="0"/>
      <c r="GMJ3" s="0"/>
      <c r="GMK3" s="0"/>
      <c r="GML3" s="0"/>
      <c r="GMM3" s="0"/>
      <c r="GMN3" s="0"/>
      <c r="GMO3" s="0"/>
      <c r="GMP3" s="0"/>
      <c r="GMQ3" s="0"/>
      <c r="GMR3" s="0"/>
      <c r="GMS3" s="0"/>
      <c r="GMT3" s="0"/>
      <c r="GMU3" s="0"/>
      <c r="GMV3" s="0"/>
      <c r="GMW3" s="0"/>
      <c r="GMX3" s="0"/>
      <c r="GMY3" s="0"/>
      <c r="GMZ3" s="0"/>
      <c r="GNA3" s="0"/>
      <c r="GNB3" s="0"/>
      <c r="GNC3" s="0"/>
      <c r="GND3" s="0"/>
      <c r="GNE3" s="0"/>
      <c r="GNF3" s="0"/>
      <c r="GNG3" s="0"/>
      <c r="GNH3" s="0"/>
      <c r="GNI3" s="0"/>
      <c r="GNJ3" s="0"/>
      <c r="GNK3" s="0"/>
      <c r="GNL3" s="0"/>
      <c r="GNM3" s="0"/>
      <c r="GNN3" s="0"/>
      <c r="GNO3" s="0"/>
      <c r="GNP3" s="0"/>
      <c r="GNQ3" s="0"/>
      <c r="GNR3" s="0"/>
      <c r="GNS3" s="0"/>
      <c r="GNT3" s="0"/>
      <c r="GNU3" s="0"/>
      <c r="GNV3" s="0"/>
      <c r="GNW3" s="0"/>
      <c r="GNX3" s="0"/>
      <c r="GNY3" s="0"/>
      <c r="GNZ3" s="0"/>
      <c r="GOA3" s="0"/>
      <c r="GOB3" s="0"/>
      <c r="GOC3" s="0"/>
      <c r="GOD3" s="0"/>
      <c r="GOE3" s="0"/>
      <c r="GOF3" s="0"/>
      <c r="GOG3" s="0"/>
      <c r="GOH3" s="0"/>
      <c r="GOI3" s="0"/>
      <c r="GOJ3" s="0"/>
      <c r="GOK3" s="0"/>
      <c r="GOL3" s="0"/>
      <c r="GOM3" s="0"/>
      <c r="GON3" s="0"/>
      <c r="GOO3" s="0"/>
      <c r="GOP3" s="0"/>
      <c r="GOQ3" s="0"/>
      <c r="GOR3" s="0"/>
      <c r="GOS3" s="0"/>
      <c r="GOT3" s="0"/>
      <c r="GOU3" s="0"/>
      <c r="GOV3" s="0"/>
      <c r="GOW3" s="0"/>
      <c r="GOX3" s="0"/>
      <c r="GOY3" s="0"/>
      <c r="GOZ3" s="0"/>
      <c r="GPA3" s="0"/>
      <c r="GPB3" s="0"/>
      <c r="GPC3" s="0"/>
      <c r="GPD3" s="0"/>
      <c r="GPE3" s="0"/>
      <c r="GPF3" s="0"/>
      <c r="GPG3" s="0"/>
      <c r="GPH3" s="0"/>
      <c r="GPI3" s="0"/>
      <c r="GPJ3" s="0"/>
      <c r="GPK3" s="0"/>
      <c r="GPL3" s="0"/>
      <c r="GPM3" s="0"/>
      <c r="GPN3" s="0"/>
      <c r="GPO3" s="0"/>
      <c r="GPP3" s="0"/>
      <c r="GPQ3" s="0"/>
      <c r="GPR3" s="0"/>
      <c r="GPS3" s="0"/>
      <c r="GPT3" s="0"/>
      <c r="GPU3" s="0"/>
      <c r="GPV3" s="0"/>
      <c r="GPW3" s="0"/>
      <c r="GPX3" s="0"/>
      <c r="GPY3" s="0"/>
      <c r="GPZ3" s="0"/>
      <c r="GQA3" s="0"/>
      <c r="GQB3" s="0"/>
      <c r="GQC3" s="0"/>
      <c r="GQD3" s="0"/>
      <c r="GQE3" s="0"/>
      <c r="GQF3" s="0"/>
      <c r="GQG3" s="0"/>
      <c r="GQH3" s="0"/>
      <c r="GQI3" s="0"/>
      <c r="GQJ3" s="0"/>
      <c r="GQK3" s="0"/>
      <c r="GQL3" s="0"/>
      <c r="GQM3" s="0"/>
      <c r="GQN3" s="0"/>
      <c r="GQO3" s="0"/>
      <c r="GQP3" s="0"/>
      <c r="GQQ3" s="0"/>
      <c r="GQR3" s="0"/>
      <c r="GQS3" s="0"/>
      <c r="GQT3" s="0"/>
      <c r="GQU3" s="0"/>
      <c r="GQV3" s="0"/>
      <c r="GQW3" s="0"/>
      <c r="GQX3" s="0"/>
      <c r="GQY3" s="0"/>
      <c r="GQZ3" s="0"/>
      <c r="GRA3" s="0"/>
      <c r="GRB3" s="0"/>
      <c r="GRC3" s="0"/>
      <c r="GRD3" s="0"/>
      <c r="GRE3" s="0"/>
      <c r="GRF3" s="0"/>
      <c r="GRG3" s="0"/>
      <c r="GRH3" s="0"/>
      <c r="GRI3" s="0"/>
      <c r="GRJ3" s="0"/>
      <c r="GRK3" s="0"/>
      <c r="GRL3" s="0"/>
      <c r="GRM3" s="0"/>
      <c r="GRN3" s="0"/>
      <c r="GRO3" s="0"/>
      <c r="GRP3" s="0"/>
      <c r="GRQ3" s="0"/>
      <c r="GRR3" s="0"/>
      <c r="GRS3" s="0"/>
      <c r="GRT3" s="0"/>
      <c r="GRU3" s="0"/>
      <c r="GRV3" s="0"/>
      <c r="GRW3" s="0"/>
      <c r="GRX3" s="0"/>
      <c r="GRY3" s="0"/>
      <c r="GRZ3" s="0"/>
      <c r="GSA3" s="0"/>
      <c r="GSB3" s="0"/>
      <c r="GSC3" s="0"/>
      <c r="GSD3" s="0"/>
      <c r="GSE3" s="0"/>
      <c r="GSF3" s="0"/>
      <c r="GSG3" s="0"/>
      <c r="GSH3" s="0"/>
      <c r="GSI3" s="0"/>
      <c r="GSJ3" s="0"/>
      <c r="GSK3" s="0"/>
      <c r="GSL3" s="0"/>
      <c r="GSM3" s="0"/>
      <c r="GSN3" s="0"/>
      <c r="GSO3" s="0"/>
      <c r="GSP3" s="0"/>
      <c r="GSQ3" s="0"/>
      <c r="GSR3" s="0"/>
      <c r="GSS3" s="0"/>
      <c r="GST3" s="0"/>
      <c r="GSU3" s="0"/>
      <c r="GSV3" s="0"/>
      <c r="GSW3" s="0"/>
      <c r="GSX3" s="0"/>
      <c r="GSY3" s="0"/>
      <c r="GSZ3" s="0"/>
      <c r="GTA3" s="0"/>
      <c r="GTB3" s="0"/>
      <c r="GTC3" s="0"/>
      <c r="GTD3" s="0"/>
      <c r="GTE3" s="0"/>
      <c r="GTF3" s="0"/>
      <c r="GTG3" s="0"/>
      <c r="GTH3" s="0"/>
      <c r="GTI3" s="0"/>
      <c r="GTJ3" s="0"/>
      <c r="GTK3" s="0"/>
      <c r="GTL3" s="0"/>
      <c r="GTM3" s="0"/>
      <c r="GTN3" s="0"/>
      <c r="GTO3" s="0"/>
      <c r="GTP3" s="0"/>
      <c r="GTQ3" s="0"/>
      <c r="GTR3" s="0"/>
      <c r="GTS3" s="0"/>
      <c r="GTT3" s="0"/>
      <c r="GTU3" s="0"/>
      <c r="GTV3" s="0"/>
      <c r="GTW3" s="0"/>
      <c r="GTX3" s="0"/>
      <c r="GTY3" s="0"/>
      <c r="GTZ3" s="0"/>
      <c r="GUA3" s="0"/>
      <c r="GUB3" s="0"/>
      <c r="GUC3" s="0"/>
      <c r="GUD3" s="0"/>
      <c r="GUE3" s="0"/>
      <c r="GUF3" s="0"/>
      <c r="GUG3" s="0"/>
      <c r="GUH3" s="0"/>
      <c r="GUI3" s="0"/>
      <c r="GUJ3" s="0"/>
      <c r="GUK3" s="0"/>
      <c r="GUL3" s="0"/>
      <c r="GUM3" s="0"/>
      <c r="GUN3" s="0"/>
      <c r="GUO3" s="0"/>
      <c r="GUP3" s="0"/>
      <c r="GUQ3" s="0"/>
      <c r="GUR3" s="0"/>
      <c r="GUS3" s="0"/>
      <c r="GUT3" s="0"/>
      <c r="GUU3" s="0"/>
      <c r="GUV3" s="0"/>
      <c r="GUW3" s="0"/>
      <c r="GUX3" s="0"/>
      <c r="GUY3" s="0"/>
      <c r="GUZ3" s="0"/>
      <c r="GVA3" s="0"/>
      <c r="GVB3" s="0"/>
      <c r="GVC3" s="0"/>
      <c r="GVD3" s="0"/>
      <c r="GVE3" s="0"/>
      <c r="GVF3" s="0"/>
      <c r="GVG3" s="0"/>
      <c r="GVH3" s="0"/>
      <c r="GVI3" s="0"/>
      <c r="GVJ3" s="0"/>
      <c r="GVK3" s="0"/>
      <c r="GVL3" s="0"/>
      <c r="GVM3" s="0"/>
      <c r="GVN3" s="0"/>
      <c r="GVO3" s="0"/>
      <c r="GVP3" s="0"/>
      <c r="GVQ3" s="0"/>
      <c r="GVR3" s="0"/>
      <c r="GVS3" s="0"/>
      <c r="GVT3" s="0"/>
      <c r="GVU3" s="0"/>
      <c r="GVV3" s="0"/>
      <c r="GVW3" s="0"/>
      <c r="GVX3" s="0"/>
      <c r="GVY3" s="0"/>
      <c r="GVZ3" s="0"/>
      <c r="GWA3" s="0"/>
      <c r="GWB3" s="0"/>
      <c r="GWC3" s="0"/>
      <c r="GWD3" s="0"/>
      <c r="GWE3" s="0"/>
      <c r="GWF3" s="0"/>
      <c r="GWG3" s="0"/>
      <c r="GWH3" s="0"/>
      <c r="GWI3" s="0"/>
      <c r="GWJ3" s="0"/>
      <c r="GWK3" s="0"/>
      <c r="GWL3" s="0"/>
      <c r="GWM3" s="0"/>
      <c r="GWN3" s="0"/>
      <c r="GWO3" s="0"/>
      <c r="GWP3" s="0"/>
      <c r="GWQ3" s="0"/>
      <c r="GWR3" s="0"/>
      <c r="GWS3" s="0"/>
      <c r="GWT3" s="0"/>
      <c r="GWU3" s="0"/>
      <c r="GWV3" s="0"/>
      <c r="GWW3" s="0"/>
      <c r="GWX3" s="0"/>
      <c r="GWY3" s="0"/>
      <c r="GWZ3" s="0"/>
      <c r="GXA3" s="0"/>
      <c r="GXB3" s="0"/>
      <c r="GXC3" s="0"/>
      <c r="GXD3" s="0"/>
      <c r="GXE3" s="0"/>
      <c r="GXF3" s="0"/>
      <c r="GXG3" s="0"/>
      <c r="GXH3" s="0"/>
      <c r="GXI3" s="0"/>
      <c r="GXJ3" s="0"/>
      <c r="GXK3" s="0"/>
      <c r="GXL3" s="0"/>
      <c r="GXM3" s="0"/>
      <c r="GXN3" s="0"/>
      <c r="GXO3" s="0"/>
      <c r="GXP3" s="0"/>
      <c r="GXQ3" s="0"/>
      <c r="GXR3" s="0"/>
      <c r="GXS3" s="0"/>
      <c r="GXT3" s="0"/>
      <c r="GXU3" s="0"/>
      <c r="GXV3" s="0"/>
      <c r="GXW3" s="0"/>
      <c r="GXX3" s="0"/>
      <c r="GXY3" s="0"/>
      <c r="GXZ3" s="0"/>
      <c r="GYA3" s="0"/>
      <c r="GYB3" s="0"/>
      <c r="GYC3" s="0"/>
      <c r="GYD3" s="0"/>
      <c r="GYE3" s="0"/>
      <c r="GYF3" s="0"/>
      <c r="GYG3" s="0"/>
      <c r="GYH3" s="0"/>
      <c r="GYI3" s="0"/>
      <c r="GYJ3" s="0"/>
      <c r="GYK3" s="0"/>
      <c r="GYL3" s="0"/>
      <c r="GYM3" s="0"/>
      <c r="GYN3" s="0"/>
      <c r="GYO3" s="0"/>
      <c r="GYP3" s="0"/>
      <c r="GYQ3" s="0"/>
      <c r="GYR3" s="0"/>
      <c r="GYS3" s="0"/>
      <c r="GYT3" s="0"/>
      <c r="GYU3" s="0"/>
      <c r="GYV3" s="0"/>
      <c r="GYW3" s="0"/>
      <c r="GYX3" s="0"/>
      <c r="GYY3" s="0"/>
      <c r="GYZ3" s="0"/>
      <c r="GZA3" s="0"/>
      <c r="GZB3" s="0"/>
      <c r="GZC3" s="0"/>
      <c r="GZD3" s="0"/>
      <c r="GZE3" s="0"/>
      <c r="GZF3" s="0"/>
      <c r="GZG3" s="0"/>
      <c r="GZH3" s="0"/>
      <c r="GZI3" s="0"/>
      <c r="GZJ3" s="0"/>
      <c r="GZK3" s="0"/>
      <c r="GZL3" s="0"/>
      <c r="GZM3" s="0"/>
      <c r="GZN3" s="0"/>
      <c r="GZO3" s="0"/>
      <c r="GZP3" s="0"/>
      <c r="GZQ3" s="0"/>
      <c r="GZR3" s="0"/>
      <c r="GZS3" s="0"/>
      <c r="GZT3" s="0"/>
      <c r="GZU3" s="0"/>
      <c r="GZV3" s="0"/>
      <c r="GZW3" s="0"/>
      <c r="GZX3" s="0"/>
      <c r="GZY3" s="0"/>
      <c r="GZZ3" s="0"/>
      <c r="HAA3" s="0"/>
      <c r="HAB3" s="0"/>
      <c r="HAC3" s="0"/>
      <c r="HAD3" s="0"/>
      <c r="HAE3" s="0"/>
      <c r="HAF3" s="0"/>
      <c r="HAG3" s="0"/>
      <c r="HAH3" s="0"/>
      <c r="HAI3" s="0"/>
      <c r="HAJ3" s="0"/>
      <c r="HAK3" s="0"/>
      <c r="HAL3" s="0"/>
      <c r="HAM3" s="0"/>
      <c r="HAN3" s="0"/>
      <c r="HAO3" s="0"/>
      <c r="HAP3" s="0"/>
      <c r="HAQ3" s="0"/>
      <c r="HAR3" s="0"/>
      <c r="HAS3" s="0"/>
      <c r="HAT3" s="0"/>
      <c r="HAU3" s="0"/>
      <c r="HAV3" s="0"/>
      <c r="HAW3" s="0"/>
      <c r="HAX3" s="0"/>
      <c r="HAY3" s="0"/>
      <c r="HAZ3" s="0"/>
      <c r="HBA3" s="0"/>
      <c r="HBB3" s="0"/>
      <c r="HBC3" s="0"/>
      <c r="HBD3" s="0"/>
      <c r="HBE3" s="0"/>
      <c r="HBF3" s="0"/>
      <c r="HBG3" s="0"/>
      <c r="HBH3" s="0"/>
      <c r="HBI3" s="0"/>
      <c r="HBJ3" s="0"/>
      <c r="HBK3" s="0"/>
      <c r="HBL3" s="0"/>
      <c r="HBM3" s="0"/>
      <c r="HBN3" s="0"/>
      <c r="HBO3" s="0"/>
      <c r="HBP3" s="0"/>
      <c r="HBQ3" s="0"/>
      <c r="HBR3" s="0"/>
      <c r="HBS3" s="0"/>
      <c r="HBT3" s="0"/>
      <c r="HBU3" s="0"/>
      <c r="HBV3" s="0"/>
      <c r="HBW3" s="0"/>
      <c r="HBX3" s="0"/>
      <c r="HBY3" s="0"/>
      <c r="HBZ3" s="0"/>
      <c r="HCA3" s="0"/>
      <c r="HCB3" s="0"/>
      <c r="HCC3" s="0"/>
      <c r="HCD3" s="0"/>
      <c r="HCE3" s="0"/>
      <c r="HCF3" s="0"/>
      <c r="HCG3" s="0"/>
      <c r="HCH3" s="0"/>
      <c r="HCI3" s="0"/>
      <c r="HCJ3" s="0"/>
      <c r="HCK3" s="0"/>
      <c r="HCL3" s="0"/>
      <c r="HCM3" s="0"/>
      <c r="HCN3" s="0"/>
      <c r="HCO3" s="0"/>
      <c r="HCP3" s="0"/>
      <c r="HCQ3" s="0"/>
      <c r="HCR3" s="0"/>
      <c r="HCS3" s="0"/>
      <c r="HCT3" s="0"/>
      <c r="HCU3" s="0"/>
      <c r="HCV3" s="0"/>
      <c r="HCW3" s="0"/>
      <c r="HCX3" s="0"/>
      <c r="HCY3" s="0"/>
      <c r="HCZ3" s="0"/>
      <c r="HDA3" s="0"/>
      <c r="HDB3" s="0"/>
      <c r="HDC3" s="0"/>
      <c r="HDD3" s="0"/>
      <c r="HDE3" s="0"/>
      <c r="HDF3" s="0"/>
      <c r="HDG3" s="0"/>
      <c r="HDH3" s="0"/>
      <c r="HDI3" s="0"/>
      <c r="HDJ3" s="0"/>
      <c r="HDK3" s="0"/>
      <c r="HDL3" s="0"/>
      <c r="HDM3" s="0"/>
      <c r="HDN3" s="0"/>
      <c r="HDO3" s="0"/>
      <c r="HDP3" s="0"/>
      <c r="HDQ3" s="0"/>
      <c r="HDR3" s="0"/>
      <c r="HDS3" s="0"/>
      <c r="HDT3" s="0"/>
      <c r="HDU3" s="0"/>
      <c r="HDV3" s="0"/>
      <c r="HDW3" s="0"/>
      <c r="HDX3" s="0"/>
      <c r="HDY3" s="0"/>
      <c r="HDZ3" s="0"/>
      <c r="HEA3" s="0"/>
      <c r="HEB3" s="0"/>
      <c r="HEC3" s="0"/>
      <c r="HED3" s="0"/>
      <c r="HEE3" s="0"/>
      <c r="HEF3" s="0"/>
      <c r="HEG3" s="0"/>
      <c r="HEH3" s="0"/>
      <c r="HEI3" s="0"/>
      <c r="HEJ3" s="0"/>
      <c r="HEK3" s="0"/>
      <c r="HEL3" s="0"/>
      <c r="HEM3" s="0"/>
      <c r="HEN3" s="0"/>
      <c r="HEO3" s="0"/>
      <c r="HEP3" s="0"/>
      <c r="HEQ3" s="0"/>
      <c r="HER3" s="0"/>
      <c r="HES3" s="0"/>
      <c r="HET3" s="0"/>
      <c r="HEU3" s="0"/>
      <c r="HEV3" s="0"/>
      <c r="HEW3" s="0"/>
      <c r="HEX3" s="0"/>
      <c r="HEY3" s="0"/>
      <c r="HEZ3" s="0"/>
      <c r="HFA3" s="0"/>
      <c r="HFB3" s="0"/>
      <c r="HFC3" s="0"/>
      <c r="HFD3" s="0"/>
      <c r="HFE3" s="0"/>
      <c r="HFF3" s="0"/>
      <c r="HFG3" s="0"/>
      <c r="HFH3" s="0"/>
      <c r="HFI3" s="0"/>
      <c r="HFJ3" s="0"/>
      <c r="HFK3" s="0"/>
      <c r="HFL3" s="0"/>
      <c r="HFM3" s="0"/>
      <c r="HFN3" s="0"/>
      <c r="HFO3" s="0"/>
      <c r="HFP3" s="0"/>
      <c r="HFQ3" s="0"/>
      <c r="HFR3" s="0"/>
      <c r="HFS3" s="0"/>
      <c r="HFT3" s="0"/>
      <c r="HFU3" s="0"/>
      <c r="HFV3" s="0"/>
      <c r="HFW3" s="0"/>
      <c r="HFX3" s="0"/>
      <c r="HFY3" s="0"/>
      <c r="HFZ3" s="0"/>
      <c r="HGA3" s="0"/>
      <c r="HGB3" s="0"/>
      <c r="HGC3" s="0"/>
      <c r="HGD3" s="0"/>
      <c r="HGE3" s="0"/>
      <c r="HGF3" s="0"/>
      <c r="HGG3" s="0"/>
      <c r="HGH3" s="0"/>
      <c r="HGI3" s="0"/>
      <c r="HGJ3" s="0"/>
      <c r="HGK3" s="0"/>
      <c r="HGL3" s="0"/>
      <c r="HGM3" s="0"/>
      <c r="HGN3" s="0"/>
      <c r="HGO3" s="0"/>
      <c r="HGP3" s="0"/>
      <c r="HGQ3" s="0"/>
      <c r="HGR3" s="0"/>
      <c r="HGS3" s="0"/>
      <c r="HGT3" s="0"/>
      <c r="HGU3" s="0"/>
      <c r="HGV3" s="0"/>
      <c r="HGW3" s="0"/>
      <c r="HGX3" s="0"/>
      <c r="HGY3" s="0"/>
      <c r="HGZ3" s="0"/>
      <c r="HHA3" s="0"/>
      <c r="HHB3" s="0"/>
      <c r="HHC3" s="0"/>
      <c r="HHD3" s="0"/>
      <c r="HHE3" s="0"/>
      <c r="HHF3" s="0"/>
      <c r="HHG3" s="0"/>
      <c r="HHH3" s="0"/>
      <c r="HHI3" s="0"/>
      <c r="HHJ3" s="0"/>
      <c r="HHK3" s="0"/>
      <c r="HHL3" s="0"/>
      <c r="HHM3" s="0"/>
      <c r="HHN3" s="0"/>
      <c r="HHO3" s="0"/>
      <c r="HHP3" s="0"/>
      <c r="HHQ3" s="0"/>
      <c r="HHR3" s="0"/>
      <c r="HHS3" s="0"/>
      <c r="HHT3" s="0"/>
      <c r="HHU3" s="0"/>
      <c r="HHV3" s="0"/>
      <c r="HHW3" s="0"/>
      <c r="HHX3" s="0"/>
      <c r="HHY3" s="0"/>
      <c r="HHZ3" s="0"/>
      <c r="HIA3" s="0"/>
      <c r="HIB3" s="0"/>
      <c r="HIC3" s="0"/>
      <c r="HID3" s="0"/>
      <c r="HIE3" s="0"/>
      <c r="HIF3" s="0"/>
      <c r="HIG3" s="0"/>
      <c r="HIH3" s="0"/>
      <c r="HII3" s="0"/>
      <c r="HIJ3" s="0"/>
      <c r="HIK3" s="0"/>
      <c r="HIL3" s="0"/>
      <c r="HIM3" s="0"/>
      <c r="HIN3" s="0"/>
      <c r="HIO3" s="0"/>
      <c r="HIP3" s="0"/>
      <c r="HIQ3" s="0"/>
      <c r="HIR3" s="0"/>
      <c r="HIS3" s="0"/>
      <c r="HIT3" s="0"/>
      <c r="HIU3" s="0"/>
      <c r="HIV3" s="0"/>
      <c r="HIW3" s="0"/>
      <c r="HIX3" s="0"/>
      <c r="HIY3" s="0"/>
      <c r="HIZ3" s="0"/>
      <c r="HJA3" s="0"/>
      <c r="HJB3" s="0"/>
      <c r="HJC3" s="0"/>
      <c r="HJD3" s="0"/>
      <c r="HJE3" s="0"/>
      <c r="HJF3" s="0"/>
      <c r="HJG3" s="0"/>
      <c r="HJH3" s="0"/>
      <c r="HJI3" s="0"/>
      <c r="HJJ3" s="0"/>
      <c r="HJK3" s="0"/>
      <c r="HJL3" s="0"/>
      <c r="HJM3" s="0"/>
      <c r="HJN3" s="0"/>
      <c r="HJO3" s="0"/>
      <c r="HJP3" s="0"/>
      <c r="HJQ3" s="0"/>
      <c r="HJR3" s="0"/>
      <c r="HJS3" s="0"/>
      <c r="HJT3" s="0"/>
      <c r="HJU3" s="0"/>
      <c r="HJV3" s="0"/>
      <c r="HJW3" s="0"/>
      <c r="HJX3" s="0"/>
      <c r="HJY3" s="0"/>
      <c r="HJZ3" s="0"/>
      <c r="HKA3" s="0"/>
      <c r="HKB3" s="0"/>
      <c r="HKC3" s="0"/>
      <c r="HKD3" s="0"/>
      <c r="HKE3" s="0"/>
      <c r="HKF3" s="0"/>
      <c r="HKG3" s="0"/>
      <c r="HKH3" s="0"/>
      <c r="HKI3" s="0"/>
      <c r="HKJ3" s="0"/>
      <c r="HKK3" s="0"/>
      <c r="HKL3" s="0"/>
      <c r="HKM3" s="0"/>
      <c r="HKN3" s="0"/>
      <c r="HKO3" s="0"/>
      <c r="HKP3" s="0"/>
      <c r="HKQ3" s="0"/>
      <c r="HKR3" s="0"/>
      <c r="HKS3" s="0"/>
      <c r="HKT3" s="0"/>
      <c r="HKU3" s="0"/>
      <c r="HKV3" s="0"/>
      <c r="HKW3" s="0"/>
      <c r="HKX3" s="0"/>
      <c r="HKY3" s="0"/>
      <c r="HKZ3" s="0"/>
      <c r="HLA3" s="0"/>
      <c r="HLB3" s="0"/>
      <c r="HLC3" s="0"/>
      <c r="HLD3" s="0"/>
      <c r="HLE3" s="0"/>
      <c r="HLF3" s="0"/>
      <c r="HLG3" s="0"/>
      <c r="HLH3" s="0"/>
      <c r="HLI3" s="0"/>
      <c r="HLJ3" s="0"/>
      <c r="HLK3" s="0"/>
      <c r="HLL3" s="0"/>
      <c r="HLM3" s="0"/>
      <c r="HLN3" s="0"/>
      <c r="HLO3" s="0"/>
      <c r="HLP3" s="0"/>
      <c r="HLQ3" s="0"/>
      <c r="HLR3" s="0"/>
      <c r="HLS3" s="0"/>
      <c r="HLT3" s="0"/>
      <c r="HLU3" s="0"/>
      <c r="HLV3" s="0"/>
      <c r="HLW3" s="0"/>
      <c r="HLX3" s="0"/>
      <c r="HLY3" s="0"/>
      <c r="HLZ3" s="0"/>
      <c r="HMA3" s="0"/>
      <c r="HMB3" s="0"/>
      <c r="HMC3" s="0"/>
      <c r="HMD3" s="0"/>
      <c r="HME3" s="0"/>
      <c r="HMF3" s="0"/>
      <c r="HMG3" s="0"/>
      <c r="HMH3" s="0"/>
      <c r="HMI3" s="0"/>
      <c r="HMJ3" s="0"/>
      <c r="HMK3" s="0"/>
      <c r="HML3" s="0"/>
      <c r="HMM3" s="0"/>
      <c r="HMN3" s="0"/>
      <c r="HMO3" s="0"/>
      <c r="HMP3" s="0"/>
      <c r="HMQ3" s="0"/>
      <c r="HMR3" s="0"/>
      <c r="HMS3" s="0"/>
      <c r="HMT3" s="0"/>
      <c r="HMU3" s="0"/>
      <c r="HMV3" s="0"/>
      <c r="HMW3" s="0"/>
      <c r="HMX3" s="0"/>
      <c r="HMY3" s="0"/>
      <c r="HMZ3" s="0"/>
      <c r="HNA3" s="0"/>
      <c r="HNB3" s="0"/>
      <c r="HNC3" s="0"/>
      <c r="HND3" s="0"/>
      <c r="HNE3" s="0"/>
      <c r="HNF3" s="0"/>
      <c r="HNG3" s="0"/>
      <c r="HNH3" s="0"/>
      <c r="HNI3" s="0"/>
      <c r="HNJ3" s="0"/>
      <c r="HNK3" s="0"/>
      <c r="HNL3" s="0"/>
      <c r="HNM3" s="0"/>
      <c r="HNN3" s="0"/>
      <c r="HNO3" s="0"/>
      <c r="HNP3" s="0"/>
      <c r="HNQ3" s="0"/>
      <c r="HNR3" s="0"/>
      <c r="HNS3" s="0"/>
      <c r="HNT3" s="0"/>
      <c r="HNU3" s="0"/>
      <c r="HNV3" s="0"/>
      <c r="HNW3" s="0"/>
      <c r="HNX3" s="0"/>
      <c r="HNY3" s="0"/>
      <c r="HNZ3" s="0"/>
      <c r="HOA3" s="0"/>
      <c r="HOB3" s="0"/>
      <c r="HOC3" s="0"/>
      <c r="HOD3" s="0"/>
      <c r="HOE3" s="0"/>
      <c r="HOF3" s="0"/>
      <c r="HOG3" s="0"/>
      <c r="HOH3" s="0"/>
      <c r="HOI3" s="0"/>
      <c r="HOJ3" s="0"/>
      <c r="HOK3" s="0"/>
      <c r="HOL3" s="0"/>
      <c r="HOM3" s="0"/>
      <c r="HON3" s="0"/>
      <c r="HOO3" s="0"/>
      <c r="HOP3" s="0"/>
      <c r="HOQ3" s="0"/>
      <c r="HOR3" s="0"/>
      <c r="HOS3" s="0"/>
      <c r="HOT3" s="0"/>
      <c r="HOU3" s="0"/>
      <c r="HOV3" s="0"/>
      <c r="HOW3" s="0"/>
      <c r="HOX3" s="0"/>
      <c r="HOY3" s="0"/>
      <c r="HOZ3" s="0"/>
      <c r="HPA3" s="0"/>
      <c r="HPB3" s="0"/>
      <c r="HPC3" s="0"/>
      <c r="HPD3" s="0"/>
      <c r="HPE3" s="0"/>
      <c r="HPF3" s="0"/>
      <c r="HPG3" s="0"/>
      <c r="HPH3" s="0"/>
      <c r="HPI3" s="0"/>
      <c r="HPJ3" s="0"/>
      <c r="HPK3" s="0"/>
      <c r="HPL3" s="0"/>
      <c r="HPM3" s="0"/>
      <c r="HPN3" s="0"/>
      <c r="HPO3" s="0"/>
      <c r="HPP3" s="0"/>
      <c r="HPQ3" s="0"/>
      <c r="HPR3" s="0"/>
      <c r="HPS3" s="0"/>
      <c r="HPT3" s="0"/>
      <c r="HPU3" s="0"/>
      <c r="HPV3" s="0"/>
      <c r="HPW3" s="0"/>
      <c r="HPX3" s="0"/>
      <c r="HPY3" s="0"/>
      <c r="HPZ3" s="0"/>
      <c r="HQA3" s="0"/>
      <c r="HQB3" s="0"/>
      <c r="HQC3" s="0"/>
      <c r="HQD3" s="0"/>
      <c r="HQE3" s="0"/>
      <c r="HQF3" s="0"/>
      <c r="HQG3" s="0"/>
      <c r="HQH3" s="0"/>
      <c r="HQI3" s="0"/>
      <c r="HQJ3" s="0"/>
      <c r="HQK3" s="0"/>
      <c r="HQL3" s="0"/>
      <c r="HQM3" s="0"/>
      <c r="HQN3" s="0"/>
      <c r="HQO3" s="0"/>
      <c r="HQP3" s="0"/>
      <c r="HQQ3" s="0"/>
      <c r="HQR3" s="0"/>
      <c r="HQS3" s="0"/>
      <c r="HQT3" s="0"/>
      <c r="HQU3" s="0"/>
      <c r="HQV3" s="0"/>
      <c r="HQW3" s="0"/>
      <c r="HQX3" s="0"/>
      <c r="HQY3" s="0"/>
      <c r="HQZ3" s="0"/>
      <c r="HRA3" s="0"/>
      <c r="HRB3" s="0"/>
      <c r="HRC3" s="0"/>
      <c r="HRD3" s="0"/>
      <c r="HRE3" s="0"/>
      <c r="HRF3" s="0"/>
      <c r="HRG3" s="0"/>
      <c r="HRH3" s="0"/>
      <c r="HRI3" s="0"/>
      <c r="HRJ3" s="0"/>
      <c r="HRK3" s="0"/>
      <c r="HRL3" s="0"/>
      <c r="HRM3" s="0"/>
      <c r="HRN3" s="0"/>
      <c r="HRO3" s="0"/>
      <c r="HRP3" s="0"/>
      <c r="HRQ3" s="0"/>
      <c r="HRR3" s="0"/>
      <c r="HRS3" s="0"/>
      <c r="HRT3" s="0"/>
      <c r="HRU3" s="0"/>
      <c r="HRV3" s="0"/>
      <c r="HRW3" s="0"/>
      <c r="HRX3" s="0"/>
      <c r="HRY3" s="0"/>
      <c r="HRZ3" s="0"/>
      <c r="HSA3" s="0"/>
      <c r="HSB3" s="0"/>
      <c r="HSC3" s="0"/>
      <c r="HSD3" s="0"/>
      <c r="HSE3" s="0"/>
      <c r="HSF3" s="0"/>
      <c r="HSG3" s="0"/>
      <c r="HSH3" s="0"/>
      <c r="HSI3" s="0"/>
      <c r="HSJ3" s="0"/>
      <c r="HSK3" s="0"/>
      <c r="HSL3" s="0"/>
      <c r="HSM3" s="0"/>
      <c r="HSN3" s="0"/>
      <c r="HSO3" s="0"/>
      <c r="HSP3" s="0"/>
      <c r="HSQ3" s="0"/>
      <c r="HSR3" s="0"/>
      <c r="HSS3" s="0"/>
      <c r="HST3" s="0"/>
      <c r="HSU3" s="0"/>
      <c r="HSV3" s="0"/>
      <c r="HSW3" s="0"/>
      <c r="HSX3" s="0"/>
      <c r="HSY3" s="0"/>
      <c r="HSZ3" s="0"/>
      <c r="HTA3" s="0"/>
      <c r="HTB3" s="0"/>
      <c r="HTC3" s="0"/>
      <c r="HTD3" s="0"/>
      <c r="HTE3" s="0"/>
      <c r="HTF3" s="0"/>
      <c r="HTG3" s="0"/>
      <c r="HTH3" s="0"/>
      <c r="HTI3" s="0"/>
      <c r="HTJ3" s="0"/>
      <c r="HTK3" s="0"/>
      <c r="HTL3" s="0"/>
      <c r="HTM3" s="0"/>
      <c r="HTN3" s="0"/>
      <c r="HTO3" s="0"/>
      <c r="HTP3" s="0"/>
      <c r="HTQ3" s="0"/>
      <c r="HTR3" s="0"/>
      <c r="HTS3" s="0"/>
      <c r="HTT3" s="0"/>
      <c r="HTU3" s="0"/>
      <c r="HTV3" s="0"/>
      <c r="HTW3" s="0"/>
      <c r="HTX3" s="0"/>
      <c r="HTY3" s="0"/>
      <c r="HTZ3" s="0"/>
      <c r="HUA3" s="0"/>
      <c r="HUB3" s="0"/>
      <c r="HUC3" s="0"/>
      <c r="HUD3" s="0"/>
      <c r="HUE3" s="0"/>
      <c r="HUF3" s="0"/>
      <c r="HUG3" s="0"/>
      <c r="HUH3" s="0"/>
      <c r="HUI3" s="0"/>
      <c r="HUJ3" s="0"/>
      <c r="HUK3" s="0"/>
      <c r="HUL3" s="0"/>
      <c r="HUM3" s="0"/>
      <c r="HUN3" s="0"/>
      <c r="HUO3" s="0"/>
      <c r="HUP3" s="0"/>
      <c r="HUQ3" s="0"/>
      <c r="HUR3" s="0"/>
      <c r="HUS3" s="0"/>
      <c r="HUT3" s="0"/>
      <c r="HUU3" s="0"/>
      <c r="HUV3" s="0"/>
      <c r="HUW3" s="0"/>
      <c r="HUX3" s="0"/>
      <c r="HUY3" s="0"/>
      <c r="HUZ3" s="0"/>
      <c r="HVA3" s="0"/>
      <c r="HVB3" s="0"/>
      <c r="HVC3" s="0"/>
      <c r="HVD3" s="0"/>
      <c r="HVE3" s="0"/>
      <c r="HVF3" s="0"/>
      <c r="HVG3" s="0"/>
      <c r="HVH3" s="0"/>
      <c r="HVI3" s="0"/>
      <c r="HVJ3" s="0"/>
      <c r="HVK3" s="0"/>
      <c r="HVL3" s="0"/>
      <c r="HVM3" s="0"/>
      <c r="HVN3" s="0"/>
      <c r="HVO3" s="0"/>
      <c r="HVP3" s="0"/>
      <c r="HVQ3" s="0"/>
      <c r="HVR3" s="0"/>
      <c r="HVS3" s="0"/>
      <c r="HVT3" s="0"/>
      <c r="HVU3" s="0"/>
      <c r="HVV3" s="0"/>
      <c r="HVW3" s="0"/>
      <c r="HVX3" s="0"/>
      <c r="HVY3" s="0"/>
      <c r="HVZ3" s="0"/>
      <c r="HWA3" s="0"/>
      <c r="HWB3" s="0"/>
      <c r="HWC3" s="0"/>
      <c r="HWD3" s="0"/>
      <c r="HWE3" s="0"/>
      <c r="HWF3" s="0"/>
      <c r="HWG3" s="0"/>
      <c r="HWH3" s="0"/>
      <c r="HWI3" s="0"/>
      <c r="HWJ3" s="0"/>
      <c r="HWK3" s="0"/>
      <c r="HWL3" s="0"/>
      <c r="HWM3" s="0"/>
      <c r="HWN3" s="0"/>
      <c r="HWO3" s="0"/>
      <c r="HWP3" s="0"/>
      <c r="HWQ3" s="0"/>
      <c r="HWR3" s="0"/>
      <c r="HWS3" s="0"/>
      <c r="HWT3" s="0"/>
      <c r="HWU3" s="0"/>
      <c r="HWV3" s="0"/>
      <c r="HWW3" s="0"/>
      <c r="HWX3" s="0"/>
      <c r="HWY3" s="0"/>
      <c r="HWZ3" s="0"/>
      <c r="HXA3" s="0"/>
      <c r="HXB3" s="0"/>
      <c r="HXC3" s="0"/>
      <c r="HXD3" s="0"/>
      <c r="HXE3" s="0"/>
      <c r="HXF3" s="0"/>
      <c r="HXG3" s="0"/>
      <c r="HXH3" s="0"/>
      <c r="HXI3" s="0"/>
      <c r="HXJ3" s="0"/>
      <c r="HXK3" s="0"/>
      <c r="HXL3" s="0"/>
      <c r="HXM3" s="0"/>
      <c r="HXN3" s="0"/>
      <c r="HXO3" s="0"/>
      <c r="HXP3" s="0"/>
      <c r="HXQ3" s="0"/>
      <c r="HXR3" s="0"/>
      <c r="HXS3" s="0"/>
      <c r="HXT3" s="0"/>
      <c r="HXU3" s="0"/>
      <c r="HXV3" s="0"/>
      <c r="HXW3" s="0"/>
      <c r="HXX3" s="0"/>
      <c r="HXY3" s="0"/>
      <c r="HXZ3" s="0"/>
      <c r="HYA3" s="0"/>
      <c r="HYB3" s="0"/>
      <c r="HYC3" s="0"/>
      <c r="HYD3" s="0"/>
      <c r="HYE3" s="0"/>
      <c r="HYF3" s="0"/>
      <c r="HYG3" s="0"/>
      <c r="HYH3" s="0"/>
      <c r="HYI3" s="0"/>
      <c r="HYJ3" s="0"/>
      <c r="HYK3" s="0"/>
      <c r="HYL3" s="0"/>
      <c r="HYM3" s="0"/>
      <c r="HYN3" s="0"/>
      <c r="HYO3" s="0"/>
      <c r="HYP3" s="0"/>
      <c r="HYQ3" s="0"/>
      <c r="HYR3" s="0"/>
      <c r="HYS3" s="0"/>
      <c r="HYT3" s="0"/>
      <c r="HYU3" s="0"/>
      <c r="HYV3" s="0"/>
      <c r="HYW3" s="0"/>
      <c r="HYX3" s="0"/>
      <c r="HYY3" s="0"/>
      <c r="HYZ3" s="0"/>
      <c r="HZA3" s="0"/>
      <c r="HZB3" s="0"/>
      <c r="HZC3" s="0"/>
      <c r="HZD3" s="0"/>
      <c r="HZE3" s="0"/>
      <c r="HZF3" s="0"/>
      <c r="HZG3" s="0"/>
      <c r="HZH3" s="0"/>
      <c r="HZI3" s="0"/>
      <c r="HZJ3" s="0"/>
      <c r="HZK3" s="0"/>
      <c r="HZL3" s="0"/>
      <c r="HZM3" s="0"/>
      <c r="HZN3" s="0"/>
      <c r="HZO3" s="0"/>
      <c r="HZP3" s="0"/>
      <c r="HZQ3" s="0"/>
      <c r="HZR3" s="0"/>
      <c r="HZS3" s="0"/>
      <c r="HZT3" s="0"/>
      <c r="HZU3" s="0"/>
      <c r="HZV3" s="0"/>
      <c r="HZW3" s="0"/>
      <c r="HZX3" s="0"/>
      <c r="HZY3" s="0"/>
      <c r="HZZ3" s="0"/>
      <c r="IAA3" s="0"/>
      <c r="IAB3" s="0"/>
      <c r="IAC3" s="0"/>
      <c r="IAD3" s="0"/>
      <c r="IAE3" s="0"/>
      <c r="IAF3" s="0"/>
      <c r="IAG3" s="0"/>
      <c r="IAH3" s="0"/>
      <c r="IAI3" s="0"/>
      <c r="IAJ3" s="0"/>
      <c r="IAK3" s="0"/>
      <c r="IAL3" s="0"/>
      <c r="IAM3" s="0"/>
      <c r="IAN3" s="0"/>
      <c r="IAO3" s="0"/>
      <c r="IAP3" s="0"/>
      <c r="IAQ3" s="0"/>
      <c r="IAR3" s="0"/>
      <c r="IAS3" s="0"/>
      <c r="IAT3" s="0"/>
      <c r="IAU3" s="0"/>
      <c r="IAV3" s="0"/>
      <c r="IAW3" s="0"/>
      <c r="IAX3" s="0"/>
      <c r="IAY3" s="0"/>
      <c r="IAZ3" s="0"/>
      <c r="IBA3" s="0"/>
      <c r="IBB3" s="0"/>
      <c r="IBC3" s="0"/>
      <c r="IBD3" s="0"/>
      <c r="IBE3" s="0"/>
      <c r="IBF3" s="0"/>
      <c r="IBG3" s="0"/>
      <c r="IBH3" s="0"/>
      <c r="IBI3" s="0"/>
      <c r="IBJ3" s="0"/>
      <c r="IBK3" s="0"/>
      <c r="IBL3" s="0"/>
      <c r="IBM3" s="0"/>
      <c r="IBN3" s="0"/>
      <c r="IBO3" s="0"/>
      <c r="IBP3" s="0"/>
      <c r="IBQ3" s="0"/>
      <c r="IBR3" s="0"/>
      <c r="IBS3" s="0"/>
      <c r="IBT3" s="0"/>
      <c r="IBU3" s="0"/>
      <c r="IBV3" s="0"/>
      <c r="IBW3" s="0"/>
      <c r="IBX3" s="0"/>
      <c r="IBY3" s="0"/>
      <c r="IBZ3" s="0"/>
      <c r="ICA3" s="0"/>
      <c r="ICB3" s="0"/>
      <c r="ICC3" s="0"/>
      <c r="ICD3" s="0"/>
      <c r="ICE3" s="0"/>
      <c r="ICF3" s="0"/>
      <c r="ICG3" s="0"/>
      <c r="ICH3" s="0"/>
      <c r="ICI3" s="0"/>
      <c r="ICJ3" s="0"/>
      <c r="ICK3" s="0"/>
      <c r="ICL3" s="0"/>
      <c r="ICM3" s="0"/>
      <c r="ICN3" s="0"/>
      <c r="ICO3" s="0"/>
      <c r="ICP3" s="0"/>
      <c r="ICQ3" s="0"/>
      <c r="ICR3" s="0"/>
      <c r="ICS3" s="0"/>
      <c r="ICT3" s="0"/>
      <c r="ICU3" s="0"/>
      <c r="ICV3" s="0"/>
      <c r="ICW3" s="0"/>
      <c r="ICX3" s="0"/>
      <c r="ICY3" s="0"/>
      <c r="ICZ3" s="0"/>
      <c r="IDA3" s="0"/>
      <c r="IDB3" s="0"/>
      <c r="IDC3" s="0"/>
      <c r="IDD3" s="0"/>
      <c r="IDE3" s="0"/>
      <c r="IDF3" s="0"/>
      <c r="IDG3" s="0"/>
      <c r="IDH3" s="0"/>
      <c r="IDI3" s="0"/>
      <c r="IDJ3" s="0"/>
      <c r="IDK3" s="0"/>
      <c r="IDL3" s="0"/>
      <c r="IDM3" s="0"/>
      <c r="IDN3" s="0"/>
      <c r="IDO3" s="0"/>
      <c r="IDP3" s="0"/>
      <c r="IDQ3" s="0"/>
      <c r="IDR3" s="0"/>
      <c r="IDS3" s="0"/>
      <c r="IDT3" s="0"/>
      <c r="IDU3" s="0"/>
      <c r="IDV3" s="0"/>
      <c r="IDW3" s="0"/>
      <c r="IDX3" s="0"/>
      <c r="IDY3" s="0"/>
      <c r="IDZ3" s="0"/>
      <c r="IEA3" s="0"/>
      <c r="IEB3" s="0"/>
      <c r="IEC3" s="0"/>
      <c r="IED3" s="0"/>
      <c r="IEE3" s="0"/>
      <c r="IEF3" s="0"/>
      <c r="IEG3" s="0"/>
      <c r="IEH3" s="0"/>
      <c r="IEI3" s="0"/>
      <c r="IEJ3" s="0"/>
      <c r="IEK3" s="0"/>
      <c r="IEL3" s="0"/>
      <c r="IEM3" s="0"/>
      <c r="IEN3" s="0"/>
      <c r="IEO3" s="0"/>
      <c r="IEP3" s="0"/>
      <c r="IEQ3" s="0"/>
      <c r="IER3" s="0"/>
      <c r="IES3" s="0"/>
      <c r="IET3" s="0"/>
      <c r="IEU3" s="0"/>
      <c r="IEV3" s="0"/>
      <c r="IEW3" s="0"/>
      <c r="IEX3" s="0"/>
      <c r="IEY3" s="0"/>
      <c r="IEZ3" s="0"/>
      <c r="IFA3" s="0"/>
      <c r="IFB3" s="0"/>
      <c r="IFC3" s="0"/>
      <c r="IFD3" s="0"/>
      <c r="IFE3" s="0"/>
      <c r="IFF3" s="0"/>
      <c r="IFG3" s="0"/>
      <c r="IFH3" s="0"/>
      <c r="IFI3" s="0"/>
      <c r="IFJ3" s="0"/>
      <c r="IFK3" s="0"/>
      <c r="IFL3" s="0"/>
      <c r="IFM3" s="0"/>
      <c r="IFN3" s="0"/>
      <c r="IFO3" s="0"/>
      <c r="IFP3" s="0"/>
      <c r="IFQ3" s="0"/>
      <c r="IFR3" s="0"/>
      <c r="IFS3" s="0"/>
      <c r="IFT3" s="0"/>
      <c r="IFU3" s="0"/>
      <c r="IFV3" s="0"/>
      <c r="IFW3" s="0"/>
      <c r="IFX3" s="0"/>
      <c r="IFY3" s="0"/>
      <c r="IFZ3" s="0"/>
      <c r="IGA3" s="0"/>
      <c r="IGB3" s="0"/>
      <c r="IGC3" s="0"/>
      <c r="IGD3" s="0"/>
      <c r="IGE3" s="0"/>
      <c r="IGF3" s="0"/>
      <c r="IGG3" s="0"/>
      <c r="IGH3" s="0"/>
      <c r="IGI3" s="0"/>
      <c r="IGJ3" s="0"/>
      <c r="IGK3" s="0"/>
      <c r="IGL3" s="0"/>
      <c r="IGM3" s="0"/>
      <c r="IGN3" s="0"/>
      <c r="IGO3" s="0"/>
      <c r="IGP3" s="0"/>
      <c r="IGQ3" s="0"/>
      <c r="IGR3" s="0"/>
      <c r="IGS3" s="0"/>
      <c r="IGT3" s="0"/>
      <c r="IGU3" s="0"/>
      <c r="IGV3" s="0"/>
      <c r="IGW3" s="0"/>
      <c r="IGX3" s="0"/>
      <c r="IGY3" s="0"/>
      <c r="IGZ3" s="0"/>
      <c r="IHA3" s="0"/>
      <c r="IHB3" s="0"/>
      <c r="IHC3" s="0"/>
      <c r="IHD3" s="0"/>
      <c r="IHE3" s="0"/>
      <c r="IHF3" s="0"/>
      <c r="IHG3" s="0"/>
      <c r="IHH3" s="0"/>
      <c r="IHI3" s="0"/>
      <c r="IHJ3" s="0"/>
      <c r="IHK3" s="0"/>
      <c r="IHL3" s="0"/>
      <c r="IHM3" s="0"/>
      <c r="IHN3" s="0"/>
      <c r="IHO3" s="0"/>
      <c r="IHP3" s="0"/>
      <c r="IHQ3" s="0"/>
      <c r="IHR3" s="0"/>
      <c r="IHS3" s="0"/>
      <c r="IHT3" s="0"/>
      <c r="IHU3" s="0"/>
      <c r="IHV3" s="0"/>
      <c r="IHW3" s="0"/>
      <c r="IHX3" s="0"/>
      <c r="IHY3" s="0"/>
      <c r="IHZ3" s="0"/>
      <c r="IIA3" s="0"/>
      <c r="IIB3" s="0"/>
      <c r="IIC3" s="0"/>
      <c r="IID3" s="0"/>
      <c r="IIE3" s="0"/>
      <c r="IIF3" s="0"/>
      <c r="IIG3" s="0"/>
      <c r="IIH3" s="0"/>
      <c r="III3" s="0"/>
      <c r="IIJ3" s="0"/>
      <c r="IIK3" s="0"/>
      <c r="IIL3" s="0"/>
      <c r="IIM3" s="0"/>
      <c r="IIN3" s="0"/>
      <c r="IIO3" s="0"/>
      <c r="IIP3" s="0"/>
      <c r="IIQ3" s="0"/>
      <c r="IIR3" s="0"/>
      <c r="IIS3" s="0"/>
      <c r="IIT3" s="0"/>
      <c r="IIU3" s="0"/>
      <c r="IIV3" s="0"/>
      <c r="IIW3" s="0"/>
      <c r="IIX3" s="0"/>
      <c r="IIY3" s="0"/>
      <c r="IIZ3" s="0"/>
      <c r="IJA3" s="0"/>
      <c r="IJB3" s="0"/>
      <c r="IJC3" s="0"/>
      <c r="IJD3" s="0"/>
      <c r="IJE3" s="0"/>
      <c r="IJF3" s="0"/>
      <c r="IJG3" s="0"/>
      <c r="IJH3" s="0"/>
      <c r="IJI3" s="0"/>
      <c r="IJJ3" s="0"/>
      <c r="IJK3" s="0"/>
      <c r="IJL3" s="0"/>
      <c r="IJM3" s="0"/>
      <c r="IJN3" s="0"/>
      <c r="IJO3" s="0"/>
      <c r="IJP3" s="0"/>
      <c r="IJQ3" s="0"/>
      <c r="IJR3" s="0"/>
      <c r="IJS3" s="0"/>
      <c r="IJT3" s="0"/>
      <c r="IJU3" s="0"/>
      <c r="IJV3" s="0"/>
      <c r="IJW3" s="0"/>
      <c r="IJX3" s="0"/>
      <c r="IJY3" s="0"/>
      <c r="IJZ3" s="0"/>
      <c r="IKA3" s="0"/>
      <c r="IKB3" s="0"/>
      <c r="IKC3" s="0"/>
      <c r="IKD3" s="0"/>
      <c r="IKE3" s="0"/>
      <c r="IKF3" s="0"/>
      <c r="IKG3" s="0"/>
      <c r="IKH3" s="0"/>
      <c r="IKI3" s="0"/>
      <c r="IKJ3" s="0"/>
      <c r="IKK3" s="0"/>
      <c r="IKL3" s="0"/>
      <c r="IKM3" s="0"/>
      <c r="IKN3" s="0"/>
      <c r="IKO3" s="0"/>
      <c r="IKP3" s="0"/>
      <c r="IKQ3" s="0"/>
      <c r="IKR3" s="0"/>
      <c r="IKS3" s="0"/>
      <c r="IKT3" s="0"/>
      <c r="IKU3" s="0"/>
      <c r="IKV3" s="0"/>
      <c r="IKW3" s="0"/>
      <c r="IKX3" s="0"/>
      <c r="IKY3" s="0"/>
      <c r="IKZ3" s="0"/>
      <c r="ILA3" s="0"/>
      <c r="ILB3" s="0"/>
      <c r="ILC3" s="0"/>
      <c r="ILD3" s="0"/>
      <c r="ILE3" s="0"/>
      <c r="ILF3" s="0"/>
      <c r="ILG3" s="0"/>
      <c r="ILH3" s="0"/>
      <c r="ILI3" s="0"/>
      <c r="ILJ3" s="0"/>
      <c r="ILK3" s="0"/>
      <c r="ILL3" s="0"/>
      <c r="ILM3" s="0"/>
      <c r="ILN3" s="0"/>
      <c r="ILO3" s="0"/>
      <c r="ILP3" s="0"/>
      <c r="ILQ3" s="0"/>
      <c r="ILR3" s="0"/>
      <c r="ILS3" s="0"/>
      <c r="ILT3" s="0"/>
      <c r="ILU3" s="0"/>
      <c r="ILV3" s="0"/>
      <c r="ILW3" s="0"/>
      <c r="ILX3" s="0"/>
      <c r="ILY3" s="0"/>
      <c r="ILZ3" s="0"/>
      <c r="IMA3" s="0"/>
      <c r="IMB3" s="0"/>
      <c r="IMC3" s="0"/>
      <c r="IMD3" s="0"/>
      <c r="IME3" s="0"/>
      <c r="IMF3" s="0"/>
      <c r="IMG3" s="0"/>
      <c r="IMH3" s="0"/>
      <c r="IMI3" s="0"/>
      <c r="IMJ3" s="0"/>
      <c r="IMK3" s="0"/>
      <c r="IML3" s="0"/>
      <c r="IMM3" s="0"/>
      <c r="IMN3" s="0"/>
      <c r="IMO3" s="0"/>
      <c r="IMP3" s="0"/>
      <c r="IMQ3" s="0"/>
      <c r="IMR3" s="0"/>
      <c r="IMS3" s="0"/>
      <c r="IMT3" s="0"/>
      <c r="IMU3" s="0"/>
      <c r="IMV3" s="0"/>
      <c r="IMW3" s="0"/>
      <c r="IMX3" s="0"/>
      <c r="IMY3" s="0"/>
      <c r="IMZ3" s="0"/>
      <c r="INA3" s="0"/>
      <c r="INB3" s="0"/>
      <c r="INC3" s="0"/>
      <c r="IND3" s="0"/>
      <c r="INE3" s="0"/>
      <c r="INF3" s="0"/>
      <c r="ING3" s="0"/>
      <c r="INH3" s="0"/>
      <c r="INI3" s="0"/>
      <c r="INJ3" s="0"/>
      <c r="INK3" s="0"/>
      <c r="INL3" s="0"/>
      <c r="INM3" s="0"/>
      <c r="INN3" s="0"/>
      <c r="INO3" s="0"/>
      <c r="INP3" s="0"/>
      <c r="INQ3" s="0"/>
      <c r="INR3" s="0"/>
      <c r="INS3" s="0"/>
      <c r="INT3" s="0"/>
      <c r="INU3" s="0"/>
      <c r="INV3" s="0"/>
      <c r="INW3" s="0"/>
      <c r="INX3" s="0"/>
      <c r="INY3" s="0"/>
      <c r="INZ3" s="0"/>
      <c r="IOA3" s="0"/>
      <c r="IOB3" s="0"/>
      <c r="IOC3" s="0"/>
      <c r="IOD3" s="0"/>
      <c r="IOE3" s="0"/>
      <c r="IOF3" s="0"/>
      <c r="IOG3" s="0"/>
      <c r="IOH3" s="0"/>
      <c r="IOI3" s="0"/>
      <c r="IOJ3" s="0"/>
      <c r="IOK3" s="0"/>
      <c r="IOL3" s="0"/>
      <c r="IOM3" s="0"/>
      <c r="ION3" s="0"/>
      <c r="IOO3" s="0"/>
      <c r="IOP3" s="0"/>
      <c r="IOQ3" s="0"/>
      <c r="IOR3" s="0"/>
      <c r="IOS3" s="0"/>
      <c r="IOT3" s="0"/>
      <c r="IOU3" s="0"/>
      <c r="IOV3" s="0"/>
      <c r="IOW3" s="0"/>
      <c r="IOX3" s="0"/>
      <c r="IOY3" s="0"/>
      <c r="IOZ3" s="0"/>
      <c r="IPA3" s="0"/>
      <c r="IPB3" s="0"/>
      <c r="IPC3" s="0"/>
      <c r="IPD3" s="0"/>
      <c r="IPE3" s="0"/>
      <c r="IPF3" s="0"/>
      <c r="IPG3" s="0"/>
      <c r="IPH3" s="0"/>
      <c r="IPI3" s="0"/>
      <c r="IPJ3" s="0"/>
      <c r="IPK3" s="0"/>
      <c r="IPL3" s="0"/>
      <c r="IPM3" s="0"/>
      <c r="IPN3" s="0"/>
      <c r="IPO3" s="0"/>
      <c r="IPP3" s="0"/>
      <c r="IPQ3" s="0"/>
      <c r="IPR3" s="0"/>
      <c r="IPS3" s="0"/>
      <c r="IPT3" s="0"/>
      <c r="IPU3" s="0"/>
      <c r="IPV3" s="0"/>
      <c r="IPW3" s="0"/>
      <c r="IPX3" s="0"/>
      <c r="IPY3" s="0"/>
      <c r="IPZ3" s="0"/>
      <c r="IQA3" s="0"/>
      <c r="IQB3" s="0"/>
      <c r="IQC3" s="0"/>
      <c r="IQD3" s="0"/>
      <c r="IQE3" s="0"/>
      <c r="IQF3" s="0"/>
      <c r="IQG3" s="0"/>
      <c r="IQH3" s="0"/>
      <c r="IQI3" s="0"/>
      <c r="IQJ3" s="0"/>
      <c r="IQK3" s="0"/>
      <c r="IQL3" s="0"/>
      <c r="IQM3" s="0"/>
      <c r="IQN3" s="0"/>
      <c r="IQO3" s="0"/>
      <c r="IQP3" s="0"/>
      <c r="IQQ3" s="0"/>
      <c r="IQR3" s="0"/>
      <c r="IQS3" s="0"/>
      <c r="IQT3" s="0"/>
      <c r="IQU3" s="0"/>
      <c r="IQV3" s="0"/>
      <c r="IQW3" s="0"/>
      <c r="IQX3" s="0"/>
      <c r="IQY3" s="0"/>
      <c r="IQZ3" s="0"/>
      <c r="IRA3" s="0"/>
      <c r="IRB3" s="0"/>
      <c r="IRC3" s="0"/>
      <c r="IRD3" s="0"/>
      <c r="IRE3" s="0"/>
      <c r="IRF3" s="0"/>
      <c r="IRG3" s="0"/>
      <c r="IRH3" s="0"/>
      <c r="IRI3" s="0"/>
      <c r="IRJ3" s="0"/>
      <c r="IRK3" s="0"/>
      <c r="IRL3" s="0"/>
      <c r="IRM3" s="0"/>
      <c r="IRN3" s="0"/>
      <c r="IRO3" s="0"/>
      <c r="IRP3" s="0"/>
      <c r="IRQ3" s="0"/>
      <c r="IRR3" s="0"/>
      <c r="IRS3" s="0"/>
      <c r="IRT3" s="0"/>
      <c r="IRU3" s="0"/>
      <c r="IRV3" s="0"/>
      <c r="IRW3" s="0"/>
      <c r="IRX3" s="0"/>
      <c r="IRY3" s="0"/>
      <c r="IRZ3" s="0"/>
      <c r="ISA3" s="0"/>
      <c r="ISB3" s="0"/>
      <c r="ISC3" s="0"/>
      <c r="ISD3" s="0"/>
      <c r="ISE3" s="0"/>
      <c r="ISF3" s="0"/>
      <c r="ISG3" s="0"/>
      <c r="ISH3" s="0"/>
      <c r="ISI3" s="0"/>
      <c r="ISJ3" s="0"/>
      <c r="ISK3" s="0"/>
      <c r="ISL3" s="0"/>
      <c r="ISM3" s="0"/>
      <c r="ISN3" s="0"/>
      <c r="ISO3" s="0"/>
      <c r="ISP3" s="0"/>
      <c r="ISQ3" s="0"/>
      <c r="ISR3" s="0"/>
      <c r="ISS3" s="0"/>
      <c r="IST3" s="0"/>
      <c r="ISU3" s="0"/>
      <c r="ISV3" s="0"/>
      <c r="ISW3" s="0"/>
      <c r="ISX3" s="0"/>
      <c r="ISY3" s="0"/>
      <c r="ISZ3" s="0"/>
      <c r="ITA3" s="0"/>
      <c r="ITB3" s="0"/>
      <c r="ITC3" s="0"/>
      <c r="ITD3" s="0"/>
      <c r="ITE3" s="0"/>
      <c r="ITF3" s="0"/>
      <c r="ITG3" s="0"/>
      <c r="ITH3" s="0"/>
      <c r="ITI3" s="0"/>
      <c r="ITJ3" s="0"/>
      <c r="ITK3" s="0"/>
      <c r="ITL3" s="0"/>
      <c r="ITM3" s="0"/>
      <c r="ITN3" s="0"/>
      <c r="ITO3" s="0"/>
      <c r="ITP3" s="0"/>
      <c r="ITQ3" s="0"/>
      <c r="ITR3" s="0"/>
      <c r="ITS3" s="0"/>
      <c r="ITT3" s="0"/>
      <c r="ITU3" s="0"/>
      <c r="ITV3" s="0"/>
      <c r="ITW3" s="0"/>
      <c r="ITX3" s="0"/>
      <c r="ITY3" s="0"/>
      <c r="ITZ3" s="0"/>
      <c r="IUA3" s="0"/>
      <c r="IUB3" s="0"/>
      <c r="IUC3" s="0"/>
      <c r="IUD3" s="0"/>
      <c r="IUE3" s="0"/>
      <c r="IUF3" s="0"/>
      <c r="IUG3" s="0"/>
      <c r="IUH3" s="0"/>
      <c r="IUI3" s="0"/>
      <c r="IUJ3" s="0"/>
      <c r="IUK3" s="0"/>
      <c r="IUL3" s="0"/>
      <c r="IUM3" s="0"/>
      <c r="IUN3" s="0"/>
      <c r="IUO3" s="0"/>
      <c r="IUP3" s="0"/>
      <c r="IUQ3" s="0"/>
      <c r="IUR3" s="0"/>
      <c r="IUS3" s="0"/>
      <c r="IUT3" s="0"/>
      <c r="IUU3" s="0"/>
      <c r="IUV3" s="0"/>
      <c r="IUW3" s="0"/>
      <c r="IUX3" s="0"/>
      <c r="IUY3" s="0"/>
      <c r="IUZ3" s="0"/>
      <c r="IVA3" s="0"/>
      <c r="IVB3" s="0"/>
      <c r="IVC3" s="0"/>
      <c r="IVD3" s="0"/>
      <c r="IVE3" s="0"/>
      <c r="IVF3" s="0"/>
      <c r="IVG3" s="0"/>
      <c r="IVH3" s="0"/>
      <c r="IVI3" s="0"/>
      <c r="IVJ3" s="0"/>
      <c r="IVK3" s="0"/>
      <c r="IVL3" s="0"/>
      <c r="IVM3" s="0"/>
      <c r="IVN3" s="0"/>
      <c r="IVO3" s="0"/>
      <c r="IVP3" s="0"/>
      <c r="IVQ3" s="0"/>
      <c r="IVR3" s="0"/>
      <c r="IVS3" s="0"/>
      <c r="IVT3" s="0"/>
      <c r="IVU3" s="0"/>
      <c r="IVV3" s="0"/>
      <c r="IVW3" s="0"/>
      <c r="IVX3" s="0"/>
      <c r="IVY3" s="0"/>
      <c r="IVZ3" s="0"/>
      <c r="IWA3" s="0"/>
      <c r="IWB3" s="0"/>
      <c r="IWC3" s="0"/>
      <c r="IWD3" s="0"/>
      <c r="IWE3" s="0"/>
      <c r="IWF3" s="0"/>
      <c r="IWG3" s="0"/>
      <c r="IWH3" s="0"/>
      <c r="IWI3" s="0"/>
      <c r="IWJ3" s="0"/>
      <c r="IWK3" s="0"/>
      <c r="IWL3" s="0"/>
      <c r="IWM3" s="0"/>
      <c r="IWN3" s="0"/>
      <c r="IWO3" s="0"/>
      <c r="IWP3" s="0"/>
      <c r="IWQ3" s="0"/>
      <c r="IWR3" s="0"/>
      <c r="IWS3" s="0"/>
      <c r="IWT3" s="0"/>
      <c r="IWU3" s="0"/>
      <c r="IWV3" s="0"/>
      <c r="IWW3" s="0"/>
      <c r="IWX3" s="0"/>
      <c r="IWY3" s="0"/>
      <c r="IWZ3" s="0"/>
      <c r="IXA3" s="0"/>
      <c r="IXB3" s="0"/>
      <c r="IXC3" s="0"/>
      <c r="IXD3" s="0"/>
      <c r="IXE3" s="0"/>
      <c r="IXF3" s="0"/>
      <c r="IXG3" s="0"/>
      <c r="IXH3" s="0"/>
      <c r="IXI3" s="0"/>
      <c r="IXJ3" s="0"/>
      <c r="IXK3" s="0"/>
      <c r="IXL3" s="0"/>
      <c r="IXM3" s="0"/>
      <c r="IXN3" s="0"/>
      <c r="IXO3" s="0"/>
      <c r="IXP3" s="0"/>
      <c r="IXQ3" s="0"/>
      <c r="IXR3" s="0"/>
      <c r="IXS3" s="0"/>
      <c r="IXT3" s="0"/>
      <c r="IXU3" s="0"/>
      <c r="IXV3" s="0"/>
      <c r="IXW3" s="0"/>
      <c r="IXX3" s="0"/>
      <c r="IXY3" s="0"/>
      <c r="IXZ3" s="0"/>
      <c r="IYA3" s="0"/>
      <c r="IYB3" s="0"/>
      <c r="IYC3" s="0"/>
      <c r="IYD3" s="0"/>
      <c r="IYE3" s="0"/>
      <c r="IYF3" s="0"/>
      <c r="IYG3" s="0"/>
      <c r="IYH3" s="0"/>
      <c r="IYI3" s="0"/>
      <c r="IYJ3" s="0"/>
      <c r="IYK3" s="0"/>
      <c r="IYL3" s="0"/>
      <c r="IYM3" s="0"/>
      <c r="IYN3" s="0"/>
      <c r="IYO3" s="0"/>
      <c r="IYP3" s="0"/>
      <c r="IYQ3" s="0"/>
      <c r="IYR3" s="0"/>
      <c r="IYS3" s="0"/>
      <c r="IYT3" s="0"/>
      <c r="IYU3" s="0"/>
      <c r="IYV3" s="0"/>
      <c r="IYW3" s="0"/>
      <c r="IYX3" s="0"/>
      <c r="IYY3" s="0"/>
      <c r="IYZ3" s="0"/>
      <c r="IZA3" s="0"/>
      <c r="IZB3" s="0"/>
      <c r="IZC3" s="0"/>
      <c r="IZD3" s="0"/>
      <c r="IZE3" s="0"/>
      <c r="IZF3" s="0"/>
      <c r="IZG3" s="0"/>
      <c r="IZH3" s="0"/>
      <c r="IZI3" s="0"/>
      <c r="IZJ3" s="0"/>
      <c r="IZK3" s="0"/>
      <c r="IZL3" s="0"/>
      <c r="IZM3" s="0"/>
      <c r="IZN3" s="0"/>
      <c r="IZO3" s="0"/>
      <c r="IZP3" s="0"/>
      <c r="IZQ3" s="0"/>
      <c r="IZR3" s="0"/>
      <c r="IZS3" s="0"/>
      <c r="IZT3" s="0"/>
      <c r="IZU3" s="0"/>
      <c r="IZV3" s="0"/>
      <c r="IZW3" s="0"/>
      <c r="IZX3" s="0"/>
      <c r="IZY3" s="0"/>
      <c r="IZZ3" s="0"/>
      <c r="JAA3" s="0"/>
      <c r="JAB3" s="0"/>
      <c r="JAC3" s="0"/>
      <c r="JAD3" s="0"/>
      <c r="JAE3" s="0"/>
      <c r="JAF3" s="0"/>
      <c r="JAG3" s="0"/>
      <c r="JAH3" s="0"/>
      <c r="JAI3" s="0"/>
      <c r="JAJ3" s="0"/>
      <c r="JAK3" s="0"/>
      <c r="JAL3" s="0"/>
      <c r="JAM3" s="0"/>
      <c r="JAN3" s="0"/>
      <c r="JAO3" s="0"/>
      <c r="JAP3" s="0"/>
      <c r="JAQ3" s="0"/>
      <c r="JAR3" s="0"/>
      <c r="JAS3" s="0"/>
      <c r="JAT3" s="0"/>
      <c r="JAU3" s="0"/>
      <c r="JAV3" s="0"/>
      <c r="JAW3" s="0"/>
      <c r="JAX3" s="0"/>
      <c r="JAY3" s="0"/>
      <c r="JAZ3" s="0"/>
      <c r="JBA3" s="0"/>
      <c r="JBB3" s="0"/>
      <c r="JBC3" s="0"/>
      <c r="JBD3" s="0"/>
      <c r="JBE3" s="0"/>
      <c r="JBF3" s="0"/>
      <c r="JBG3" s="0"/>
      <c r="JBH3" s="0"/>
      <c r="JBI3" s="0"/>
      <c r="JBJ3" s="0"/>
      <c r="JBK3" s="0"/>
      <c r="JBL3" s="0"/>
      <c r="JBM3" s="0"/>
      <c r="JBN3" s="0"/>
      <c r="JBO3" s="0"/>
      <c r="JBP3" s="0"/>
      <c r="JBQ3" s="0"/>
      <c r="JBR3" s="0"/>
      <c r="JBS3" s="0"/>
      <c r="JBT3" s="0"/>
      <c r="JBU3" s="0"/>
      <c r="JBV3" s="0"/>
      <c r="JBW3" s="0"/>
      <c r="JBX3" s="0"/>
      <c r="JBY3" s="0"/>
      <c r="JBZ3" s="0"/>
      <c r="JCA3" s="0"/>
      <c r="JCB3" s="0"/>
      <c r="JCC3" s="0"/>
      <c r="JCD3" s="0"/>
      <c r="JCE3" s="0"/>
      <c r="JCF3" s="0"/>
      <c r="JCG3" s="0"/>
      <c r="JCH3" s="0"/>
      <c r="JCI3" s="0"/>
      <c r="JCJ3" s="0"/>
      <c r="JCK3" s="0"/>
      <c r="JCL3" s="0"/>
      <c r="JCM3" s="0"/>
      <c r="JCN3" s="0"/>
      <c r="JCO3" s="0"/>
      <c r="JCP3" s="0"/>
      <c r="JCQ3" s="0"/>
      <c r="JCR3" s="0"/>
      <c r="JCS3" s="0"/>
      <c r="JCT3" s="0"/>
      <c r="JCU3" s="0"/>
      <c r="JCV3" s="0"/>
      <c r="JCW3" s="0"/>
      <c r="JCX3" s="0"/>
      <c r="JCY3" s="0"/>
      <c r="JCZ3" s="0"/>
      <c r="JDA3" s="0"/>
      <c r="JDB3" s="0"/>
      <c r="JDC3" s="0"/>
      <c r="JDD3" s="0"/>
      <c r="JDE3" s="0"/>
      <c r="JDF3" s="0"/>
      <c r="JDG3" s="0"/>
      <c r="JDH3" s="0"/>
      <c r="JDI3" s="0"/>
      <c r="JDJ3" s="0"/>
      <c r="JDK3" s="0"/>
      <c r="JDL3" s="0"/>
      <c r="JDM3" s="0"/>
      <c r="JDN3" s="0"/>
      <c r="JDO3" s="0"/>
      <c r="JDP3" s="0"/>
      <c r="JDQ3" s="0"/>
      <c r="JDR3" s="0"/>
      <c r="JDS3" s="0"/>
      <c r="JDT3" s="0"/>
      <c r="JDU3" s="0"/>
      <c r="JDV3" s="0"/>
      <c r="JDW3" s="0"/>
      <c r="JDX3" s="0"/>
      <c r="JDY3" s="0"/>
      <c r="JDZ3" s="0"/>
      <c r="JEA3" s="0"/>
      <c r="JEB3" s="0"/>
      <c r="JEC3" s="0"/>
      <c r="JED3" s="0"/>
      <c r="JEE3" s="0"/>
      <c r="JEF3" s="0"/>
      <c r="JEG3" s="0"/>
      <c r="JEH3" s="0"/>
      <c r="JEI3" s="0"/>
      <c r="JEJ3" s="0"/>
      <c r="JEK3" s="0"/>
      <c r="JEL3" s="0"/>
      <c r="JEM3" s="0"/>
      <c r="JEN3" s="0"/>
      <c r="JEO3" s="0"/>
      <c r="JEP3" s="0"/>
      <c r="JEQ3" s="0"/>
      <c r="JER3" s="0"/>
      <c r="JES3" s="0"/>
      <c r="JET3" s="0"/>
      <c r="JEU3" s="0"/>
      <c r="JEV3" s="0"/>
      <c r="JEW3" s="0"/>
      <c r="JEX3" s="0"/>
      <c r="JEY3" s="0"/>
      <c r="JEZ3" s="0"/>
      <c r="JFA3" s="0"/>
      <c r="JFB3" s="0"/>
      <c r="JFC3" s="0"/>
      <c r="JFD3" s="0"/>
      <c r="JFE3" s="0"/>
      <c r="JFF3" s="0"/>
      <c r="JFG3" s="0"/>
      <c r="JFH3" s="0"/>
      <c r="JFI3" s="0"/>
      <c r="JFJ3" s="0"/>
      <c r="JFK3" s="0"/>
      <c r="JFL3" s="0"/>
      <c r="JFM3" s="0"/>
      <c r="JFN3" s="0"/>
      <c r="JFO3" s="0"/>
      <c r="JFP3" s="0"/>
      <c r="JFQ3" s="0"/>
      <c r="JFR3" s="0"/>
      <c r="JFS3" s="0"/>
      <c r="JFT3" s="0"/>
      <c r="JFU3" s="0"/>
      <c r="JFV3" s="0"/>
      <c r="JFW3" s="0"/>
      <c r="JFX3" s="0"/>
      <c r="JFY3" s="0"/>
      <c r="JFZ3" s="0"/>
      <c r="JGA3" s="0"/>
      <c r="JGB3" s="0"/>
      <c r="JGC3" s="0"/>
      <c r="JGD3" s="0"/>
      <c r="JGE3" s="0"/>
      <c r="JGF3" s="0"/>
      <c r="JGG3" s="0"/>
      <c r="JGH3" s="0"/>
      <c r="JGI3" s="0"/>
      <c r="JGJ3" s="0"/>
      <c r="JGK3" s="0"/>
      <c r="JGL3" s="0"/>
      <c r="JGM3" s="0"/>
      <c r="JGN3" s="0"/>
      <c r="JGO3" s="0"/>
      <c r="JGP3" s="0"/>
      <c r="JGQ3" s="0"/>
      <c r="JGR3" s="0"/>
      <c r="JGS3" s="0"/>
      <c r="JGT3" s="0"/>
      <c r="JGU3" s="0"/>
      <c r="JGV3" s="0"/>
      <c r="JGW3" s="0"/>
      <c r="JGX3" s="0"/>
      <c r="JGY3" s="0"/>
      <c r="JGZ3" s="0"/>
      <c r="JHA3" s="0"/>
      <c r="JHB3" s="0"/>
      <c r="JHC3" s="0"/>
      <c r="JHD3" s="0"/>
      <c r="JHE3" s="0"/>
      <c r="JHF3" s="0"/>
      <c r="JHG3" s="0"/>
      <c r="JHH3" s="0"/>
      <c r="JHI3" s="0"/>
      <c r="JHJ3" s="0"/>
      <c r="JHK3" s="0"/>
      <c r="JHL3" s="0"/>
      <c r="JHM3" s="0"/>
      <c r="JHN3" s="0"/>
      <c r="JHO3" s="0"/>
      <c r="JHP3" s="0"/>
      <c r="JHQ3" s="0"/>
      <c r="JHR3" s="0"/>
      <c r="JHS3" s="0"/>
      <c r="JHT3" s="0"/>
      <c r="JHU3" s="0"/>
      <c r="JHV3" s="0"/>
      <c r="JHW3" s="0"/>
      <c r="JHX3" s="0"/>
      <c r="JHY3" s="0"/>
      <c r="JHZ3" s="0"/>
      <c r="JIA3" s="0"/>
      <c r="JIB3" s="0"/>
      <c r="JIC3" s="0"/>
      <c r="JID3" s="0"/>
      <c r="JIE3" s="0"/>
      <c r="JIF3" s="0"/>
      <c r="JIG3" s="0"/>
      <c r="JIH3" s="0"/>
      <c r="JII3" s="0"/>
      <c r="JIJ3" s="0"/>
      <c r="JIK3" s="0"/>
      <c r="JIL3" s="0"/>
      <c r="JIM3" s="0"/>
      <c r="JIN3" s="0"/>
      <c r="JIO3" s="0"/>
      <c r="JIP3" s="0"/>
      <c r="JIQ3" s="0"/>
      <c r="JIR3" s="0"/>
      <c r="JIS3" s="0"/>
      <c r="JIT3" s="0"/>
      <c r="JIU3" s="0"/>
      <c r="JIV3" s="0"/>
      <c r="JIW3" s="0"/>
      <c r="JIX3" s="0"/>
      <c r="JIY3" s="0"/>
      <c r="JIZ3" s="0"/>
      <c r="JJA3" s="0"/>
      <c r="JJB3" s="0"/>
      <c r="JJC3" s="0"/>
      <c r="JJD3" s="0"/>
      <c r="JJE3" s="0"/>
      <c r="JJF3" s="0"/>
      <c r="JJG3" s="0"/>
      <c r="JJH3" s="0"/>
      <c r="JJI3" s="0"/>
      <c r="JJJ3" s="0"/>
      <c r="JJK3" s="0"/>
      <c r="JJL3" s="0"/>
      <c r="JJM3" s="0"/>
      <c r="JJN3" s="0"/>
      <c r="JJO3" s="0"/>
      <c r="JJP3" s="0"/>
      <c r="JJQ3" s="0"/>
      <c r="JJR3" s="0"/>
      <c r="JJS3" s="0"/>
      <c r="JJT3" s="0"/>
      <c r="JJU3" s="0"/>
      <c r="JJV3" s="0"/>
      <c r="JJW3" s="0"/>
      <c r="JJX3" s="0"/>
      <c r="JJY3" s="0"/>
      <c r="JJZ3" s="0"/>
      <c r="JKA3" s="0"/>
      <c r="JKB3" s="0"/>
      <c r="JKC3" s="0"/>
      <c r="JKD3" s="0"/>
      <c r="JKE3" s="0"/>
      <c r="JKF3" s="0"/>
      <c r="JKG3" s="0"/>
      <c r="JKH3" s="0"/>
      <c r="JKI3" s="0"/>
      <c r="JKJ3" s="0"/>
      <c r="JKK3" s="0"/>
      <c r="JKL3" s="0"/>
      <c r="JKM3" s="0"/>
      <c r="JKN3" s="0"/>
      <c r="JKO3" s="0"/>
      <c r="JKP3" s="0"/>
      <c r="JKQ3" s="0"/>
      <c r="JKR3" s="0"/>
      <c r="JKS3" s="0"/>
      <c r="JKT3" s="0"/>
      <c r="JKU3" s="0"/>
      <c r="JKV3" s="0"/>
      <c r="JKW3" s="0"/>
      <c r="JKX3" s="0"/>
      <c r="JKY3" s="0"/>
      <c r="JKZ3" s="0"/>
      <c r="JLA3" s="0"/>
      <c r="JLB3" s="0"/>
      <c r="JLC3" s="0"/>
      <c r="JLD3" s="0"/>
      <c r="JLE3" s="0"/>
      <c r="JLF3" s="0"/>
      <c r="JLG3" s="0"/>
      <c r="JLH3" s="0"/>
      <c r="JLI3" s="0"/>
      <c r="JLJ3" s="0"/>
      <c r="JLK3" s="0"/>
      <c r="JLL3" s="0"/>
      <c r="JLM3" s="0"/>
      <c r="JLN3" s="0"/>
      <c r="JLO3" s="0"/>
      <c r="JLP3" s="0"/>
      <c r="JLQ3" s="0"/>
      <c r="JLR3" s="0"/>
      <c r="JLS3" s="0"/>
      <c r="JLT3" s="0"/>
      <c r="JLU3" s="0"/>
      <c r="JLV3" s="0"/>
      <c r="JLW3" s="0"/>
      <c r="JLX3" s="0"/>
      <c r="JLY3" s="0"/>
      <c r="JLZ3" s="0"/>
      <c r="JMA3" s="0"/>
      <c r="JMB3" s="0"/>
      <c r="JMC3" s="0"/>
      <c r="JMD3" s="0"/>
      <c r="JME3" s="0"/>
      <c r="JMF3" s="0"/>
      <c r="JMG3" s="0"/>
      <c r="JMH3" s="0"/>
      <c r="JMI3" s="0"/>
      <c r="JMJ3" s="0"/>
      <c r="JMK3" s="0"/>
      <c r="JML3" s="0"/>
      <c r="JMM3" s="0"/>
      <c r="JMN3" s="0"/>
      <c r="JMO3" s="0"/>
      <c r="JMP3" s="0"/>
      <c r="JMQ3" s="0"/>
      <c r="JMR3" s="0"/>
      <c r="JMS3" s="0"/>
      <c r="JMT3" s="0"/>
      <c r="JMU3" s="0"/>
      <c r="JMV3" s="0"/>
      <c r="JMW3" s="0"/>
      <c r="JMX3" s="0"/>
      <c r="JMY3" s="0"/>
      <c r="JMZ3" s="0"/>
      <c r="JNA3" s="0"/>
      <c r="JNB3" s="0"/>
      <c r="JNC3" s="0"/>
      <c r="JND3" s="0"/>
      <c r="JNE3" s="0"/>
      <c r="JNF3" s="0"/>
      <c r="JNG3" s="0"/>
      <c r="JNH3" s="0"/>
      <c r="JNI3" s="0"/>
      <c r="JNJ3" s="0"/>
      <c r="JNK3" s="0"/>
      <c r="JNL3" s="0"/>
      <c r="JNM3" s="0"/>
      <c r="JNN3" s="0"/>
      <c r="JNO3" s="0"/>
      <c r="JNP3" s="0"/>
      <c r="JNQ3" s="0"/>
      <c r="JNR3" s="0"/>
      <c r="JNS3" s="0"/>
      <c r="JNT3" s="0"/>
      <c r="JNU3" s="0"/>
      <c r="JNV3" s="0"/>
      <c r="JNW3" s="0"/>
      <c r="JNX3" s="0"/>
      <c r="JNY3" s="0"/>
      <c r="JNZ3" s="0"/>
      <c r="JOA3" s="0"/>
      <c r="JOB3" s="0"/>
      <c r="JOC3" s="0"/>
      <c r="JOD3" s="0"/>
      <c r="JOE3" s="0"/>
      <c r="JOF3" s="0"/>
      <c r="JOG3" s="0"/>
      <c r="JOH3" s="0"/>
      <c r="JOI3" s="0"/>
      <c r="JOJ3" s="0"/>
      <c r="JOK3" s="0"/>
      <c r="JOL3" s="0"/>
      <c r="JOM3" s="0"/>
      <c r="JON3" s="0"/>
      <c r="JOO3" s="0"/>
      <c r="JOP3" s="0"/>
      <c r="JOQ3" s="0"/>
      <c r="JOR3" s="0"/>
      <c r="JOS3" s="0"/>
      <c r="JOT3" s="0"/>
      <c r="JOU3" s="0"/>
      <c r="JOV3" s="0"/>
      <c r="JOW3" s="0"/>
      <c r="JOX3" s="0"/>
      <c r="JOY3" s="0"/>
      <c r="JOZ3" s="0"/>
      <c r="JPA3" s="0"/>
      <c r="JPB3" s="0"/>
      <c r="JPC3" s="0"/>
      <c r="JPD3" s="0"/>
      <c r="JPE3" s="0"/>
      <c r="JPF3" s="0"/>
      <c r="JPG3" s="0"/>
      <c r="JPH3" s="0"/>
      <c r="JPI3" s="0"/>
      <c r="JPJ3" s="0"/>
      <c r="JPK3" s="0"/>
      <c r="JPL3" s="0"/>
      <c r="JPM3" s="0"/>
      <c r="JPN3" s="0"/>
      <c r="JPO3" s="0"/>
      <c r="JPP3" s="0"/>
      <c r="JPQ3" s="0"/>
      <c r="JPR3" s="0"/>
      <c r="JPS3" s="0"/>
      <c r="JPT3" s="0"/>
      <c r="JPU3" s="0"/>
      <c r="JPV3" s="0"/>
      <c r="JPW3" s="0"/>
      <c r="JPX3" s="0"/>
      <c r="JPY3" s="0"/>
      <c r="JPZ3" s="0"/>
      <c r="JQA3" s="0"/>
      <c r="JQB3" s="0"/>
      <c r="JQC3" s="0"/>
      <c r="JQD3" s="0"/>
      <c r="JQE3" s="0"/>
      <c r="JQF3" s="0"/>
      <c r="JQG3" s="0"/>
      <c r="JQH3" s="0"/>
      <c r="JQI3" s="0"/>
      <c r="JQJ3" s="0"/>
      <c r="JQK3" s="0"/>
      <c r="JQL3" s="0"/>
      <c r="JQM3" s="0"/>
      <c r="JQN3" s="0"/>
      <c r="JQO3" s="0"/>
      <c r="JQP3" s="0"/>
      <c r="JQQ3" s="0"/>
      <c r="JQR3" s="0"/>
      <c r="JQS3" s="0"/>
      <c r="JQT3" s="0"/>
      <c r="JQU3" s="0"/>
      <c r="JQV3" s="0"/>
      <c r="JQW3" s="0"/>
      <c r="JQX3" s="0"/>
      <c r="JQY3" s="0"/>
      <c r="JQZ3" s="0"/>
      <c r="JRA3" s="0"/>
      <c r="JRB3" s="0"/>
      <c r="JRC3" s="0"/>
      <c r="JRD3" s="0"/>
      <c r="JRE3" s="0"/>
      <c r="JRF3" s="0"/>
      <c r="JRG3" s="0"/>
      <c r="JRH3" s="0"/>
      <c r="JRI3" s="0"/>
      <c r="JRJ3" s="0"/>
      <c r="JRK3" s="0"/>
      <c r="JRL3" s="0"/>
      <c r="JRM3" s="0"/>
      <c r="JRN3" s="0"/>
      <c r="JRO3" s="0"/>
      <c r="JRP3" s="0"/>
      <c r="JRQ3" s="0"/>
      <c r="JRR3" s="0"/>
      <c r="JRS3" s="0"/>
      <c r="JRT3" s="0"/>
      <c r="JRU3" s="0"/>
      <c r="JRV3" s="0"/>
      <c r="JRW3" s="0"/>
      <c r="JRX3" s="0"/>
      <c r="JRY3" s="0"/>
      <c r="JRZ3" s="0"/>
      <c r="JSA3" s="0"/>
      <c r="JSB3" s="0"/>
      <c r="JSC3" s="0"/>
      <c r="JSD3" s="0"/>
      <c r="JSE3" s="0"/>
      <c r="JSF3" s="0"/>
      <c r="JSG3" s="0"/>
      <c r="JSH3" s="0"/>
      <c r="JSI3" s="0"/>
      <c r="JSJ3" s="0"/>
      <c r="JSK3" s="0"/>
      <c r="JSL3" s="0"/>
      <c r="JSM3" s="0"/>
      <c r="JSN3" s="0"/>
      <c r="JSO3" s="0"/>
      <c r="JSP3" s="0"/>
      <c r="JSQ3" s="0"/>
      <c r="JSR3" s="0"/>
      <c r="JSS3" s="0"/>
      <c r="JST3" s="0"/>
      <c r="JSU3" s="0"/>
      <c r="JSV3" s="0"/>
      <c r="JSW3" s="0"/>
      <c r="JSX3" s="0"/>
      <c r="JSY3" s="0"/>
      <c r="JSZ3" s="0"/>
      <c r="JTA3" s="0"/>
      <c r="JTB3" s="0"/>
      <c r="JTC3" s="0"/>
      <c r="JTD3" s="0"/>
      <c r="JTE3" s="0"/>
      <c r="JTF3" s="0"/>
      <c r="JTG3" s="0"/>
      <c r="JTH3" s="0"/>
      <c r="JTI3" s="0"/>
      <c r="JTJ3" s="0"/>
      <c r="JTK3" s="0"/>
      <c r="JTL3" s="0"/>
      <c r="JTM3" s="0"/>
      <c r="JTN3" s="0"/>
      <c r="JTO3" s="0"/>
      <c r="JTP3" s="0"/>
      <c r="JTQ3" s="0"/>
      <c r="JTR3" s="0"/>
      <c r="JTS3" s="0"/>
      <c r="JTT3" s="0"/>
      <c r="JTU3" s="0"/>
      <c r="JTV3" s="0"/>
      <c r="JTW3" s="0"/>
      <c r="JTX3" s="0"/>
      <c r="JTY3" s="0"/>
      <c r="JTZ3" s="0"/>
      <c r="JUA3" s="0"/>
      <c r="JUB3" s="0"/>
      <c r="JUC3" s="0"/>
      <c r="JUD3" s="0"/>
      <c r="JUE3" s="0"/>
      <c r="JUF3" s="0"/>
      <c r="JUG3" s="0"/>
      <c r="JUH3" s="0"/>
      <c r="JUI3" s="0"/>
      <c r="JUJ3" s="0"/>
      <c r="JUK3" s="0"/>
      <c r="JUL3" s="0"/>
      <c r="JUM3" s="0"/>
      <c r="JUN3" s="0"/>
      <c r="JUO3" s="0"/>
      <c r="JUP3" s="0"/>
      <c r="JUQ3" s="0"/>
      <c r="JUR3" s="0"/>
      <c r="JUS3" s="0"/>
      <c r="JUT3" s="0"/>
      <c r="JUU3" s="0"/>
      <c r="JUV3" s="0"/>
      <c r="JUW3" s="0"/>
      <c r="JUX3" s="0"/>
      <c r="JUY3" s="0"/>
      <c r="JUZ3" s="0"/>
      <c r="JVA3" s="0"/>
      <c r="JVB3" s="0"/>
      <c r="JVC3" s="0"/>
      <c r="JVD3" s="0"/>
      <c r="JVE3" s="0"/>
      <c r="JVF3" s="0"/>
      <c r="JVG3" s="0"/>
      <c r="JVH3" s="0"/>
      <c r="JVI3" s="0"/>
      <c r="JVJ3" s="0"/>
      <c r="JVK3" s="0"/>
      <c r="JVL3" s="0"/>
      <c r="JVM3" s="0"/>
      <c r="JVN3" s="0"/>
      <c r="JVO3" s="0"/>
      <c r="JVP3" s="0"/>
      <c r="JVQ3" s="0"/>
      <c r="JVR3" s="0"/>
      <c r="JVS3" s="0"/>
      <c r="JVT3" s="0"/>
      <c r="JVU3" s="0"/>
      <c r="JVV3" s="0"/>
      <c r="JVW3" s="0"/>
      <c r="JVX3" s="0"/>
      <c r="JVY3" s="0"/>
      <c r="JVZ3" s="0"/>
      <c r="JWA3" s="0"/>
      <c r="JWB3" s="0"/>
      <c r="JWC3" s="0"/>
      <c r="JWD3" s="0"/>
      <c r="JWE3" s="0"/>
      <c r="JWF3" s="0"/>
      <c r="JWG3" s="0"/>
      <c r="JWH3" s="0"/>
      <c r="JWI3" s="0"/>
      <c r="JWJ3" s="0"/>
      <c r="JWK3" s="0"/>
      <c r="JWL3" s="0"/>
      <c r="JWM3" s="0"/>
      <c r="JWN3" s="0"/>
      <c r="JWO3" s="0"/>
      <c r="JWP3" s="0"/>
      <c r="JWQ3" s="0"/>
      <c r="JWR3" s="0"/>
      <c r="JWS3" s="0"/>
      <c r="JWT3" s="0"/>
      <c r="JWU3" s="0"/>
      <c r="JWV3" s="0"/>
      <c r="JWW3" s="0"/>
      <c r="JWX3" s="0"/>
      <c r="JWY3" s="0"/>
      <c r="JWZ3" s="0"/>
      <c r="JXA3" s="0"/>
      <c r="JXB3" s="0"/>
      <c r="JXC3" s="0"/>
      <c r="JXD3" s="0"/>
      <c r="JXE3" s="0"/>
      <c r="JXF3" s="0"/>
      <c r="JXG3" s="0"/>
      <c r="JXH3" s="0"/>
      <c r="JXI3" s="0"/>
      <c r="JXJ3" s="0"/>
      <c r="JXK3" s="0"/>
      <c r="JXL3" s="0"/>
      <c r="JXM3" s="0"/>
      <c r="JXN3" s="0"/>
      <c r="JXO3" s="0"/>
      <c r="JXP3" s="0"/>
      <c r="JXQ3" s="0"/>
      <c r="JXR3" s="0"/>
      <c r="JXS3" s="0"/>
      <c r="JXT3" s="0"/>
      <c r="JXU3" s="0"/>
      <c r="JXV3" s="0"/>
      <c r="JXW3" s="0"/>
      <c r="JXX3" s="0"/>
      <c r="JXY3" s="0"/>
      <c r="JXZ3" s="0"/>
      <c r="JYA3" s="0"/>
      <c r="JYB3" s="0"/>
      <c r="JYC3" s="0"/>
      <c r="JYD3" s="0"/>
      <c r="JYE3" s="0"/>
      <c r="JYF3" s="0"/>
      <c r="JYG3" s="0"/>
      <c r="JYH3" s="0"/>
      <c r="JYI3" s="0"/>
      <c r="JYJ3" s="0"/>
      <c r="JYK3" s="0"/>
      <c r="JYL3" s="0"/>
      <c r="JYM3" s="0"/>
      <c r="JYN3" s="0"/>
      <c r="JYO3" s="0"/>
      <c r="JYP3" s="0"/>
      <c r="JYQ3" s="0"/>
      <c r="JYR3" s="0"/>
      <c r="JYS3" s="0"/>
      <c r="JYT3" s="0"/>
      <c r="JYU3" s="0"/>
      <c r="JYV3" s="0"/>
      <c r="JYW3" s="0"/>
      <c r="JYX3" s="0"/>
      <c r="JYY3" s="0"/>
      <c r="JYZ3" s="0"/>
      <c r="JZA3" s="0"/>
      <c r="JZB3" s="0"/>
      <c r="JZC3" s="0"/>
      <c r="JZD3" s="0"/>
      <c r="JZE3" s="0"/>
      <c r="JZF3" s="0"/>
      <c r="JZG3" s="0"/>
      <c r="JZH3" s="0"/>
      <c r="JZI3" s="0"/>
      <c r="JZJ3" s="0"/>
      <c r="JZK3" s="0"/>
      <c r="JZL3" s="0"/>
      <c r="JZM3" s="0"/>
      <c r="JZN3" s="0"/>
      <c r="JZO3" s="0"/>
      <c r="JZP3" s="0"/>
      <c r="JZQ3" s="0"/>
      <c r="JZR3" s="0"/>
      <c r="JZS3" s="0"/>
      <c r="JZT3" s="0"/>
      <c r="JZU3" s="0"/>
      <c r="JZV3" s="0"/>
      <c r="JZW3" s="0"/>
      <c r="JZX3" s="0"/>
      <c r="JZY3" s="0"/>
      <c r="JZZ3" s="0"/>
      <c r="KAA3" s="0"/>
      <c r="KAB3" s="0"/>
      <c r="KAC3" s="0"/>
      <c r="KAD3" s="0"/>
      <c r="KAE3" s="0"/>
      <c r="KAF3" s="0"/>
      <c r="KAG3" s="0"/>
      <c r="KAH3" s="0"/>
      <c r="KAI3" s="0"/>
      <c r="KAJ3" s="0"/>
      <c r="KAK3" s="0"/>
      <c r="KAL3" s="0"/>
      <c r="KAM3" s="0"/>
      <c r="KAN3" s="0"/>
      <c r="KAO3" s="0"/>
      <c r="KAP3" s="0"/>
      <c r="KAQ3" s="0"/>
      <c r="KAR3" s="0"/>
      <c r="KAS3" s="0"/>
      <c r="KAT3" s="0"/>
      <c r="KAU3" s="0"/>
      <c r="KAV3" s="0"/>
      <c r="KAW3" s="0"/>
      <c r="KAX3" s="0"/>
      <c r="KAY3" s="0"/>
      <c r="KAZ3" s="0"/>
      <c r="KBA3" s="0"/>
      <c r="KBB3" s="0"/>
      <c r="KBC3" s="0"/>
      <c r="KBD3" s="0"/>
      <c r="KBE3" s="0"/>
      <c r="KBF3" s="0"/>
      <c r="KBG3" s="0"/>
      <c r="KBH3" s="0"/>
      <c r="KBI3" s="0"/>
      <c r="KBJ3" s="0"/>
      <c r="KBK3" s="0"/>
      <c r="KBL3" s="0"/>
      <c r="KBM3" s="0"/>
      <c r="KBN3" s="0"/>
      <c r="KBO3" s="0"/>
      <c r="KBP3" s="0"/>
      <c r="KBQ3" s="0"/>
      <c r="KBR3" s="0"/>
      <c r="KBS3" s="0"/>
      <c r="KBT3" s="0"/>
      <c r="KBU3" s="0"/>
      <c r="KBV3" s="0"/>
      <c r="KBW3" s="0"/>
      <c r="KBX3" s="0"/>
      <c r="KBY3" s="0"/>
      <c r="KBZ3" s="0"/>
      <c r="KCA3" s="0"/>
      <c r="KCB3" s="0"/>
      <c r="KCC3" s="0"/>
      <c r="KCD3" s="0"/>
      <c r="KCE3" s="0"/>
      <c r="KCF3" s="0"/>
      <c r="KCG3" s="0"/>
      <c r="KCH3" s="0"/>
      <c r="KCI3" s="0"/>
      <c r="KCJ3" s="0"/>
      <c r="KCK3" s="0"/>
      <c r="KCL3" s="0"/>
      <c r="KCM3" s="0"/>
      <c r="KCN3" s="0"/>
      <c r="KCO3" s="0"/>
      <c r="KCP3" s="0"/>
      <c r="KCQ3" s="0"/>
      <c r="KCR3" s="0"/>
      <c r="KCS3" s="0"/>
      <c r="KCT3" s="0"/>
      <c r="KCU3" s="0"/>
      <c r="KCV3" s="0"/>
      <c r="KCW3" s="0"/>
      <c r="KCX3" s="0"/>
      <c r="KCY3" s="0"/>
      <c r="KCZ3" s="0"/>
      <c r="KDA3" s="0"/>
      <c r="KDB3" s="0"/>
      <c r="KDC3" s="0"/>
      <c r="KDD3" s="0"/>
      <c r="KDE3" s="0"/>
      <c r="KDF3" s="0"/>
      <c r="KDG3" s="0"/>
      <c r="KDH3" s="0"/>
      <c r="KDI3" s="0"/>
      <c r="KDJ3" s="0"/>
      <c r="KDK3" s="0"/>
      <c r="KDL3" s="0"/>
      <c r="KDM3" s="0"/>
      <c r="KDN3" s="0"/>
      <c r="KDO3" s="0"/>
      <c r="KDP3" s="0"/>
      <c r="KDQ3" s="0"/>
      <c r="KDR3" s="0"/>
      <c r="KDS3" s="0"/>
      <c r="KDT3" s="0"/>
      <c r="KDU3" s="0"/>
      <c r="KDV3" s="0"/>
      <c r="KDW3" s="0"/>
      <c r="KDX3" s="0"/>
      <c r="KDY3" s="0"/>
      <c r="KDZ3" s="0"/>
      <c r="KEA3" s="0"/>
      <c r="KEB3" s="0"/>
      <c r="KEC3" s="0"/>
      <c r="KED3" s="0"/>
      <c r="KEE3" s="0"/>
      <c r="KEF3" s="0"/>
      <c r="KEG3" s="0"/>
      <c r="KEH3" s="0"/>
      <c r="KEI3" s="0"/>
      <c r="KEJ3" s="0"/>
      <c r="KEK3" s="0"/>
      <c r="KEL3" s="0"/>
      <c r="KEM3" s="0"/>
      <c r="KEN3" s="0"/>
      <c r="KEO3" s="0"/>
      <c r="KEP3" s="0"/>
      <c r="KEQ3" s="0"/>
      <c r="KER3" s="0"/>
      <c r="KES3" s="0"/>
      <c r="KET3" s="0"/>
      <c r="KEU3" s="0"/>
      <c r="KEV3" s="0"/>
      <c r="KEW3" s="0"/>
      <c r="KEX3" s="0"/>
      <c r="KEY3" s="0"/>
      <c r="KEZ3" s="0"/>
      <c r="KFA3" s="0"/>
      <c r="KFB3" s="0"/>
      <c r="KFC3" s="0"/>
      <c r="KFD3" s="0"/>
      <c r="KFE3" s="0"/>
      <c r="KFF3" s="0"/>
      <c r="KFG3" s="0"/>
      <c r="KFH3" s="0"/>
      <c r="KFI3" s="0"/>
      <c r="KFJ3" s="0"/>
      <c r="KFK3" s="0"/>
      <c r="KFL3" s="0"/>
      <c r="KFM3" s="0"/>
      <c r="KFN3" s="0"/>
      <c r="KFO3" s="0"/>
      <c r="KFP3" s="0"/>
      <c r="KFQ3" s="0"/>
      <c r="KFR3" s="0"/>
      <c r="KFS3" s="0"/>
      <c r="KFT3" s="0"/>
      <c r="KFU3" s="0"/>
      <c r="KFV3" s="0"/>
      <c r="KFW3" s="0"/>
      <c r="KFX3" s="0"/>
      <c r="KFY3" s="0"/>
      <c r="KFZ3" s="0"/>
      <c r="KGA3" s="0"/>
      <c r="KGB3" s="0"/>
      <c r="KGC3" s="0"/>
      <c r="KGD3" s="0"/>
      <c r="KGE3" s="0"/>
      <c r="KGF3" s="0"/>
      <c r="KGG3" s="0"/>
      <c r="KGH3" s="0"/>
      <c r="KGI3" s="0"/>
      <c r="KGJ3" s="0"/>
      <c r="KGK3" s="0"/>
      <c r="KGL3" s="0"/>
      <c r="KGM3" s="0"/>
      <c r="KGN3" s="0"/>
      <c r="KGO3" s="0"/>
      <c r="KGP3" s="0"/>
      <c r="KGQ3" s="0"/>
      <c r="KGR3" s="0"/>
      <c r="KGS3" s="0"/>
      <c r="KGT3" s="0"/>
      <c r="KGU3" s="0"/>
      <c r="KGV3" s="0"/>
      <c r="KGW3" s="0"/>
      <c r="KGX3" s="0"/>
      <c r="KGY3" s="0"/>
      <c r="KGZ3" s="0"/>
      <c r="KHA3" s="0"/>
      <c r="KHB3" s="0"/>
      <c r="KHC3" s="0"/>
      <c r="KHD3" s="0"/>
      <c r="KHE3" s="0"/>
      <c r="KHF3" s="0"/>
      <c r="KHG3" s="0"/>
      <c r="KHH3" s="0"/>
      <c r="KHI3" s="0"/>
      <c r="KHJ3" s="0"/>
      <c r="KHK3" s="0"/>
      <c r="KHL3" s="0"/>
      <c r="KHM3" s="0"/>
      <c r="KHN3" s="0"/>
      <c r="KHO3" s="0"/>
      <c r="KHP3" s="0"/>
      <c r="KHQ3" s="0"/>
      <c r="KHR3" s="0"/>
      <c r="KHS3" s="0"/>
      <c r="KHT3" s="0"/>
      <c r="KHU3" s="0"/>
      <c r="KHV3" s="0"/>
      <c r="KHW3" s="0"/>
      <c r="KHX3" s="0"/>
      <c r="KHY3" s="0"/>
      <c r="KHZ3" s="0"/>
      <c r="KIA3" s="0"/>
      <c r="KIB3" s="0"/>
      <c r="KIC3" s="0"/>
      <c r="KID3" s="0"/>
      <c r="KIE3" s="0"/>
      <c r="KIF3" s="0"/>
      <c r="KIG3" s="0"/>
      <c r="KIH3" s="0"/>
      <c r="KII3" s="0"/>
      <c r="KIJ3" s="0"/>
      <c r="KIK3" s="0"/>
      <c r="KIL3" s="0"/>
      <c r="KIM3" s="0"/>
      <c r="KIN3" s="0"/>
      <c r="KIO3" s="0"/>
      <c r="KIP3" s="0"/>
      <c r="KIQ3" s="0"/>
      <c r="KIR3" s="0"/>
      <c r="KIS3" s="0"/>
      <c r="KIT3" s="0"/>
      <c r="KIU3" s="0"/>
      <c r="KIV3" s="0"/>
      <c r="KIW3" s="0"/>
      <c r="KIX3" s="0"/>
      <c r="KIY3" s="0"/>
      <c r="KIZ3" s="0"/>
      <c r="KJA3" s="0"/>
      <c r="KJB3" s="0"/>
      <c r="KJC3" s="0"/>
      <c r="KJD3" s="0"/>
      <c r="KJE3" s="0"/>
      <c r="KJF3" s="0"/>
      <c r="KJG3" s="0"/>
      <c r="KJH3" s="0"/>
      <c r="KJI3" s="0"/>
      <c r="KJJ3" s="0"/>
      <c r="KJK3" s="0"/>
      <c r="KJL3" s="0"/>
      <c r="KJM3" s="0"/>
      <c r="KJN3" s="0"/>
      <c r="KJO3" s="0"/>
      <c r="KJP3" s="0"/>
      <c r="KJQ3" s="0"/>
      <c r="KJR3" s="0"/>
      <c r="KJS3" s="0"/>
      <c r="KJT3" s="0"/>
      <c r="KJU3" s="0"/>
      <c r="KJV3" s="0"/>
      <c r="KJW3" s="0"/>
      <c r="KJX3" s="0"/>
      <c r="KJY3" s="0"/>
      <c r="KJZ3" s="0"/>
      <c r="KKA3" s="0"/>
      <c r="KKB3" s="0"/>
      <c r="KKC3" s="0"/>
      <c r="KKD3" s="0"/>
      <c r="KKE3" s="0"/>
      <c r="KKF3" s="0"/>
      <c r="KKG3" s="0"/>
      <c r="KKH3" s="0"/>
      <c r="KKI3" s="0"/>
      <c r="KKJ3" s="0"/>
      <c r="KKK3" s="0"/>
      <c r="KKL3" s="0"/>
      <c r="KKM3" s="0"/>
      <c r="KKN3" s="0"/>
      <c r="KKO3" s="0"/>
      <c r="KKP3" s="0"/>
      <c r="KKQ3" s="0"/>
      <c r="KKR3" s="0"/>
      <c r="KKS3" s="0"/>
      <c r="KKT3" s="0"/>
      <c r="KKU3" s="0"/>
      <c r="KKV3" s="0"/>
      <c r="KKW3" s="0"/>
      <c r="KKX3" s="0"/>
      <c r="KKY3" s="0"/>
      <c r="KKZ3" s="0"/>
      <c r="KLA3" s="0"/>
      <c r="KLB3" s="0"/>
      <c r="KLC3" s="0"/>
      <c r="KLD3" s="0"/>
      <c r="KLE3" s="0"/>
      <c r="KLF3" s="0"/>
      <c r="KLG3" s="0"/>
      <c r="KLH3" s="0"/>
      <c r="KLI3" s="0"/>
      <c r="KLJ3" s="0"/>
      <c r="KLK3" s="0"/>
      <c r="KLL3" s="0"/>
      <c r="KLM3" s="0"/>
      <c r="KLN3" s="0"/>
      <c r="KLO3" s="0"/>
      <c r="KLP3" s="0"/>
      <c r="KLQ3" s="0"/>
      <c r="KLR3" s="0"/>
      <c r="KLS3" s="0"/>
      <c r="KLT3" s="0"/>
      <c r="KLU3" s="0"/>
      <c r="KLV3" s="0"/>
      <c r="KLW3" s="0"/>
      <c r="KLX3" s="0"/>
      <c r="KLY3" s="0"/>
      <c r="KLZ3" s="0"/>
      <c r="KMA3" s="0"/>
      <c r="KMB3" s="0"/>
      <c r="KMC3" s="0"/>
      <c r="KMD3" s="0"/>
      <c r="KME3" s="0"/>
      <c r="KMF3" s="0"/>
      <c r="KMG3" s="0"/>
      <c r="KMH3" s="0"/>
      <c r="KMI3" s="0"/>
      <c r="KMJ3" s="0"/>
      <c r="KMK3" s="0"/>
      <c r="KML3" s="0"/>
      <c r="KMM3" s="0"/>
      <c r="KMN3" s="0"/>
      <c r="KMO3" s="0"/>
      <c r="KMP3" s="0"/>
      <c r="KMQ3" s="0"/>
      <c r="KMR3" s="0"/>
      <c r="KMS3" s="0"/>
      <c r="KMT3" s="0"/>
      <c r="KMU3" s="0"/>
      <c r="KMV3" s="0"/>
      <c r="KMW3" s="0"/>
      <c r="KMX3" s="0"/>
      <c r="KMY3" s="0"/>
      <c r="KMZ3" s="0"/>
      <c r="KNA3" s="0"/>
      <c r="KNB3" s="0"/>
      <c r="KNC3" s="0"/>
      <c r="KND3" s="0"/>
      <c r="KNE3" s="0"/>
      <c r="KNF3" s="0"/>
      <c r="KNG3" s="0"/>
      <c r="KNH3" s="0"/>
      <c r="KNI3" s="0"/>
      <c r="KNJ3" s="0"/>
      <c r="KNK3" s="0"/>
      <c r="KNL3" s="0"/>
      <c r="KNM3" s="0"/>
      <c r="KNN3" s="0"/>
      <c r="KNO3" s="0"/>
      <c r="KNP3" s="0"/>
      <c r="KNQ3" s="0"/>
      <c r="KNR3" s="0"/>
      <c r="KNS3" s="0"/>
      <c r="KNT3" s="0"/>
      <c r="KNU3" s="0"/>
      <c r="KNV3" s="0"/>
      <c r="KNW3" s="0"/>
      <c r="KNX3" s="0"/>
      <c r="KNY3" s="0"/>
      <c r="KNZ3" s="0"/>
      <c r="KOA3" s="0"/>
      <c r="KOB3" s="0"/>
      <c r="KOC3" s="0"/>
      <c r="KOD3" s="0"/>
      <c r="KOE3" s="0"/>
      <c r="KOF3" s="0"/>
      <c r="KOG3" s="0"/>
      <c r="KOH3" s="0"/>
      <c r="KOI3" s="0"/>
      <c r="KOJ3" s="0"/>
      <c r="KOK3" s="0"/>
      <c r="KOL3" s="0"/>
      <c r="KOM3" s="0"/>
      <c r="KON3" s="0"/>
      <c r="KOO3" s="0"/>
      <c r="KOP3" s="0"/>
      <c r="KOQ3" s="0"/>
      <c r="KOR3" s="0"/>
      <c r="KOS3" s="0"/>
      <c r="KOT3" s="0"/>
      <c r="KOU3" s="0"/>
      <c r="KOV3" s="0"/>
      <c r="KOW3" s="0"/>
      <c r="KOX3" s="0"/>
      <c r="KOY3" s="0"/>
      <c r="KOZ3" s="0"/>
      <c r="KPA3" s="0"/>
      <c r="KPB3" s="0"/>
      <c r="KPC3" s="0"/>
      <c r="KPD3" s="0"/>
      <c r="KPE3" s="0"/>
      <c r="KPF3" s="0"/>
      <c r="KPG3" s="0"/>
      <c r="KPH3" s="0"/>
      <c r="KPI3" s="0"/>
      <c r="KPJ3" s="0"/>
      <c r="KPK3" s="0"/>
      <c r="KPL3" s="0"/>
      <c r="KPM3" s="0"/>
      <c r="KPN3" s="0"/>
      <c r="KPO3" s="0"/>
      <c r="KPP3" s="0"/>
      <c r="KPQ3" s="0"/>
      <c r="KPR3" s="0"/>
      <c r="KPS3" s="0"/>
      <c r="KPT3" s="0"/>
      <c r="KPU3" s="0"/>
      <c r="KPV3" s="0"/>
      <c r="KPW3" s="0"/>
      <c r="KPX3" s="0"/>
      <c r="KPY3" s="0"/>
      <c r="KPZ3" s="0"/>
      <c r="KQA3" s="0"/>
      <c r="KQB3" s="0"/>
      <c r="KQC3" s="0"/>
      <c r="KQD3" s="0"/>
      <c r="KQE3" s="0"/>
      <c r="KQF3" s="0"/>
      <c r="KQG3" s="0"/>
      <c r="KQH3" s="0"/>
      <c r="KQI3" s="0"/>
      <c r="KQJ3" s="0"/>
      <c r="KQK3" s="0"/>
      <c r="KQL3" s="0"/>
      <c r="KQM3" s="0"/>
      <c r="KQN3" s="0"/>
      <c r="KQO3" s="0"/>
      <c r="KQP3" s="0"/>
      <c r="KQQ3" s="0"/>
      <c r="KQR3" s="0"/>
      <c r="KQS3" s="0"/>
      <c r="KQT3" s="0"/>
      <c r="KQU3" s="0"/>
      <c r="KQV3" s="0"/>
      <c r="KQW3" s="0"/>
      <c r="KQX3" s="0"/>
      <c r="KQY3" s="0"/>
      <c r="KQZ3" s="0"/>
      <c r="KRA3" s="0"/>
      <c r="KRB3" s="0"/>
      <c r="KRC3" s="0"/>
      <c r="KRD3" s="0"/>
      <c r="KRE3" s="0"/>
      <c r="KRF3" s="0"/>
      <c r="KRG3" s="0"/>
      <c r="KRH3" s="0"/>
      <c r="KRI3" s="0"/>
      <c r="KRJ3" s="0"/>
      <c r="KRK3" s="0"/>
      <c r="KRL3" s="0"/>
      <c r="KRM3" s="0"/>
      <c r="KRN3" s="0"/>
      <c r="KRO3" s="0"/>
      <c r="KRP3" s="0"/>
      <c r="KRQ3" s="0"/>
      <c r="KRR3" s="0"/>
      <c r="KRS3" s="0"/>
      <c r="KRT3" s="0"/>
      <c r="KRU3" s="0"/>
      <c r="KRV3" s="0"/>
      <c r="KRW3" s="0"/>
      <c r="KRX3" s="0"/>
      <c r="KRY3" s="0"/>
      <c r="KRZ3" s="0"/>
      <c r="KSA3" s="0"/>
      <c r="KSB3" s="0"/>
      <c r="KSC3" s="0"/>
      <c r="KSD3" s="0"/>
      <c r="KSE3" s="0"/>
      <c r="KSF3" s="0"/>
      <c r="KSG3" s="0"/>
      <c r="KSH3" s="0"/>
      <c r="KSI3" s="0"/>
      <c r="KSJ3" s="0"/>
      <c r="KSK3" s="0"/>
      <c r="KSL3" s="0"/>
      <c r="KSM3" s="0"/>
      <c r="KSN3" s="0"/>
      <c r="KSO3" s="0"/>
      <c r="KSP3" s="0"/>
      <c r="KSQ3" s="0"/>
      <c r="KSR3" s="0"/>
      <c r="KSS3" s="0"/>
      <c r="KST3" s="0"/>
      <c r="KSU3" s="0"/>
      <c r="KSV3" s="0"/>
      <c r="KSW3" s="0"/>
      <c r="KSX3" s="0"/>
      <c r="KSY3" s="0"/>
      <c r="KSZ3" s="0"/>
      <c r="KTA3" s="0"/>
      <c r="KTB3" s="0"/>
      <c r="KTC3" s="0"/>
      <c r="KTD3" s="0"/>
      <c r="KTE3" s="0"/>
      <c r="KTF3" s="0"/>
      <c r="KTG3" s="0"/>
      <c r="KTH3" s="0"/>
      <c r="KTI3" s="0"/>
      <c r="KTJ3" s="0"/>
      <c r="KTK3" s="0"/>
      <c r="KTL3" s="0"/>
      <c r="KTM3" s="0"/>
      <c r="KTN3" s="0"/>
      <c r="KTO3" s="0"/>
      <c r="KTP3" s="0"/>
      <c r="KTQ3" s="0"/>
      <c r="KTR3" s="0"/>
      <c r="KTS3" s="0"/>
      <c r="KTT3" s="0"/>
      <c r="KTU3" s="0"/>
      <c r="KTV3" s="0"/>
      <c r="KTW3" s="0"/>
      <c r="KTX3" s="0"/>
      <c r="KTY3" s="0"/>
      <c r="KTZ3" s="0"/>
      <c r="KUA3" s="0"/>
      <c r="KUB3" s="0"/>
      <c r="KUC3" s="0"/>
      <c r="KUD3" s="0"/>
      <c r="KUE3" s="0"/>
      <c r="KUF3" s="0"/>
      <c r="KUG3" s="0"/>
      <c r="KUH3" s="0"/>
      <c r="KUI3" s="0"/>
      <c r="KUJ3" s="0"/>
      <c r="KUK3" s="0"/>
      <c r="KUL3" s="0"/>
      <c r="KUM3" s="0"/>
      <c r="KUN3" s="0"/>
      <c r="KUO3" s="0"/>
      <c r="KUP3" s="0"/>
      <c r="KUQ3" s="0"/>
      <c r="KUR3" s="0"/>
      <c r="KUS3" s="0"/>
      <c r="KUT3" s="0"/>
      <c r="KUU3" s="0"/>
      <c r="KUV3" s="0"/>
      <c r="KUW3" s="0"/>
      <c r="KUX3" s="0"/>
      <c r="KUY3" s="0"/>
      <c r="KUZ3" s="0"/>
      <c r="KVA3" s="0"/>
      <c r="KVB3" s="0"/>
      <c r="KVC3" s="0"/>
      <c r="KVD3" s="0"/>
      <c r="KVE3" s="0"/>
      <c r="KVF3" s="0"/>
      <c r="KVG3" s="0"/>
      <c r="KVH3" s="0"/>
      <c r="KVI3" s="0"/>
      <c r="KVJ3" s="0"/>
      <c r="KVK3" s="0"/>
      <c r="KVL3" s="0"/>
      <c r="KVM3" s="0"/>
      <c r="KVN3" s="0"/>
      <c r="KVO3" s="0"/>
      <c r="KVP3" s="0"/>
      <c r="KVQ3" s="0"/>
      <c r="KVR3" s="0"/>
      <c r="KVS3" s="0"/>
      <c r="KVT3" s="0"/>
      <c r="KVU3" s="0"/>
      <c r="KVV3" s="0"/>
      <c r="KVW3" s="0"/>
      <c r="KVX3" s="0"/>
      <c r="KVY3" s="0"/>
      <c r="KVZ3" s="0"/>
      <c r="KWA3" s="0"/>
      <c r="KWB3" s="0"/>
      <c r="KWC3" s="0"/>
      <c r="KWD3" s="0"/>
      <c r="KWE3" s="0"/>
      <c r="KWF3" s="0"/>
      <c r="KWG3" s="0"/>
      <c r="KWH3" s="0"/>
      <c r="KWI3" s="0"/>
      <c r="KWJ3" s="0"/>
      <c r="KWK3" s="0"/>
      <c r="KWL3" s="0"/>
      <c r="KWM3" s="0"/>
      <c r="KWN3" s="0"/>
      <c r="KWO3" s="0"/>
      <c r="KWP3" s="0"/>
      <c r="KWQ3" s="0"/>
      <c r="KWR3" s="0"/>
      <c r="KWS3" s="0"/>
      <c r="KWT3" s="0"/>
      <c r="KWU3" s="0"/>
      <c r="KWV3" s="0"/>
      <c r="KWW3" s="0"/>
      <c r="KWX3" s="0"/>
      <c r="KWY3" s="0"/>
      <c r="KWZ3" s="0"/>
      <c r="KXA3" s="0"/>
      <c r="KXB3" s="0"/>
      <c r="KXC3" s="0"/>
      <c r="KXD3" s="0"/>
      <c r="KXE3" s="0"/>
      <c r="KXF3" s="0"/>
      <c r="KXG3" s="0"/>
      <c r="KXH3" s="0"/>
      <c r="KXI3" s="0"/>
      <c r="KXJ3" s="0"/>
      <c r="KXK3" s="0"/>
      <c r="KXL3" s="0"/>
      <c r="KXM3" s="0"/>
      <c r="KXN3" s="0"/>
      <c r="KXO3" s="0"/>
      <c r="KXP3" s="0"/>
      <c r="KXQ3" s="0"/>
      <c r="KXR3" s="0"/>
      <c r="KXS3" s="0"/>
      <c r="KXT3" s="0"/>
      <c r="KXU3" s="0"/>
      <c r="KXV3" s="0"/>
      <c r="KXW3" s="0"/>
      <c r="KXX3" s="0"/>
      <c r="KXY3" s="0"/>
      <c r="KXZ3" s="0"/>
      <c r="KYA3" s="0"/>
      <c r="KYB3" s="0"/>
      <c r="KYC3" s="0"/>
      <c r="KYD3" s="0"/>
      <c r="KYE3" s="0"/>
      <c r="KYF3" s="0"/>
      <c r="KYG3" s="0"/>
      <c r="KYH3" s="0"/>
      <c r="KYI3" s="0"/>
      <c r="KYJ3" s="0"/>
      <c r="KYK3" s="0"/>
      <c r="KYL3" s="0"/>
      <c r="KYM3" s="0"/>
      <c r="KYN3" s="0"/>
      <c r="KYO3" s="0"/>
      <c r="KYP3" s="0"/>
      <c r="KYQ3" s="0"/>
      <c r="KYR3" s="0"/>
      <c r="KYS3" s="0"/>
      <c r="KYT3" s="0"/>
      <c r="KYU3" s="0"/>
      <c r="KYV3" s="0"/>
      <c r="KYW3" s="0"/>
      <c r="KYX3" s="0"/>
      <c r="KYY3" s="0"/>
      <c r="KYZ3" s="0"/>
      <c r="KZA3" s="0"/>
      <c r="KZB3" s="0"/>
      <c r="KZC3" s="0"/>
      <c r="KZD3" s="0"/>
      <c r="KZE3" s="0"/>
      <c r="KZF3" s="0"/>
      <c r="KZG3" s="0"/>
      <c r="KZH3" s="0"/>
      <c r="KZI3" s="0"/>
      <c r="KZJ3" s="0"/>
      <c r="KZK3" s="0"/>
      <c r="KZL3" s="0"/>
      <c r="KZM3" s="0"/>
      <c r="KZN3" s="0"/>
      <c r="KZO3" s="0"/>
      <c r="KZP3" s="0"/>
      <c r="KZQ3" s="0"/>
      <c r="KZR3" s="0"/>
      <c r="KZS3" s="0"/>
      <c r="KZT3" s="0"/>
      <c r="KZU3" s="0"/>
      <c r="KZV3" s="0"/>
      <c r="KZW3" s="0"/>
      <c r="KZX3" s="0"/>
      <c r="KZY3" s="0"/>
      <c r="KZZ3" s="0"/>
      <c r="LAA3" s="0"/>
      <c r="LAB3" s="0"/>
      <c r="LAC3" s="0"/>
      <c r="LAD3" s="0"/>
      <c r="LAE3" s="0"/>
      <c r="LAF3" s="0"/>
      <c r="LAG3" s="0"/>
      <c r="LAH3" s="0"/>
      <c r="LAI3" s="0"/>
      <c r="LAJ3" s="0"/>
      <c r="LAK3" s="0"/>
      <c r="LAL3" s="0"/>
      <c r="LAM3" s="0"/>
      <c r="LAN3" s="0"/>
      <c r="LAO3" s="0"/>
      <c r="LAP3" s="0"/>
      <c r="LAQ3" s="0"/>
      <c r="LAR3" s="0"/>
      <c r="LAS3" s="0"/>
      <c r="LAT3" s="0"/>
      <c r="LAU3" s="0"/>
      <c r="LAV3" s="0"/>
      <c r="LAW3" s="0"/>
      <c r="LAX3" s="0"/>
      <c r="LAY3" s="0"/>
      <c r="LAZ3" s="0"/>
      <c r="LBA3" s="0"/>
      <c r="LBB3" s="0"/>
      <c r="LBC3" s="0"/>
      <c r="LBD3" s="0"/>
      <c r="LBE3" s="0"/>
      <c r="LBF3" s="0"/>
      <c r="LBG3" s="0"/>
      <c r="LBH3" s="0"/>
      <c r="LBI3" s="0"/>
      <c r="LBJ3" s="0"/>
      <c r="LBK3" s="0"/>
      <c r="LBL3" s="0"/>
      <c r="LBM3" s="0"/>
      <c r="LBN3" s="0"/>
      <c r="LBO3" s="0"/>
      <c r="LBP3" s="0"/>
      <c r="LBQ3" s="0"/>
      <c r="LBR3" s="0"/>
      <c r="LBS3" s="0"/>
      <c r="LBT3" s="0"/>
      <c r="LBU3" s="0"/>
      <c r="LBV3" s="0"/>
      <c r="LBW3" s="0"/>
      <c r="LBX3" s="0"/>
      <c r="LBY3" s="0"/>
      <c r="LBZ3" s="0"/>
      <c r="LCA3" s="0"/>
      <c r="LCB3" s="0"/>
      <c r="LCC3" s="0"/>
      <c r="LCD3" s="0"/>
      <c r="LCE3" s="0"/>
      <c r="LCF3" s="0"/>
      <c r="LCG3" s="0"/>
      <c r="LCH3" s="0"/>
      <c r="LCI3" s="0"/>
      <c r="LCJ3" s="0"/>
      <c r="LCK3" s="0"/>
      <c r="LCL3" s="0"/>
      <c r="LCM3" s="0"/>
      <c r="LCN3" s="0"/>
      <c r="LCO3" s="0"/>
      <c r="LCP3" s="0"/>
      <c r="LCQ3" s="0"/>
      <c r="LCR3" s="0"/>
      <c r="LCS3" s="0"/>
      <c r="LCT3" s="0"/>
      <c r="LCU3" s="0"/>
      <c r="LCV3" s="0"/>
      <c r="LCW3" s="0"/>
      <c r="LCX3" s="0"/>
      <c r="LCY3" s="0"/>
      <c r="LCZ3" s="0"/>
      <c r="LDA3" s="0"/>
      <c r="LDB3" s="0"/>
      <c r="LDC3" s="0"/>
      <c r="LDD3" s="0"/>
      <c r="LDE3" s="0"/>
      <c r="LDF3" s="0"/>
      <c r="LDG3" s="0"/>
      <c r="LDH3" s="0"/>
      <c r="LDI3" s="0"/>
      <c r="LDJ3" s="0"/>
      <c r="LDK3" s="0"/>
      <c r="LDL3" s="0"/>
      <c r="LDM3" s="0"/>
      <c r="LDN3" s="0"/>
      <c r="LDO3" s="0"/>
      <c r="LDP3" s="0"/>
      <c r="LDQ3" s="0"/>
      <c r="LDR3" s="0"/>
      <c r="LDS3" s="0"/>
      <c r="LDT3" s="0"/>
      <c r="LDU3" s="0"/>
      <c r="LDV3" s="0"/>
      <c r="LDW3" s="0"/>
      <c r="LDX3" s="0"/>
      <c r="LDY3" s="0"/>
      <c r="LDZ3" s="0"/>
      <c r="LEA3" s="0"/>
      <c r="LEB3" s="0"/>
      <c r="LEC3" s="0"/>
      <c r="LED3" s="0"/>
      <c r="LEE3" s="0"/>
      <c r="LEF3" s="0"/>
      <c r="LEG3" s="0"/>
      <c r="LEH3" s="0"/>
      <c r="LEI3" s="0"/>
      <c r="LEJ3" s="0"/>
      <c r="LEK3" s="0"/>
      <c r="LEL3" s="0"/>
      <c r="LEM3" s="0"/>
      <c r="LEN3" s="0"/>
      <c r="LEO3" s="0"/>
      <c r="LEP3" s="0"/>
      <c r="LEQ3" s="0"/>
      <c r="LER3" s="0"/>
      <c r="LES3" s="0"/>
      <c r="LET3" s="0"/>
      <c r="LEU3" s="0"/>
      <c r="LEV3" s="0"/>
      <c r="LEW3" s="0"/>
      <c r="LEX3" s="0"/>
      <c r="LEY3" s="0"/>
      <c r="LEZ3" s="0"/>
      <c r="LFA3" s="0"/>
      <c r="LFB3" s="0"/>
      <c r="LFC3" s="0"/>
      <c r="LFD3" s="0"/>
      <c r="LFE3" s="0"/>
      <c r="LFF3" s="0"/>
      <c r="LFG3" s="0"/>
      <c r="LFH3" s="0"/>
      <c r="LFI3" s="0"/>
      <c r="LFJ3" s="0"/>
      <c r="LFK3" s="0"/>
      <c r="LFL3" s="0"/>
      <c r="LFM3" s="0"/>
      <c r="LFN3" s="0"/>
      <c r="LFO3" s="0"/>
      <c r="LFP3" s="0"/>
      <c r="LFQ3" s="0"/>
      <c r="LFR3" s="0"/>
      <c r="LFS3" s="0"/>
      <c r="LFT3" s="0"/>
      <c r="LFU3" s="0"/>
      <c r="LFV3" s="0"/>
      <c r="LFW3" s="0"/>
      <c r="LFX3" s="0"/>
      <c r="LFY3" s="0"/>
      <c r="LFZ3" s="0"/>
      <c r="LGA3" s="0"/>
      <c r="LGB3" s="0"/>
      <c r="LGC3" s="0"/>
      <c r="LGD3" s="0"/>
      <c r="LGE3" s="0"/>
      <c r="LGF3" s="0"/>
      <c r="LGG3" s="0"/>
      <c r="LGH3" s="0"/>
      <c r="LGI3" s="0"/>
      <c r="LGJ3" s="0"/>
      <c r="LGK3" s="0"/>
      <c r="LGL3" s="0"/>
      <c r="LGM3" s="0"/>
      <c r="LGN3" s="0"/>
      <c r="LGO3" s="0"/>
      <c r="LGP3" s="0"/>
      <c r="LGQ3" s="0"/>
      <c r="LGR3" s="0"/>
      <c r="LGS3" s="0"/>
      <c r="LGT3" s="0"/>
      <c r="LGU3" s="0"/>
      <c r="LGV3" s="0"/>
      <c r="LGW3" s="0"/>
      <c r="LGX3" s="0"/>
      <c r="LGY3" s="0"/>
      <c r="LGZ3" s="0"/>
      <c r="LHA3" s="0"/>
      <c r="LHB3" s="0"/>
      <c r="LHC3" s="0"/>
      <c r="LHD3" s="0"/>
      <c r="LHE3" s="0"/>
      <c r="LHF3" s="0"/>
      <c r="LHG3" s="0"/>
      <c r="LHH3" s="0"/>
      <c r="LHI3" s="0"/>
      <c r="LHJ3" s="0"/>
      <c r="LHK3" s="0"/>
      <c r="LHL3" s="0"/>
      <c r="LHM3" s="0"/>
      <c r="LHN3" s="0"/>
      <c r="LHO3" s="0"/>
      <c r="LHP3" s="0"/>
      <c r="LHQ3" s="0"/>
      <c r="LHR3" s="0"/>
      <c r="LHS3" s="0"/>
      <c r="LHT3" s="0"/>
      <c r="LHU3" s="0"/>
      <c r="LHV3" s="0"/>
      <c r="LHW3" s="0"/>
      <c r="LHX3" s="0"/>
      <c r="LHY3" s="0"/>
      <c r="LHZ3" s="0"/>
      <c r="LIA3" s="0"/>
      <c r="LIB3" s="0"/>
      <c r="LIC3" s="0"/>
      <c r="LID3" s="0"/>
      <c r="LIE3" s="0"/>
      <c r="LIF3" s="0"/>
      <c r="LIG3" s="0"/>
      <c r="LIH3" s="0"/>
      <c r="LII3" s="0"/>
      <c r="LIJ3" s="0"/>
      <c r="LIK3" s="0"/>
      <c r="LIL3" s="0"/>
      <c r="LIM3" s="0"/>
      <c r="LIN3" s="0"/>
      <c r="LIO3" s="0"/>
      <c r="LIP3" s="0"/>
      <c r="LIQ3" s="0"/>
      <c r="LIR3" s="0"/>
      <c r="LIS3" s="0"/>
      <c r="LIT3" s="0"/>
      <c r="LIU3" s="0"/>
      <c r="LIV3" s="0"/>
      <c r="LIW3" s="0"/>
      <c r="LIX3" s="0"/>
      <c r="LIY3" s="0"/>
      <c r="LIZ3" s="0"/>
      <c r="LJA3" s="0"/>
      <c r="LJB3" s="0"/>
      <c r="LJC3" s="0"/>
      <c r="LJD3" s="0"/>
      <c r="LJE3" s="0"/>
      <c r="LJF3" s="0"/>
      <c r="LJG3" s="0"/>
      <c r="LJH3" s="0"/>
      <c r="LJI3" s="0"/>
      <c r="LJJ3" s="0"/>
      <c r="LJK3" s="0"/>
      <c r="LJL3" s="0"/>
      <c r="LJM3" s="0"/>
      <c r="LJN3" s="0"/>
      <c r="LJO3" s="0"/>
      <c r="LJP3" s="0"/>
      <c r="LJQ3" s="0"/>
      <c r="LJR3" s="0"/>
      <c r="LJS3" s="0"/>
      <c r="LJT3" s="0"/>
      <c r="LJU3" s="0"/>
      <c r="LJV3" s="0"/>
      <c r="LJW3" s="0"/>
      <c r="LJX3" s="0"/>
      <c r="LJY3" s="0"/>
      <c r="LJZ3" s="0"/>
      <c r="LKA3" s="0"/>
      <c r="LKB3" s="0"/>
      <c r="LKC3" s="0"/>
      <c r="LKD3" s="0"/>
      <c r="LKE3" s="0"/>
      <c r="LKF3" s="0"/>
      <c r="LKG3" s="0"/>
      <c r="LKH3" s="0"/>
      <c r="LKI3" s="0"/>
      <c r="LKJ3" s="0"/>
      <c r="LKK3" s="0"/>
      <c r="LKL3" s="0"/>
      <c r="LKM3" s="0"/>
      <c r="LKN3" s="0"/>
      <c r="LKO3" s="0"/>
      <c r="LKP3" s="0"/>
      <c r="LKQ3" s="0"/>
      <c r="LKR3" s="0"/>
      <c r="LKS3" s="0"/>
      <c r="LKT3" s="0"/>
      <c r="LKU3" s="0"/>
      <c r="LKV3" s="0"/>
      <c r="LKW3" s="0"/>
      <c r="LKX3" s="0"/>
      <c r="LKY3" s="0"/>
      <c r="LKZ3" s="0"/>
      <c r="LLA3" s="0"/>
      <c r="LLB3" s="0"/>
      <c r="LLC3" s="0"/>
      <c r="LLD3" s="0"/>
      <c r="LLE3" s="0"/>
      <c r="LLF3" s="0"/>
      <c r="LLG3" s="0"/>
      <c r="LLH3" s="0"/>
      <c r="LLI3" s="0"/>
      <c r="LLJ3" s="0"/>
      <c r="LLK3" s="0"/>
      <c r="LLL3" s="0"/>
      <c r="LLM3" s="0"/>
      <c r="LLN3" s="0"/>
      <c r="LLO3" s="0"/>
      <c r="LLP3" s="0"/>
      <c r="LLQ3" s="0"/>
      <c r="LLR3" s="0"/>
      <c r="LLS3" s="0"/>
      <c r="LLT3" s="0"/>
      <c r="LLU3" s="0"/>
      <c r="LLV3" s="0"/>
      <c r="LLW3" s="0"/>
      <c r="LLX3" s="0"/>
      <c r="LLY3" s="0"/>
      <c r="LLZ3" s="0"/>
      <c r="LMA3" s="0"/>
      <c r="LMB3" s="0"/>
      <c r="LMC3" s="0"/>
      <c r="LMD3" s="0"/>
      <c r="LME3" s="0"/>
      <c r="LMF3" s="0"/>
      <c r="LMG3" s="0"/>
      <c r="LMH3" s="0"/>
      <c r="LMI3" s="0"/>
      <c r="LMJ3" s="0"/>
      <c r="LMK3" s="0"/>
      <c r="LML3" s="0"/>
      <c r="LMM3" s="0"/>
      <c r="LMN3" s="0"/>
      <c r="LMO3" s="0"/>
      <c r="LMP3" s="0"/>
      <c r="LMQ3" s="0"/>
      <c r="LMR3" s="0"/>
      <c r="LMS3" s="0"/>
      <c r="LMT3" s="0"/>
      <c r="LMU3" s="0"/>
      <c r="LMV3" s="0"/>
      <c r="LMW3" s="0"/>
      <c r="LMX3" s="0"/>
      <c r="LMY3" s="0"/>
      <c r="LMZ3" s="0"/>
      <c r="LNA3" s="0"/>
      <c r="LNB3" s="0"/>
      <c r="LNC3" s="0"/>
      <c r="LND3" s="0"/>
      <c r="LNE3" s="0"/>
      <c r="LNF3" s="0"/>
      <c r="LNG3" s="0"/>
      <c r="LNH3" s="0"/>
      <c r="LNI3" s="0"/>
      <c r="LNJ3" s="0"/>
      <c r="LNK3" s="0"/>
      <c r="LNL3" s="0"/>
      <c r="LNM3" s="0"/>
      <c r="LNN3" s="0"/>
      <c r="LNO3" s="0"/>
      <c r="LNP3" s="0"/>
      <c r="LNQ3" s="0"/>
      <c r="LNR3" s="0"/>
      <c r="LNS3" s="0"/>
      <c r="LNT3" s="0"/>
      <c r="LNU3" s="0"/>
      <c r="LNV3" s="0"/>
      <c r="LNW3" s="0"/>
      <c r="LNX3" s="0"/>
      <c r="LNY3" s="0"/>
      <c r="LNZ3" s="0"/>
      <c r="LOA3" s="0"/>
      <c r="LOB3" s="0"/>
      <c r="LOC3" s="0"/>
      <c r="LOD3" s="0"/>
      <c r="LOE3" s="0"/>
      <c r="LOF3" s="0"/>
      <c r="LOG3" s="0"/>
      <c r="LOH3" s="0"/>
      <c r="LOI3" s="0"/>
      <c r="LOJ3" s="0"/>
      <c r="LOK3" s="0"/>
      <c r="LOL3" s="0"/>
      <c r="LOM3" s="0"/>
      <c r="LON3" s="0"/>
      <c r="LOO3" s="0"/>
      <c r="LOP3" s="0"/>
      <c r="LOQ3" s="0"/>
      <c r="LOR3" s="0"/>
      <c r="LOS3" s="0"/>
      <c r="LOT3" s="0"/>
      <c r="LOU3" s="0"/>
      <c r="LOV3" s="0"/>
      <c r="LOW3" s="0"/>
      <c r="LOX3" s="0"/>
      <c r="LOY3" s="0"/>
      <c r="LOZ3" s="0"/>
      <c r="LPA3" s="0"/>
      <c r="LPB3" s="0"/>
      <c r="LPC3" s="0"/>
      <c r="LPD3" s="0"/>
      <c r="LPE3" s="0"/>
      <c r="LPF3" s="0"/>
      <c r="LPG3" s="0"/>
      <c r="LPH3" s="0"/>
      <c r="LPI3" s="0"/>
      <c r="LPJ3" s="0"/>
      <c r="LPK3" s="0"/>
      <c r="LPL3" s="0"/>
      <c r="LPM3" s="0"/>
      <c r="LPN3" s="0"/>
      <c r="LPO3" s="0"/>
      <c r="LPP3" s="0"/>
      <c r="LPQ3" s="0"/>
      <c r="LPR3" s="0"/>
      <c r="LPS3" s="0"/>
      <c r="LPT3" s="0"/>
      <c r="LPU3" s="0"/>
      <c r="LPV3" s="0"/>
      <c r="LPW3" s="0"/>
      <c r="LPX3" s="0"/>
      <c r="LPY3" s="0"/>
      <c r="LPZ3" s="0"/>
      <c r="LQA3" s="0"/>
      <c r="LQB3" s="0"/>
      <c r="LQC3" s="0"/>
      <c r="LQD3" s="0"/>
      <c r="LQE3" s="0"/>
      <c r="LQF3" s="0"/>
      <c r="LQG3" s="0"/>
      <c r="LQH3" s="0"/>
      <c r="LQI3" s="0"/>
      <c r="LQJ3" s="0"/>
      <c r="LQK3" s="0"/>
      <c r="LQL3" s="0"/>
      <c r="LQM3" s="0"/>
      <c r="LQN3" s="0"/>
      <c r="LQO3" s="0"/>
      <c r="LQP3" s="0"/>
      <c r="LQQ3" s="0"/>
      <c r="LQR3" s="0"/>
      <c r="LQS3" s="0"/>
      <c r="LQT3" s="0"/>
      <c r="LQU3" s="0"/>
      <c r="LQV3" s="0"/>
      <c r="LQW3" s="0"/>
      <c r="LQX3" s="0"/>
      <c r="LQY3" s="0"/>
      <c r="LQZ3" s="0"/>
      <c r="LRA3" s="0"/>
      <c r="LRB3" s="0"/>
      <c r="LRC3" s="0"/>
      <c r="LRD3" s="0"/>
      <c r="LRE3" s="0"/>
      <c r="LRF3" s="0"/>
      <c r="LRG3" s="0"/>
      <c r="LRH3" s="0"/>
      <c r="LRI3" s="0"/>
      <c r="LRJ3" s="0"/>
      <c r="LRK3" s="0"/>
      <c r="LRL3" s="0"/>
      <c r="LRM3" s="0"/>
      <c r="LRN3" s="0"/>
      <c r="LRO3" s="0"/>
      <c r="LRP3" s="0"/>
      <c r="LRQ3" s="0"/>
      <c r="LRR3" s="0"/>
      <c r="LRS3" s="0"/>
      <c r="LRT3" s="0"/>
      <c r="LRU3" s="0"/>
      <c r="LRV3" s="0"/>
      <c r="LRW3" s="0"/>
      <c r="LRX3" s="0"/>
      <c r="LRY3" s="0"/>
      <c r="LRZ3" s="0"/>
      <c r="LSA3" s="0"/>
      <c r="LSB3" s="0"/>
      <c r="LSC3" s="0"/>
      <c r="LSD3" s="0"/>
      <c r="LSE3" s="0"/>
      <c r="LSF3" s="0"/>
      <c r="LSG3" s="0"/>
      <c r="LSH3" s="0"/>
      <c r="LSI3" s="0"/>
      <c r="LSJ3" s="0"/>
      <c r="LSK3" s="0"/>
      <c r="LSL3" s="0"/>
      <c r="LSM3" s="0"/>
      <c r="LSN3" s="0"/>
      <c r="LSO3" s="0"/>
      <c r="LSP3" s="0"/>
      <c r="LSQ3" s="0"/>
      <c r="LSR3" s="0"/>
      <c r="LSS3" s="0"/>
      <c r="LST3" s="0"/>
      <c r="LSU3" s="0"/>
      <c r="LSV3" s="0"/>
      <c r="LSW3" s="0"/>
      <c r="LSX3" s="0"/>
      <c r="LSY3" s="0"/>
      <c r="LSZ3" s="0"/>
      <c r="LTA3" s="0"/>
      <c r="LTB3" s="0"/>
      <c r="LTC3" s="0"/>
      <c r="LTD3" s="0"/>
      <c r="LTE3" s="0"/>
      <c r="LTF3" s="0"/>
      <c r="LTG3" s="0"/>
      <c r="LTH3" s="0"/>
      <c r="LTI3" s="0"/>
      <c r="LTJ3" s="0"/>
      <c r="LTK3" s="0"/>
      <c r="LTL3" s="0"/>
      <c r="LTM3" s="0"/>
      <c r="LTN3" s="0"/>
      <c r="LTO3" s="0"/>
      <c r="LTP3" s="0"/>
      <c r="LTQ3" s="0"/>
      <c r="LTR3" s="0"/>
      <c r="LTS3" s="0"/>
      <c r="LTT3" s="0"/>
      <c r="LTU3" s="0"/>
      <c r="LTV3" s="0"/>
      <c r="LTW3" s="0"/>
      <c r="LTX3" s="0"/>
      <c r="LTY3" s="0"/>
      <c r="LTZ3" s="0"/>
      <c r="LUA3" s="0"/>
      <c r="LUB3" s="0"/>
      <c r="LUC3" s="0"/>
      <c r="LUD3" s="0"/>
      <c r="LUE3" s="0"/>
      <c r="LUF3" s="0"/>
      <c r="LUG3" s="0"/>
      <c r="LUH3" s="0"/>
      <c r="LUI3" s="0"/>
      <c r="LUJ3" s="0"/>
      <c r="LUK3" s="0"/>
      <c r="LUL3" s="0"/>
      <c r="LUM3" s="0"/>
      <c r="LUN3" s="0"/>
      <c r="LUO3" s="0"/>
      <c r="LUP3" s="0"/>
      <c r="LUQ3" s="0"/>
      <c r="LUR3" s="0"/>
      <c r="LUS3" s="0"/>
      <c r="LUT3" s="0"/>
      <c r="LUU3" s="0"/>
      <c r="LUV3" s="0"/>
      <c r="LUW3" s="0"/>
      <c r="LUX3" s="0"/>
      <c r="LUY3" s="0"/>
      <c r="LUZ3" s="0"/>
      <c r="LVA3" s="0"/>
      <c r="LVB3" s="0"/>
      <c r="LVC3" s="0"/>
      <c r="LVD3" s="0"/>
      <c r="LVE3" s="0"/>
      <c r="LVF3" s="0"/>
      <c r="LVG3" s="0"/>
      <c r="LVH3" s="0"/>
      <c r="LVI3" s="0"/>
      <c r="LVJ3" s="0"/>
      <c r="LVK3" s="0"/>
      <c r="LVL3" s="0"/>
      <c r="LVM3" s="0"/>
      <c r="LVN3" s="0"/>
      <c r="LVO3" s="0"/>
      <c r="LVP3" s="0"/>
      <c r="LVQ3" s="0"/>
      <c r="LVR3" s="0"/>
      <c r="LVS3" s="0"/>
      <c r="LVT3" s="0"/>
      <c r="LVU3" s="0"/>
      <c r="LVV3" s="0"/>
      <c r="LVW3" s="0"/>
      <c r="LVX3" s="0"/>
      <c r="LVY3" s="0"/>
      <c r="LVZ3" s="0"/>
      <c r="LWA3" s="0"/>
      <c r="LWB3" s="0"/>
      <c r="LWC3" s="0"/>
      <c r="LWD3" s="0"/>
      <c r="LWE3" s="0"/>
      <c r="LWF3" s="0"/>
      <c r="LWG3" s="0"/>
      <c r="LWH3" s="0"/>
      <c r="LWI3" s="0"/>
      <c r="LWJ3" s="0"/>
      <c r="LWK3" s="0"/>
      <c r="LWL3" s="0"/>
      <c r="LWM3" s="0"/>
      <c r="LWN3" s="0"/>
      <c r="LWO3" s="0"/>
      <c r="LWP3" s="0"/>
      <c r="LWQ3" s="0"/>
      <c r="LWR3" s="0"/>
      <c r="LWS3" s="0"/>
      <c r="LWT3" s="0"/>
      <c r="LWU3" s="0"/>
      <c r="LWV3" s="0"/>
      <c r="LWW3" s="0"/>
      <c r="LWX3" s="0"/>
      <c r="LWY3" s="0"/>
      <c r="LWZ3" s="0"/>
      <c r="LXA3" s="0"/>
      <c r="LXB3" s="0"/>
      <c r="LXC3" s="0"/>
      <c r="LXD3" s="0"/>
      <c r="LXE3" s="0"/>
      <c r="LXF3" s="0"/>
      <c r="LXG3" s="0"/>
      <c r="LXH3" s="0"/>
      <c r="LXI3" s="0"/>
      <c r="LXJ3" s="0"/>
      <c r="LXK3" s="0"/>
      <c r="LXL3" s="0"/>
      <c r="LXM3" s="0"/>
      <c r="LXN3" s="0"/>
      <c r="LXO3" s="0"/>
      <c r="LXP3" s="0"/>
      <c r="LXQ3" s="0"/>
      <c r="LXR3" s="0"/>
      <c r="LXS3" s="0"/>
      <c r="LXT3" s="0"/>
      <c r="LXU3" s="0"/>
      <c r="LXV3" s="0"/>
      <c r="LXW3" s="0"/>
      <c r="LXX3" s="0"/>
      <c r="LXY3" s="0"/>
      <c r="LXZ3" s="0"/>
      <c r="LYA3" s="0"/>
      <c r="LYB3" s="0"/>
      <c r="LYC3" s="0"/>
      <c r="LYD3" s="0"/>
      <c r="LYE3" s="0"/>
      <c r="LYF3" s="0"/>
      <c r="LYG3" s="0"/>
      <c r="LYH3" s="0"/>
      <c r="LYI3" s="0"/>
      <c r="LYJ3" s="0"/>
      <c r="LYK3" s="0"/>
      <c r="LYL3" s="0"/>
      <c r="LYM3" s="0"/>
      <c r="LYN3" s="0"/>
      <c r="LYO3" s="0"/>
      <c r="LYP3" s="0"/>
      <c r="LYQ3" s="0"/>
      <c r="LYR3" s="0"/>
      <c r="LYS3" s="0"/>
      <c r="LYT3" s="0"/>
      <c r="LYU3" s="0"/>
      <c r="LYV3" s="0"/>
      <c r="LYW3" s="0"/>
      <c r="LYX3" s="0"/>
      <c r="LYY3" s="0"/>
      <c r="LYZ3" s="0"/>
      <c r="LZA3" s="0"/>
      <c r="LZB3" s="0"/>
      <c r="LZC3" s="0"/>
      <c r="LZD3" s="0"/>
      <c r="LZE3" s="0"/>
      <c r="LZF3" s="0"/>
      <c r="LZG3" s="0"/>
      <c r="LZH3" s="0"/>
      <c r="LZI3" s="0"/>
      <c r="LZJ3" s="0"/>
      <c r="LZK3" s="0"/>
      <c r="LZL3" s="0"/>
      <c r="LZM3" s="0"/>
      <c r="LZN3" s="0"/>
      <c r="LZO3" s="0"/>
      <c r="LZP3" s="0"/>
      <c r="LZQ3" s="0"/>
      <c r="LZR3" s="0"/>
      <c r="LZS3" s="0"/>
      <c r="LZT3" s="0"/>
      <c r="LZU3" s="0"/>
      <c r="LZV3" s="0"/>
      <c r="LZW3" s="0"/>
      <c r="LZX3" s="0"/>
      <c r="LZY3" s="0"/>
      <c r="LZZ3" s="0"/>
      <c r="MAA3" s="0"/>
      <c r="MAB3" s="0"/>
      <c r="MAC3" s="0"/>
      <c r="MAD3" s="0"/>
      <c r="MAE3" s="0"/>
      <c r="MAF3" s="0"/>
      <c r="MAG3" s="0"/>
      <c r="MAH3" s="0"/>
      <c r="MAI3" s="0"/>
      <c r="MAJ3" s="0"/>
      <c r="MAK3" s="0"/>
      <c r="MAL3" s="0"/>
      <c r="MAM3" s="0"/>
      <c r="MAN3" s="0"/>
      <c r="MAO3" s="0"/>
      <c r="MAP3" s="0"/>
      <c r="MAQ3" s="0"/>
      <c r="MAR3" s="0"/>
      <c r="MAS3" s="0"/>
      <c r="MAT3" s="0"/>
      <c r="MAU3" s="0"/>
      <c r="MAV3" s="0"/>
      <c r="MAW3" s="0"/>
      <c r="MAX3" s="0"/>
      <c r="MAY3" s="0"/>
      <c r="MAZ3" s="0"/>
      <c r="MBA3" s="0"/>
      <c r="MBB3" s="0"/>
      <c r="MBC3" s="0"/>
      <c r="MBD3" s="0"/>
      <c r="MBE3" s="0"/>
      <c r="MBF3" s="0"/>
      <c r="MBG3" s="0"/>
      <c r="MBH3" s="0"/>
      <c r="MBI3" s="0"/>
      <c r="MBJ3" s="0"/>
      <c r="MBK3" s="0"/>
      <c r="MBL3" s="0"/>
      <c r="MBM3" s="0"/>
      <c r="MBN3" s="0"/>
      <c r="MBO3" s="0"/>
      <c r="MBP3" s="0"/>
      <c r="MBQ3" s="0"/>
      <c r="MBR3" s="0"/>
      <c r="MBS3" s="0"/>
      <c r="MBT3" s="0"/>
      <c r="MBU3" s="0"/>
      <c r="MBV3" s="0"/>
      <c r="MBW3" s="0"/>
      <c r="MBX3" s="0"/>
      <c r="MBY3" s="0"/>
      <c r="MBZ3" s="0"/>
      <c r="MCA3" s="0"/>
      <c r="MCB3" s="0"/>
      <c r="MCC3" s="0"/>
      <c r="MCD3" s="0"/>
      <c r="MCE3" s="0"/>
      <c r="MCF3" s="0"/>
      <c r="MCG3" s="0"/>
      <c r="MCH3" s="0"/>
      <c r="MCI3" s="0"/>
      <c r="MCJ3" s="0"/>
      <c r="MCK3" s="0"/>
      <c r="MCL3" s="0"/>
      <c r="MCM3" s="0"/>
      <c r="MCN3" s="0"/>
      <c r="MCO3" s="0"/>
      <c r="MCP3" s="0"/>
      <c r="MCQ3" s="0"/>
      <c r="MCR3" s="0"/>
      <c r="MCS3" s="0"/>
      <c r="MCT3" s="0"/>
      <c r="MCU3" s="0"/>
      <c r="MCV3" s="0"/>
      <c r="MCW3" s="0"/>
      <c r="MCX3" s="0"/>
      <c r="MCY3" s="0"/>
      <c r="MCZ3" s="0"/>
      <c r="MDA3" s="0"/>
      <c r="MDB3" s="0"/>
      <c r="MDC3" s="0"/>
      <c r="MDD3" s="0"/>
      <c r="MDE3" s="0"/>
      <c r="MDF3" s="0"/>
      <c r="MDG3" s="0"/>
      <c r="MDH3" s="0"/>
      <c r="MDI3" s="0"/>
      <c r="MDJ3" s="0"/>
      <c r="MDK3" s="0"/>
      <c r="MDL3" s="0"/>
      <c r="MDM3" s="0"/>
      <c r="MDN3" s="0"/>
      <c r="MDO3" s="0"/>
      <c r="MDP3" s="0"/>
      <c r="MDQ3" s="0"/>
      <c r="MDR3" s="0"/>
      <c r="MDS3" s="0"/>
      <c r="MDT3" s="0"/>
      <c r="MDU3" s="0"/>
      <c r="MDV3" s="0"/>
      <c r="MDW3" s="0"/>
      <c r="MDX3" s="0"/>
      <c r="MDY3" s="0"/>
      <c r="MDZ3" s="0"/>
      <c r="MEA3" s="0"/>
      <c r="MEB3" s="0"/>
      <c r="MEC3" s="0"/>
      <c r="MED3" s="0"/>
      <c r="MEE3" s="0"/>
      <c r="MEF3" s="0"/>
      <c r="MEG3" s="0"/>
      <c r="MEH3" s="0"/>
      <c r="MEI3" s="0"/>
      <c r="MEJ3" s="0"/>
      <c r="MEK3" s="0"/>
      <c r="MEL3" s="0"/>
      <c r="MEM3" s="0"/>
      <c r="MEN3" s="0"/>
      <c r="MEO3" s="0"/>
      <c r="MEP3" s="0"/>
      <c r="MEQ3" s="0"/>
      <c r="MER3" s="0"/>
      <c r="MES3" s="0"/>
      <c r="MET3" s="0"/>
      <c r="MEU3" s="0"/>
      <c r="MEV3" s="0"/>
      <c r="MEW3" s="0"/>
      <c r="MEX3" s="0"/>
      <c r="MEY3" s="0"/>
      <c r="MEZ3" s="0"/>
      <c r="MFA3" s="0"/>
      <c r="MFB3" s="0"/>
      <c r="MFC3" s="0"/>
      <c r="MFD3" s="0"/>
      <c r="MFE3" s="0"/>
      <c r="MFF3" s="0"/>
      <c r="MFG3" s="0"/>
      <c r="MFH3" s="0"/>
      <c r="MFI3" s="0"/>
      <c r="MFJ3" s="0"/>
      <c r="MFK3" s="0"/>
      <c r="MFL3" s="0"/>
      <c r="MFM3" s="0"/>
      <c r="MFN3" s="0"/>
      <c r="MFO3" s="0"/>
      <c r="MFP3" s="0"/>
      <c r="MFQ3" s="0"/>
      <c r="MFR3" s="0"/>
      <c r="MFS3" s="0"/>
      <c r="MFT3" s="0"/>
      <c r="MFU3" s="0"/>
      <c r="MFV3" s="0"/>
      <c r="MFW3" s="0"/>
      <c r="MFX3" s="0"/>
      <c r="MFY3" s="0"/>
      <c r="MFZ3" s="0"/>
      <c r="MGA3" s="0"/>
      <c r="MGB3" s="0"/>
      <c r="MGC3" s="0"/>
      <c r="MGD3" s="0"/>
      <c r="MGE3" s="0"/>
      <c r="MGF3" s="0"/>
      <c r="MGG3" s="0"/>
      <c r="MGH3" s="0"/>
      <c r="MGI3" s="0"/>
      <c r="MGJ3" s="0"/>
      <c r="MGK3" s="0"/>
      <c r="MGL3" s="0"/>
      <c r="MGM3" s="0"/>
      <c r="MGN3" s="0"/>
      <c r="MGO3" s="0"/>
      <c r="MGP3" s="0"/>
      <c r="MGQ3" s="0"/>
      <c r="MGR3" s="0"/>
      <c r="MGS3" s="0"/>
      <c r="MGT3" s="0"/>
      <c r="MGU3" s="0"/>
      <c r="MGV3" s="0"/>
      <c r="MGW3" s="0"/>
      <c r="MGX3" s="0"/>
      <c r="MGY3" s="0"/>
      <c r="MGZ3" s="0"/>
      <c r="MHA3" s="0"/>
      <c r="MHB3" s="0"/>
      <c r="MHC3" s="0"/>
      <c r="MHD3" s="0"/>
      <c r="MHE3" s="0"/>
      <c r="MHF3" s="0"/>
      <c r="MHG3" s="0"/>
      <c r="MHH3" s="0"/>
      <c r="MHI3" s="0"/>
      <c r="MHJ3" s="0"/>
      <c r="MHK3" s="0"/>
      <c r="MHL3" s="0"/>
      <c r="MHM3" s="0"/>
      <c r="MHN3" s="0"/>
      <c r="MHO3" s="0"/>
      <c r="MHP3" s="0"/>
      <c r="MHQ3" s="0"/>
      <c r="MHR3" s="0"/>
      <c r="MHS3" s="0"/>
      <c r="MHT3" s="0"/>
      <c r="MHU3" s="0"/>
      <c r="MHV3" s="0"/>
      <c r="MHW3" s="0"/>
      <c r="MHX3" s="0"/>
      <c r="MHY3" s="0"/>
      <c r="MHZ3" s="0"/>
      <c r="MIA3" s="0"/>
      <c r="MIB3" s="0"/>
      <c r="MIC3" s="0"/>
      <c r="MID3" s="0"/>
      <c r="MIE3" s="0"/>
      <c r="MIF3" s="0"/>
      <c r="MIG3" s="0"/>
      <c r="MIH3" s="0"/>
      <c r="MII3" s="0"/>
      <c r="MIJ3" s="0"/>
      <c r="MIK3" s="0"/>
      <c r="MIL3" s="0"/>
      <c r="MIM3" s="0"/>
      <c r="MIN3" s="0"/>
      <c r="MIO3" s="0"/>
      <c r="MIP3" s="0"/>
      <c r="MIQ3" s="0"/>
      <c r="MIR3" s="0"/>
      <c r="MIS3" s="0"/>
      <c r="MIT3" s="0"/>
      <c r="MIU3" s="0"/>
      <c r="MIV3" s="0"/>
      <c r="MIW3" s="0"/>
      <c r="MIX3" s="0"/>
      <c r="MIY3" s="0"/>
      <c r="MIZ3" s="0"/>
      <c r="MJA3" s="0"/>
      <c r="MJB3" s="0"/>
      <c r="MJC3" s="0"/>
      <c r="MJD3" s="0"/>
      <c r="MJE3" s="0"/>
      <c r="MJF3" s="0"/>
      <c r="MJG3" s="0"/>
      <c r="MJH3" s="0"/>
      <c r="MJI3" s="0"/>
      <c r="MJJ3" s="0"/>
      <c r="MJK3" s="0"/>
      <c r="MJL3" s="0"/>
      <c r="MJM3" s="0"/>
      <c r="MJN3" s="0"/>
      <c r="MJO3" s="0"/>
      <c r="MJP3" s="0"/>
      <c r="MJQ3" s="0"/>
      <c r="MJR3" s="0"/>
      <c r="MJS3" s="0"/>
      <c r="MJT3" s="0"/>
      <c r="MJU3" s="0"/>
      <c r="MJV3" s="0"/>
      <c r="MJW3" s="0"/>
      <c r="MJX3" s="0"/>
      <c r="MJY3" s="0"/>
      <c r="MJZ3" s="0"/>
      <c r="MKA3" s="0"/>
      <c r="MKB3" s="0"/>
      <c r="MKC3" s="0"/>
      <c r="MKD3" s="0"/>
      <c r="MKE3" s="0"/>
      <c r="MKF3" s="0"/>
      <c r="MKG3" s="0"/>
      <c r="MKH3" s="0"/>
      <c r="MKI3" s="0"/>
      <c r="MKJ3" s="0"/>
      <c r="MKK3" s="0"/>
      <c r="MKL3" s="0"/>
      <c r="MKM3" s="0"/>
      <c r="MKN3" s="0"/>
      <c r="MKO3" s="0"/>
      <c r="MKP3" s="0"/>
      <c r="MKQ3" s="0"/>
      <c r="MKR3" s="0"/>
      <c r="MKS3" s="0"/>
      <c r="MKT3" s="0"/>
      <c r="MKU3" s="0"/>
      <c r="MKV3" s="0"/>
      <c r="MKW3" s="0"/>
      <c r="MKX3" s="0"/>
      <c r="MKY3" s="0"/>
      <c r="MKZ3" s="0"/>
      <c r="MLA3" s="0"/>
      <c r="MLB3" s="0"/>
      <c r="MLC3" s="0"/>
      <c r="MLD3" s="0"/>
      <c r="MLE3" s="0"/>
      <c r="MLF3" s="0"/>
      <c r="MLG3" s="0"/>
      <c r="MLH3" s="0"/>
      <c r="MLI3" s="0"/>
      <c r="MLJ3" s="0"/>
      <c r="MLK3" s="0"/>
      <c r="MLL3" s="0"/>
      <c r="MLM3" s="0"/>
      <c r="MLN3" s="0"/>
      <c r="MLO3" s="0"/>
      <c r="MLP3" s="0"/>
      <c r="MLQ3" s="0"/>
      <c r="MLR3" s="0"/>
      <c r="MLS3" s="0"/>
      <c r="MLT3" s="0"/>
      <c r="MLU3" s="0"/>
      <c r="MLV3" s="0"/>
      <c r="MLW3" s="0"/>
      <c r="MLX3" s="0"/>
      <c r="MLY3" s="0"/>
      <c r="MLZ3" s="0"/>
      <c r="MMA3" s="0"/>
      <c r="MMB3" s="0"/>
      <c r="MMC3" s="0"/>
      <c r="MMD3" s="0"/>
      <c r="MME3" s="0"/>
      <c r="MMF3" s="0"/>
      <c r="MMG3" s="0"/>
      <c r="MMH3" s="0"/>
      <c r="MMI3" s="0"/>
      <c r="MMJ3" s="0"/>
      <c r="MMK3" s="0"/>
      <c r="MML3" s="0"/>
      <c r="MMM3" s="0"/>
      <c r="MMN3" s="0"/>
      <c r="MMO3" s="0"/>
      <c r="MMP3" s="0"/>
      <c r="MMQ3" s="0"/>
      <c r="MMR3" s="0"/>
      <c r="MMS3" s="0"/>
      <c r="MMT3" s="0"/>
      <c r="MMU3" s="0"/>
      <c r="MMV3" s="0"/>
      <c r="MMW3" s="0"/>
      <c r="MMX3" s="0"/>
      <c r="MMY3" s="0"/>
      <c r="MMZ3" s="0"/>
      <c r="MNA3" s="0"/>
      <c r="MNB3" s="0"/>
      <c r="MNC3" s="0"/>
      <c r="MND3" s="0"/>
      <c r="MNE3" s="0"/>
      <c r="MNF3" s="0"/>
      <c r="MNG3" s="0"/>
      <c r="MNH3" s="0"/>
      <c r="MNI3" s="0"/>
      <c r="MNJ3" s="0"/>
      <c r="MNK3" s="0"/>
      <c r="MNL3" s="0"/>
      <c r="MNM3" s="0"/>
      <c r="MNN3" s="0"/>
      <c r="MNO3" s="0"/>
      <c r="MNP3" s="0"/>
      <c r="MNQ3" s="0"/>
      <c r="MNR3" s="0"/>
      <c r="MNS3" s="0"/>
      <c r="MNT3" s="0"/>
      <c r="MNU3" s="0"/>
      <c r="MNV3" s="0"/>
      <c r="MNW3" s="0"/>
      <c r="MNX3" s="0"/>
      <c r="MNY3" s="0"/>
      <c r="MNZ3" s="0"/>
      <c r="MOA3" s="0"/>
      <c r="MOB3" s="0"/>
      <c r="MOC3" s="0"/>
      <c r="MOD3" s="0"/>
      <c r="MOE3" s="0"/>
      <c r="MOF3" s="0"/>
      <c r="MOG3" s="0"/>
      <c r="MOH3" s="0"/>
      <c r="MOI3" s="0"/>
      <c r="MOJ3" s="0"/>
      <c r="MOK3" s="0"/>
      <c r="MOL3" s="0"/>
      <c r="MOM3" s="0"/>
      <c r="MON3" s="0"/>
      <c r="MOO3" s="0"/>
      <c r="MOP3" s="0"/>
      <c r="MOQ3" s="0"/>
      <c r="MOR3" s="0"/>
      <c r="MOS3" s="0"/>
      <c r="MOT3" s="0"/>
      <c r="MOU3" s="0"/>
      <c r="MOV3" s="0"/>
      <c r="MOW3" s="0"/>
      <c r="MOX3" s="0"/>
      <c r="MOY3" s="0"/>
      <c r="MOZ3" s="0"/>
      <c r="MPA3" s="0"/>
      <c r="MPB3" s="0"/>
      <c r="MPC3" s="0"/>
      <c r="MPD3" s="0"/>
      <c r="MPE3" s="0"/>
      <c r="MPF3" s="0"/>
      <c r="MPG3" s="0"/>
      <c r="MPH3" s="0"/>
      <c r="MPI3" s="0"/>
      <c r="MPJ3" s="0"/>
      <c r="MPK3" s="0"/>
      <c r="MPL3" s="0"/>
      <c r="MPM3" s="0"/>
      <c r="MPN3" s="0"/>
      <c r="MPO3" s="0"/>
      <c r="MPP3" s="0"/>
      <c r="MPQ3" s="0"/>
      <c r="MPR3" s="0"/>
      <c r="MPS3" s="0"/>
      <c r="MPT3" s="0"/>
      <c r="MPU3" s="0"/>
      <c r="MPV3" s="0"/>
      <c r="MPW3" s="0"/>
      <c r="MPX3" s="0"/>
      <c r="MPY3" s="0"/>
      <c r="MPZ3" s="0"/>
      <c r="MQA3" s="0"/>
      <c r="MQB3" s="0"/>
      <c r="MQC3" s="0"/>
      <c r="MQD3" s="0"/>
      <c r="MQE3" s="0"/>
      <c r="MQF3" s="0"/>
      <c r="MQG3" s="0"/>
      <c r="MQH3" s="0"/>
      <c r="MQI3" s="0"/>
      <c r="MQJ3" s="0"/>
      <c r="MQK3" s="0"/>
      <c r="MQL3" s="0"/>
      <c r="MQM3" s="0"/>
      <c r="MQN3" s="0"/>
      <c r="MQO3" s="0"/>
      <c r="MQP3" s="0"/>
      <c r="MQQ3" s="0"/>
      <c r="MQR3" s="0"/>
      <c r="MQS3" s="0"/>
      <c r="MQT3" s="0"/>
      <c r="MQU3" s="0"/>
      <c r="MQV3" s="0"/>
      <c r="MQW3" s="0"/>
      <c r="MQX3" s="0"/>
      <c r="MQY3" s="0"/>
      <c r="MQZ3" s="0"/>
      <c r="MRA3" s="0"/>
      <c r="MRB3" s="0"/>
      <c r="MRC3" s="0"/>
      <c r="MRD3" s="0"/>
      <c r="MRE3" s="0"/>
      <c r="MRF3" s="0"/>
      <c r="MRG3" s="0"/>
      <c r="MRH3" s="0"/>
      <c r="MRI3" s="0"/>
      <c r="MRJ3" s="0"/>
      <c r="MRK3" s="0"/>
      <c r="MRL3" s="0"/>
      <c r="MRM3" s="0"/>
      <c r="MRN3" s="0"/>
      <c r="MRO3" s="0"/>
      <c r="MRP3" s="0"/>
      <c r="MRQ3" s="0"/>
      <c r="MRR3" s="0"/>
      <c r="MRS3" s="0"/>
      <c r="MRT3" s="0"/>
      <c r="MRU3" s="0"/>
      <c r="MRV3" s="0"/>
      <c r="MRW3" s="0"/>
      <c r="MRX3" s="0"/>
      <c r="MRY3" s="0"/>
      <c r="MRZ3" s="0"/>
      <c r="MSA3" s="0"/>
      <c r="MSB3" s="0"/>
      <c r="MSC3" s="0"/>
      <c r="MSD3" s="0"/>
      <c r="MSE3" s="0"/>
      <c r="MSF3" s="0"/>
      <c r="MSG3" s="0"/>
      <c r="MSH3" s="0"/>
      <c r="MSI3" s="0"/>
      <c r="MSJ3" s="0"/>
      <c r="MSK3" s="0"/>
      <c r="MSL3" s="0"/>
      <c r="MSM3" s="0"/>
      <c r="MSN3" s="0"/>
      <c r="MSO3" s="0"/>
      <c r="MSP3" s="0"/>
      <c r="MSQ3" s="0"/>
      <c r="MSR3" s="0"/>
      <c r="MSS3" s="0"/>
      <c r="MST3" s="0"/>
      <c r="MSU3" s="0"/>
      <c r="MSV3" s="0"/>
      <c r="MSW3" s="0"/>
      <c r="MSX3" s="0"/>
      <c r="MSY3" s="0"/>
      <c r="MSZ3" s="0"/>
      <c r="MTA3" s="0"/>
      <c r="MTB3" s="0"/>
      <c r="MTC3" s="0"/>
      <c r="MTD3" s="0"/>
      <c r="MTE3" s="0"/>
      <c r="MTF3" s="0"/>
      <c r="MTG3" s="0"/>
      <c r="MTH3" s="0"/>
      <c r="MTI3" s="0"/>
      <c r="MTJ3" s="0"/>
      <c r="MTK3" s="0"/>
      <c r="MTL3" s="0"/>
      <c r="MTM3" s="0"/>
      <c r="MTN3" s="0"/>
      <c r="MTO3" s="0"/>
      <c r="MTP3" s="0"/>
      <c r="MTQ3" s="0"/>
      <c r="MTR3" s="0"/>
      <c r="MTS3" s="0"/>
      <c r="MTT3" s="0"/>
      <c r="MTU3" s="0"/>
      <c r="MTV3" s="0"/>
      <c r="MTW3" s="0"/>
      <c r="MTX3" s="0"/>
      <c r="MTY3" s="0"/>
      <c r="MTZ3" s="0"/>
      <c r="MUA3" s="0"/>
      <c r="MUB3" s="0"/>
      <c r="MUC3" s="0"/>
      <c r="MUD3" s="0"/>
      <c r="MUE3" s="0"/>
      <c r="MUF3" s="0"/>
      <c r="MUG3" s="0"/>
      <c r="MUH3" s="0"/>
      <c r="MUI3" s="0"/>
      <c r="MUJ3" s="0"/>
      <c r="MUK3" s="0"/>
      <c r="MUL3" s="0"/>
      <c r="MUM3" s="0"/>
      <c r="MUN3" s="0"/>
      <c r="MUO3" s="0"/>
      <c r="MUP3" s="0"/>
      <c r="MUQ3" s="0"/>
      <c r="MUR3" s="0"/>
      <c r="MUS3" s="0"/>
      <c r="MUT3" s="0"/>
      <c r="MUU3" s="0"/>
      <c r="MUV3" s="0"/>
      <c r="MUW3" s="0"/>
      <c r="MUX3" s="0"/>
      <c r="MUY3" s="0"/>
      <c r="MUZ3" s="0"/>
      <c r="MVA3" s="0"/>
      <c r="MVB3" s="0"/>
      <c r="MVC3" s="0"/>
      <c r="MVD3" s="0"/>
      <c r="MVE3" s="0"/>
      <c r="MVF3" s="0"/>
      <c r="MVG3" s="0"/>
      <c r="MVH3" s="0"/>
      <c r="MVI3" s="0"/>
      <c r="MVJ3" s="0"/>
      <c r="MVK3" s="0"/>
      <c r="MVL3" s="0"/>
      <c r="MVM3" s="0"/>
      <c r="MVN3" s="0"/>
      <c r="MVO3" s="0"/>
      <c r="MVP3" s="0"/>
      <c r="MVQ3" s="0"/>
      <c r="MVR3" s="0"/>
      <c r="MVS3" s="0"/>
      <c r="MVT3" s="0"/>
      <c r="MVU3" s="0"/>
      <c r="MVV3" s="0"/>
      <c r="MVW3" s="0"/>
      <c r="MVX3" s="0"/>
      <c r="MVY3" s="0"/>
      <c r="MVZ3" s="0"/>
      <c r="MWA3" s="0"/>
      <c r="MWB3" s="0"/>
      <c r="MWC3" s="0"/>
      <c r="MWD3" s="0"/>
      <c r="MWE3" s="0"/>
      <c r="MWF3" s="0"/>
      <c r="MWG3" s="0"/>
      <c r="MWH3" s="0"/>
      <c r="MWI3" s="0"/>
      <c r="MWJ3" s="0"/>
      <c r="MWK3" s="0"/>
      <c r="MWL3" s="0"/>
      <c r="MWM3" s="0"/>
      <c r="MWN3" s="0"/>
      <c r="MWO3" s="0"/>
      <c r="MWP3" s="0"/>
      <c r="MWQ3" s="0"/>
      <c r="MWR3" s="0"/>
      <c r="MWS3" s="0"/>
      <c r="MWT3" s="0"/>
      <c r="MWU3" s="0"/>
      <c r="MWV3" s="0"/>
      <c r="MWW3" s="0"/>
      <c r="MWX3" s="0"/>
      <c r="MWY3" s="0"/>
      <c r="MWZ3" s="0"/>
      <c r="MXA3" s="0"/>
      <c r="MXB3" s="0"/>
      <c r="MXC3" s="0"/>
      <c r="MXD3" s="0"/>
      <c r="MXE3" s="0"/>
      <c r="MXF3" s="0"/>
      <c r="MXG3" s="0"/>
      <c r="MXH3" s="0"/>
      <c r="MXI3" s="0"/>
      <c r="MXJ3" s="0"/>
      <c r="MXK3" s="0"/>
      <c r="MXL3" s="0"/>
      <c r="MXM3" s="0"/>
      <c r="MXN3" s="0"/>
      <c r="MXO3" s="0"/>
      <c r="MXP3" s="0"/>
      <c r="MXQ3" s="0"/>
      <c r="MXR3" s="0"/>
      <c r="MXS3" s="0"/>
      <c r="MXT3" s="0"/>
      <c r="MXU3" s="0"/>
      <c r="MXV3" s="0"/>
      <c r="MXW3" s="0"/>
      <c r="MXX3" s="0"/>
      <c r="MXY3" s="0"/>
      <c r="MXZ3" s="0"/>
      <c r="MYA3" s="0"/>
      <c r="MYB3" s="0"/>
      <c r="MYC3" s="0"/>
      <c r="MYD3" s="0"/>
      <c r="MYE3" s="0"/>
      <c r="MYF3" s="0"/>
      <c r="MYG3" s="0"/>
      <c r="MYH3" s="0"/>
      <c r="MYI3" s="0"/>
      <c r="MYJ3" s="0"/>
      <c r="MYK3" s="0"/>
      <c r="MYL3" s="0"/>
      <c r="MYM3" s="0"/>
      <c r="MYN3" s="0"/>
      <c r="MYO3" s="0"/>
      <c r="MYP3" s="0"/>
      <c r="MYQ3" s="0"/>
      <c r="MYR3" s="0"/>
      <c r="MYS3" s="0"/>
      <c r="MYT3" s="0"/>
      <c r="MYU3" s="0"/>
      <c r="MYV3" s="0"/>
      <c r="MYW3" s="0"/>
      <c r="MYX3" s="0"/>
      <c r="MYY3" s="0"/>
      <c r="MYZ3" s="0"/>
      <c r="MZA3" s="0"/>
      <c r="MZB3" s="0"/>
      <c r="MZC3" s="0"/>
      <c r="MZD3" s="0"/>
      <c r="MZE3" s="0"/>
      <c r="MZF3" s="0"/>
      <c r="MZG3" s="0"/>
      <c r="MZH3" s="0"/>
      <c r="MZI3" s="0"/>
      <c r="MZJ3" s="0"/>
      <c r="MZK3" s="0"/>
      <c r="MZL3" s="0"/>
      <c r="MZM3" s="0"/>
      <c r="MZN3" s="0"/>
      <c r="MZO3" s="0"/>
      <c r="MZP3" s="0"/>
      <c r="MZQ3" s="0"/>
      <c r="MZR3" s="0"/>
      <c r="MZS3" s="0"/>
      <c r="MZT3" s="0"/>
      <c r="MZU3" s="0"/>
      <c r="MZV3" s="0"/>
      <c r="MZW3" s="0"/>
      <c r="MZX3" s="0"/>
      <c r="MZY3" s="0"/>
      <c r="MZZ3" s="0"/>
      <c r="NAA3" s="0"/>
      <c r="NAB3" s="0"/>
      <c r="NAC3" s="0"/>
      <c r="NAD3" s="0"/>
      <c r="NAE3" s="0"/>
      <c r="NAF3" s="0"/>
      <c r="NAG3" s="0"/>
      <c r="NAH3" s="0"/>
      <c r="NAI3" s="0"/>
      <c r="NAJ3" s="0"/>
      <c r="NAK3" s="0"/>
      <c r="NAL3" s="0"/>
      <c r="NAM3" s="0"/>
      <c r="NAN3" s="0"/>
      <c r="NAO3" s="0"/>
      <c r="NAP3" s="0"/>
      <c r="NAQ3" s="0"/>
      <c r="NAR3" s="0"/>
      <c r="NAS3" s="0"/>
      <c r="NAT3" s="0"/>
      <c r="NAU3" s="0"/>
      <c r="NAV3" s="0"/>
      <c r="NAW3" s="0"/>
      <c r="NAX3" s="0"/>
      <c r="NAY3" s="0"/>
      <c r="NAZ3" s="0"/>
      <c r="NBA3" s="0"/>
      <c r="NBB3" s="0"/>
      <c r="NBC3" s="0"/>
      <c r="NBD3" s="0"/>
      <c r="NBE3" s="0"/>
      <c r="NBF3" s="0"/>
      <c r="NBG3" s="0"/>
      <c r="NBH3" s="0"/>
      <c r="NBI3" s="0"/>
      <c r="NBJ3" s="0"/>
      <c r="NBK3" s="0"/>
      <c r="NBL3" s="0"/>
      <c r="NBM3" s="0"/>
      <c r="NBN3" s="0"/>
      <c r="NBO3" s="0"/>
      <c r="NBP3" s="0"/>
      <c r="NBQ3" s="0"/>
      <c r="NBR3" s="0"/>
      <c r="NBS3" s="0"/>
      <c r="NBT3" s="0"/>
      <c r="NBU3" s="0"/>
      <c r="NBV3" s="0"/>
      <c r="NBW3" s="0"/>
      <c r="NBX3" s="0"/>
      <c r="NBY3" s="0"/>
      <c r="NBZ3" s="0"/>
      <c r="NCA3" s="0"/>
      <c r="NCB3" s="0"/>
      <c r="NCC3" s="0"/>
      <c r="NCD3" s="0"/>
      <c r="NCE3" s="0"/>
      <c r="NCF3" s="0"/>
      <c r="NCG3" s="0"/>
      <c r="NCH3" s="0"/>
      <c r="NCI3" s="0"/>
      <c r="NCJ3" s="0"/>
      <c r="NCK3" s="0"/>
      <c r="NCL3" s="0"/>
      <c r="NCM3" s="0"/>
      <c r="NCN3" s="0"/>
      <c r="NCO3" s="0"/>
      <c r="NCP3" s="0"/>
      <c r="NCQ3" s="0"/>
      <c r="NCR3" s="0"/>
      <c r="NCS3" s="0"/>
      <c r="NCT3" s="0"/>
      <c r="NCU3" s="0"/>
      <c r="NCV3" s="0"/>
      <c r="NCW3" s="0"/>
      <c r="NCX3" s="0"/>
      <c r="NCY3" s="0"/>
      <c r="NCZ3" s="0"/>
      <c r="NDA3" s="0"/>
      <c r="NDB3" s="0"/>
      <c r="NDC3" s="0"/>
      <c r="NDD3" s="0"/>
      <c r="NDE3" s="0"/>
      <c r="NDF3" s="0"/>
      <c r="NDG3" s="0"/>
      <c r="NDH3" s="0"/>
      <c r="NDI3" s="0"/>
      <c r="NDJ3" s="0"/>
      <c r="NDK3" s="0"/>
      <c r="NDL3" s="0"/>
      <c r="NDM3" s="0"/>
      <c r="NDN3" s="0"/>
      <c r="NDO3" s="0"/>
      <c r="NDP3" s="0"/>
      <c r="NDQ3" s="0"/>
      <c r="NDR3" s="0"/>
      <c r="NDS3" s="0"/>
      <c r="NDT3" s="0"/>
      <c r="NDU3" s="0"/>
      <c r="NDV3" s="0"/>
      <c r="NDW3" s="0"/>
      <c r="NDX3" s="0"/>
      <c r="NDY3" s="0"/>
      <c r="NDZ3" s="0"/>
      <c r="NEA3" s="0"/>
      <c r="NEB3" s="0"/>
      <c r="NEC3" s="0"/>
      <c r="NED3" s="0"/>
      <c r="NEE3" s="0"/>
      <c r="NEF3" s="0"/>
      <c r="NEG3" s="0"/>
      <c r="NEH3" s="0"/>
      <c r="NEI3" s="0"/>
      <c r="NEJ3" s="0"/>
      <c r="NEK3" s="0"/>
      <c r="NEL3" s="0"/>
      <c r="NEM3" s="0"/>
      <c r="NEN3" s="0"/>
      <c r="NEO3" s="0"/>
      <c r="NEP3" s="0"/>
      <c r="NEQ3" s="0"/>
      <c r="NER3" s="0"/>
      <c r="NES3" s="0"/>
      <c r="NET3" s="0"/>
      <c r="NEU3" s="0"/>
      <c r="NEV3" s="0"/>
      <c r="NEW3" s="0"/>
      <c r="NEX3" s="0"/>
      <c r="NEY3" s="0"/>
      <c r="NEZ3" s="0"/>
      <c r="NFA3" s="0"/>
      <c r="NFB3" s="0"/>
      <c r="NFC3" s="0"/>
      <c r="NFD3" s="0"/>
      <c r="NFE3" s="0"/>
      <c r="NFF3" s="0"/>
      <c r="NFG3" s="0"/>
      <c r="NFH3" s="0"/>
      <c r="NFI3" s="0"/>
      <c r="NFJ3" s="0"/>
      <c r="NFK3" s="0"/>
      <c r="NFL3" s="0"/>
      <c r="NFM3" s="0"/>
      <c r="NFN3" s="0"/>
      <c r="NFO3" s="0"/>
      <c r="NFP3" s="0"/>
      <c r="NFQ3" s="0"/>
      <c r="NFR3" s="0"/>
      <c r="NFS3" s="0"/>
      <c r="NFT3" s="0"/>
      <c r="NFU3" s="0"/>
      <c r="NFV3" s="0"/>
      <c r="NFW3" s="0"/>
      <c r="NFX3" s="0"/>
      <c r="NFY3" s="0"/>
      <c r="NFZ3" s="0"/>
      <c r="NGA3" s="0"/>
      <c r="NGB3" s="0"/>
      <c r="NGC3" s="0"/>
      <c r="NGD3" s="0"/>
      <c r="NGE3" s="0"/>
      <c r="NGF3" s="0"/>
      <c r="NGG3" s="0"/>
      <c r="NGH3" s="0"/>
      <c r="NGI3" s="0"/>
      <c r="NGJ3" s="0"/>
      <c r="NGK3" s="0"/>
      <c r="NGL3" s="0"/>
      <c r="NGM3" s="0"/>
      <c r="NGN3" s="0"/>
      <c r="NGO3" s="0"/>
      <c r="NGP3" s="0"/>
      <c r="NGQ3" s="0"/>
      <c r="NGR3" s="0"/>
      <c r="NGS3" s="0"/>
      <c r="NGT3" s="0"/>
      <c r="NGU3" s="0"/>
      <c r="NGV3" s="0"/>
      <c r="NGW3" s="0"/>
      <c r="NGX3" s="0"/>
      <c r="NGY3" s="0"/>
      <c r="NGZ3" s="0"/>
      <c r="NHA3" s="0"/>
      <c r="NHB3" s="0"/>
      <c r="NHC3" s="0"/>
      <c r="NHD3" s="0"/>
      <c r="NHE3" s="0"/>
      <c r="NHF3" s="0"/>
      <c r="NHG3" s="0"/>
      <c r="NHH3" s="0"/>
      <c r="NHI3" s="0"/>
      <c r="NHJ3" s="0"/>
      <c r="NHK3" s="0"/>
      <c r="NHL3" s="0"/>
      <c r="NHM3" s="0"/>
      <c r="NHN3" s="0"/>
      <c r="NHO3" s="0"/>
      <c r="NHP3" s="0"/>
      <c r="NHQ3" s="0"/>
      <c r="NHR3" s="0"/>
      <c r="NHS3" s="0"/>
      <c r="NHT3" s="0"/>
      <c r="NHU3" s="0"/>
      <c r="NHV3" s="0"/>
      <c r="NHW3" s="0"/>
      <c r="NHX3" s="0"/>
      <c r="NHY3" s="0"/>
      <c r="NHZ3" s="0"/>
      <c r="NIA3" s="0"/>
      <c r="NIB3" s="0"/>
      <c r="NIC3" s="0"/>
      <c r="NID3" s="0"/>
      <c r="NIE3" s="0"/>
      <c r="NIF3" s="0"/>
      <c r="NIG3" s="0"/>
      <c r="NIH3" s="0"/>
      <c r="NII3" s="0"/>
      <c r="NIJ3" s="0"/>
      <c r="NIK3" s="0"/>
      <c r="NIL3" s="0"/>
      <c r="NIM3" s="0"/>
      <c r="NIN3" s="0"/>
      <c r="NIO3" s="0"/>
      <c r="NIP3" s="0"/>
      <c r="NIQ3" s="0"/>
      <c r="NIR3" s="0"/>
      <c r="NIS3" s="0"/>
      <c r="NIT3" s="0"/>
      <c r="NIU3" s="0"/>
      <c r="NIV3" s="0"/>
      <c r="NIW3" s="0"/>
      <c r="NIX3" s="0"/>
      <c r="NIY3" s="0"/>
      <c r="NIZ3" s="0"/>
      <c r="NJA3" s="0"/>
      <c r="NJB3" s="0"/>
      <c r="NJC3" s="0"/>
      <c r="NJD3" s="0"/>
      <c r="NJE3" s="0"/>
      <c r="NJF3" s="0"/>
      <c r="NJG3" s="0"/>
      <c r="NJH3" s="0"/>
      <c r="NJI3" s="0"/>
      <c r="NJJ3" s="0"/>
      <c r="NJK3" s="0"/>
      <c r="NJL3" s="0"/>
      <c r="NJM3" s="0"/>
      <c r="NJN3" s="0"/>
      <c r="NJO3" s="0"/>
      <c r="NJP3" s="0"/>
      <c r="NJQ3" s="0"/>
      <c r="NJR3" s="0"/>
      <c r="NJS3" s="0"/>
      <c r="NJT3" s="0"/>
      <c r="NJU3" s="0"/>
      <c r="NJV3" s="0"/>
      <c r="NJW3" s="0"/>
      <c r="NJX3" s="0"/>
      <c r="NJY3" s="0"/>
      <c r="NJZ3" s="0"/>
      <c r="NKA3" s="0"/>
      <c r="NKB3" s="0"/>
      <c r="NKC3" s="0"/>
      <c r="NKD3" s="0"/>
      <c r="NKE3" s="0"/>
      <c r="NKF3" s="0"/>
      <c r="NKG3" s="0"/>
      <c r="NKH3" s="0"/>
      <c r="NKI3" s="0"/>
      <c r="NKJ3" s="0"/>
      <c r="NKK3" s="0"/>
      <c r="NKL3" s="0"/>
      <c r="NKM3" s="0"/>
      <c r="NKN3" s="0"/>
      <c r="NKO3" s="0"/>
      <c r="NKP3" s="0"/>
      <c r="NKQ3" s="0"/>
      <c r="NKR3" s="0"/>
      <c r="NKS3" s="0"/>
      <c r="NKT3" s="0"/>
      <c r="NKU3" s="0"/>
      <c r="NKV3" s="0"/>
      <c r="NKW3" s="0"/>
      <c r="NKX3" s="0"/>
      <c r="NKY3" s="0"/>
      <c r="NKZ3" s="0"/>
      <c r="NLA3" s="0"/>
      <c r="NLB3" s="0"/>
      <c r="NLC3" s="0"/>
      <c r="NLD3" s="0"/>
      <c r="NLE3" s="0"/>
      <c r="NLF3" s="0"/>
      <c r="NLG3" s="0"/>
      <c r="NLH3" s="0"/>
      <c r="NLI3" s="0"/>
      <c r="NLJ3" s="0"/>
      <c r="NLK3" s="0"/>
      <c r="NLL3" s="0"/>
      <c r="NLM3" s="0"/>
      <c r="NLN3" s="0"/>
      <c r="NLO3" s="0"/>
      <c r="NLP3" s="0"/>
      <c r="NLQ3" s="0"/>
      <c r="NLR3" s="0"/>
      <c r="NLS3" s="0"/>
      <c r="NLT3" s="0"/>
      <c r="NLU3" s="0"/>
      <c r="NLV3" s="0"/>
      <c r="NLW3" s="0"/>
      <c r="NLX3" s="0"/>
      <c r="NLY3" s="0"/>
      <c r="NLZ3" s="0"/>
      <c r="NMA3" s="0"/>
      <c r="NMB3" s="0"/>
      <c r="NMC3" s="0"/>
      <c r="NMD3" s="0"/>
      <c r="NME3" s="0"/>
      <c r="NMF3" s="0"/>
      <c r="NMG3" s="0"/>
      <c r="NMH3" s="0"/>
      <c r="NMI3" s="0"/>
      <c r="NMJ3" s="0"/>
      <c r="NMK3" s="0"/>
      <c r="NML3" s="0"/>
      <c r="NMM3" s="0"/>
      <c r="NMN3" s="0"/>
      <c r="NMO3" s="0"/>
      <c r="NMP3" s="0"/>
      <c r="NMQ3" s="0"/>
      <c r="NMR3" s="0"/>
      <c r="NMS3" s="0"/>
      <c r="NMT3" s="0"/>
      <c r="NMU3" s="0"/>
      <c r="NMV3" s="0"/>
      <c r="NMW3" s="0"/>
      <c r="NMX3" s="0"/>
      <c r="NMY3" s="0"/>
      <c r="NMZ3" s="0"/>
      <c r="NNA3" s="0"/>
      <c r="NNB3" s="0"/>
      <c r="NNC3" s="0"/>
      <c r="NND3" s="0"/>
      <c r="NNE3" s="0"/>
      <c r="NNF3" s="0"/>
      <c r="NNG3" s="0"/>
      <c r="NNH3" s="0"/>
      <c r="NNI3" s="0"/>
      <c r="NNJ3" s="0"/>
      <c r="NNK3" s="0"/>
      <c r="NNL3" s="0"/>
      <c r="NNM3" s="0"/>
      <c r="NNN3" s="0"/>
      <c r="NNO3" s="0"/>
      <c r="NNP3" s="0"/>
      <c r="NNQ3" s="0"/>
      <c r="NNR3" s="0"/>
      <c r="NNS3" s="0"/>
      <c r="NNT3" s="0"/>
      <c r="NNU3" s="0"/>
      <c r="NNV3" s="0"/>
      <c r="NNW3" s="0"/>
      <c r="NNX3" s="0"/>
      <c r="NNY3" s="0"/>
      <c r="NNZ3" s="0"/>
      <c r="NOA3" s="0"/>
      <c r="NOB3" s="0"/>
      <c r="NOC3" s="0"/>
      <c r="NOD3" s="0"/>
      <c r="NOE3" s="0"/>
      <c r="NOF3" s="0"/>
      <c r="NOG3" s="0"/>
      <c r="NOH3" s="0"/>
      <c r="NOI3" s="0"/>
      <c r="NOJ3" s="0"/>
      <c r="NOK3" s="0"/>
      <c r="NOL3" s="0"/>
      <c r="NOM3" s="0"/>
      <c r="NON3" s="0"/>
      <c r="NOO3" s="0"/>
      <c r="NOP3" s="0"/>
      <c r="NOQ3" s="0"/>
      <c r="NOR3" s="0"/>
      <c r="NOS3" s="0"/>
      <c r="NOT3" s="0"/>
      <c r="NOU3" s="0"/>
      <c r="NOV3" s="0"/>
      <c r="NOW3" s="0"/>
      <c r="NOX3" s="0"/>
      <c r="NOY3" s="0"/>
      <c r="NOZ3" s="0"/>
      <c r="NPA3" s="0"/>
      <c r="NPB3" s="0"/>
      <c r="NPC3" s="0"/>
      <c r="NPD3" s="0"/>
      <c r="NPE3" s="0"/>
      <c r="NPF3" s="0"/>
      <c r="NPG3" s="0"/>
      <c r="NPH3" s="0"/>
      <c r="NPI3" s="0"/>
      <c r="NPJ3" s="0"/>
      <c r="NPK3" s="0"/>
      <c r="NPL3" s="0"/>
      <c r="NPM3" s="0"/>
      <c r="NPN3" s="0"/>
      <c r="NPO3" s="0"/>
      <c r="NPP3" s="0"/>
      <c r="NPQ3" s="0"/>
      <c r="NPR3" s="0"/>
      <c r="NPS3" s="0"/>
      <c r="NPT3" s="0"/>
      <c r="NPU3" s="0"/>
      <c r="NPV3" s="0"/>
      <c r="NPW3" s="0"/>
      <c r="NPX3" s="0"/>
      <c r="NPY3" s="0"/>
      <c r="NPZ3" s="0"/>
      <c r="NQA3" s="0"/>
      <c r="NQB3" s="0"/>
      <c r="NQC3" s="0"/>
      <c r="NQD3" s="0"/>
      <c r="NQE3" s="0"/>
      <c r="NQF3" s="0"/>
      <c r="NQG3" s="0"/>
      <c r="NQH3" s="0"/>
      <c r="NQI3" s="0"/>
      <c r="NQJ3" s="0"/>
      <c r="NQK3" s="0"/>
      <c r="NQL3" s="0"/>
      <c r="NQM3" s="0"/>
      <c r="NQN3" s="0"/>
      <c r="NQO3" s="0"/>
      <c r="NQP3" s="0"/>
      <c r="NQQ3" s="0"/>
      <c r="NQR3" s="0"/>
      <c r="NQS3" s="0"/>
      <c r="NQT3" s="0"/>
      <c r="NQU3" s="0"/>
      <c r="NQV3" s="0"/>
      <c r="NQW3" s="0"/>
      <c r="NQX3" s="0"/>
      <c r="NQY3" s="0"/>
      <c r="NQZ3" s="0"/>
      <c r="NRA3" s="0"/>
      <c r="NRB3" s="0"/>
      <c r="NRC3" s="0"/>
      <c r="NRD3" s="0"/>
      <c r="NRE3" s="0"/>
      <c r="NRF3" s="0"/>
      <c r="NRG3" s="0"/>
      <c r="NRH3" s="0"/>
      <c r="NRI3" s="0"/>
      <c r="NRJ3" s="0"/>
      <c r="NRK3" s="0"/>
      <c r="NRL3" s="0"/>
      <c r="NRM3" s="0"/>
      <c r="NRN3" s="0"/>
      <c r="NRO3" s="0"/>
      <c r="NRP3" s="0"/>
      <c r="NRQ3" s="0"/>
      <c r="NRR3" s="0"/>
      <c r="NRS3" s="0"/>
      <c r="NRT3" s="0"/>
      <c r="NRU3" s="0"/>
      <c r="NRV3" s="0"/>
      <c r="NRW3" s="0"/>
      <c r="NRX3" s="0"/>
      <c r="NRY3" s="0"/>
      <c r="NRZ3" s="0"/>
      <c r="NSA3" s="0"/>
      <c r="NSB3" s="0"/>
      <c r="NSC3" s="0"/>
      <c r="NSD3" s="0"/>
      <c r="NSE3" s="0"/>
      <c r="NSF3" s="0"/>
      <c r="NSG3" s="0"/>
      <c r="NSH3" s="0"/>
      <c r="NSI3" s="0"/>
      <c r="NSJ3" s="0"/>
      <c r="NSK3" s="0"/>
      <c r="NSL3" s="0"/>
      <c r="NSM3" s="0"/>
      <c r="NSN3" s="0"/>
      <c r="NSO3" s="0"/>
      <c r="NSP3" s="0"/>
      <c r="NSQ3" s="0"/>
      <c r="NSR3" s="0"/>
      <c r="NSS3" s="0"/>
      <c r="NST3" s="0"/>
      <c r="NSU3" s="0"/>
      <c r="NSV3" s="0"/>
      <c r="NSW3" s="0"/>
      <c r="NSX3" s="0"/>
      <c r="NSY3" s="0"/>
      <c r="NSZ3" s="0"/>
      <c r="NTA3" s="0"/>
      <c r="NTB3" s="0"/>
      <c r="NTC3" s="0"/>
      <c r="NTD3" s="0"/>
      <c r="NTE3" s="0"/>
      <c r="NTF3" s="0"/>
      <c r="NTG3" s="0"/>
      <c r="NTH3" s="0"/>
      <c r="NTI3" s="0"/>
      <c r="NTJ3" s="0"/>
      <c r="NTK3" s="0"/>
      <c r="NTL3" s="0"/>
      <c r="NTM3" s="0"/>
      <c r="NTN3" s="0"/>
      <c r="NTO3" s="0"/>
      <c r="NTP3" s="0"/>
      <c r="NTQ3" s="0"/>
      <c r="NTR3" s="0"/>
      <c r="NTS3" s="0"/>
      <c r="NTT3" s="0"/>
      <c r="NTU3" s="0"/>
      <c r="NTV3" s="0"/>
      <c r="NTW3" s="0"/>
      <c r="NTX3" s="0"/>
      <c r="NTY3" s="0"/>
      <c r="NTZ3" s="0"/>
      <c r="NUA3" s="0"/>
      <c r="NUB3" s="0"/>
      <c r="NUC3" s="0"/>
      <c r="NUD3" s="0"/>
      <c r="NUE3" s="0"/>
      <c r="NUF3" s="0"/>
      <c r="NUG3" s="0"/>
      <c r="NUH3" s="0"/>
      <c r="NUI3" s="0"/>
      <c r="NUJ3" s="0"/>
      <c r="NUK3" s="0"/>
      <c r="NUL3" s="0"/>
      <c r="NUM3" s="0"/>
      <c r="NUN3" s="0"/>
      <c r="NUO3" s="0"/>
      <c r="NUP3" s="0"/>
      <c r="NUQ3" s="0"/>
      <c r="NUR3" s="0"/>
      <c r="NUS3" s="0"/>
      <c r="NUT3" s="0"/>
      <c r="NUU3" s="0"/>
      <c r="NUV3" s="0"/>
      <c r="NUW3" s="0"/>
      <c r="NUX3" s="0"/>
      <c r="NUY3" s="0"/>
      <c r="NUZ3" s="0"/>
      <c r="NVA3" s="0"/>
      <c r="NVB3" s="0"/>
      <c r="NVC3" s="0"/>
      <c r="NVD3" s="0"/>
      <c r="NVE3" s="0"/>
      <c r="NVF3" s="0"/>
      <c r="NVG3" s="0"/>
      <c r="NVH3" s="0"/>
      <c r="NVI3" s="0"/>
      <c r="NVJ3" s="0"/>
      <c r="NVK3" s="0"/>
      <c r="NVL3" s="0"/>
      <c r="NVM3" s="0"/>
      <c r="NVN3" s="0"/>
      <c r="NVO3" s="0"/>
      <c r="NVP3" s="0"/>
      <c r="NVQ3" s="0"/>
      <c r="NVR3" s="0"/>
      <c r="NVS3" s="0"/>
      <c r="NVT3" s="0"/>
      <c r="NVU3" s="0"/>
      <c r="NVV3" s="0"/>
      <c r="NVW3" s="0"/>
      <c r="NVX3" s="0"/>
      <c r="NVY3" s="0"/>
      <c r="NVZ3" s="0"/>
      <c r="NWA3" s="0"/>
      <c r="NWB3" s="0"/>
      <c r="NWC3" s="0"/>
      <c r="NWD3" s="0"/>
      <c r="NWE3" s="0"/>
      <c r="NWF3" s="0"/>
      <c r="NWG3" s="0"/>
      <c r="NWH3" s="0"/>
      <c r="NWI3" s="0"/>
      <c r="NWJ3" s="0"/>
      <c r="NWK3" s="0"/>
      <c r="NWL3" s="0"/>
      <c r="NWM3" s="0"/>
      <c r="NWN3" s="0"/>
      <c r="NWO3" s="0"/>
      <c r="NWP3" s="0"/>
      <c r="NWQ3" s="0"/>
      <c r="NWR3" s="0"/>
      <c r="NWS3" s="0"/>
      <c r="NWT3" s="0"/>
      <c r="NWU3" s="0"/>
      <c r="NWV3" s="0"/>
      <c r="NWW3" s="0"/>
      <c r="NWX3" s="0"/>
      <c r="NWY3" s="0"/>
      <c r="NWZ3" s="0"/>
      <c r="NXA3" s="0"/>
      <c r="NXB3" s="0"/>
      <c r="NXC3" s="0"/>
      <c r="NXD3" s="0"/>
      <c r="NXE3" s="0"/>
      <c r="NXF3" s="0"/>
      <c r="NXG3" s="0"/>
      <c r="NXH3" s="0"/>
      <c r="NXI3" s="0"/>
      <c r="NXJ3" s="0"/>
      <c r="NXK3" s="0"/>
      <c r="NXL3" s="0"/>
      <c r="NXM3" s="0"/>
      <c r="NXN3" s="0"/>
      <c r="NXO3" s="0"/>
      <c r="NXP3" s="0"/>
      <c r="NXQ3" s="0"/>
      <c r="NXR3" s="0"/>
      <c r="NXS3" s="0"/>
      <c r="NXT3" s="0"/>
      <c r="NXU3" s="0"/>
      <c r="NXV3" s="0"/>
      <c r="NXW3" s="0"/>
      <c r="NXX3" s="0"/>
      <c r="NXY3" s="0"/>
      <c r="NXZ3" s="0"/>
      <c r="NYA3" s="0"/>
      <c r="NYB3" s="0"/>
      <c r="NYC3" s="0"/>
      <c r="NYD3" s="0"/>
      <c r="NYE3" s="0"/>
      <c r="NYF3" s="0"/>
      <c r="NYG3" s="0"/>
      <c r="NYH3" s="0"/>
      <c r="NYI3" s="0"/>
      <c r="NYJ3" s="0"/>
      <c r="NYK3" s="0"/>
      <c r="NYL3" s="0"/>
      <c r="NYM3" s="0"/>
      <c r="NYN3" s="0"/>
      <c r="NYO3" s="0"/>
      <c r="NYP3" s="0"/>
      <c r="NYQ3" s="0"/>
      <c r="NYR3" s="0"/>
      <c r="NYS3" s="0"/>
      <c r="NYT3" s="0"/>
      <c r="NYU3" s="0"/>
      <c r="NYV3" s="0"/>
      <c r="NYW3" s="0"/>
      <c r="NYX3" s="0"/>
      <c r="NYY3" s="0"/>
      <c r="NYZ3" s="0"/>
      <c r="NZA3" s="0"/>
      <c r="NZB3" s="0"/>
      <c r="NZC3" s="0"/>
      <c r="NZD3" s="0"/>
      <c r="NZE3" s="0"/>
      <c r="NZF3" s="0"/>
      <c r="NZG3" s="0"/>
      <c r="NZH3" s="0"/>
      <c r="NZI3" s="0"/>
      <c r="NZJ3" s="0"/>
      <c r="NZK3" s="0"/>
      <c r="NZL3" s="0"/>
      <c r="NZM3" s="0"/>
      <c r="NZN3" s="0"/>
      <c r="NZO3" s="0"/>
      <c r="NZP3" s="0"/>
      <c r="NZQ3" s="0"/>
      <c r="NZR3" s="0"/>
      <c r="NZS3" s="0"/>
      <c r="NZT3" s="0"/>
      <c r="NZU3" s="0"/>
      <c r="NZV3" s="0"/>
      <c r="NZW3" s="0"/>
      <c r="NZX3" s="0"/>
      <c r="NZY3" s="0"/>
      <c r="NZZ3" s="0"/>
      <c r="OAA3" s="0"/>
      <c r="OAB3" s="0"/>
      <c r="OAC3" s="0"/>
      <c r="OAD3" s="0"/>
      <c r="OAE3" s="0"/>
      <c r="OAF3" s="0"/>
      <c r="OAG3" s="0"/>
      <c r="OAH3" s="0"/>
      <c r="OAI3" s="0"/>
      <c r="OAJ3" s="0"/>
      <c r="OAK3" s="0"/>
      <c r="OAL3" s="0"/>
      <c r="OAM3" s="0"/>
      <c r="OAN3" s="0"/>
      <c r="OAO3" s="0"/>
      <c r="OAP3" s="0"/>
      <c r="OAQ3" s="0"/>
      <c r="OAR3" s="0"/>
      <c r="OAS3" s="0"/>
      <c r="OAT3" s="0"/>
      <c r="OAU3" s="0"/>
      <c r="OAV3" s="0"/>
      <c r="OAW3" s="0"/>
      <c r="OAX3" s="0"/>
      <c r="OAY3" s="0"/>
      <c r="OAZ3" s="0"/>
      <c r="OBA3" s="0"/>
      <c r="OBB3" s="0"/>
      <c r="OBC3" s="0"/>
      <c r="OBD3" s="0"/>
      <c r="OBE3" s="0"/>
      <c r="OBF3" s="0"/>
      <c r="OBG3" s="0"/>
      <c r="OBH3" s="0"/>
      <c r="OBI3" s="0"/>
      <c r="OBJ3" s="0"/>
      <c r="OBK3" s="0"/>
      <c r="OBL3" s="0"/>
      <c r="OBM3" s="0"/>
      <c r="OBN3" s="0"/>
      <c r="OBO3" s="0"/>
      <c r="OBP3" s="0"/>
      <c r="OBQ3" s="0"/>
      <c r="OBR3" s="0"/>
      <c r="OBS3" s="0"/>
      <c r="OBT3" s="0"/>
      <c r="OBU3" s="0"/>
      <c r="OBV3" s="0"/>
      <c r="OBW3" s="0"/>
      <c r="OBX3" s="0"/>
      <c r="OBY3" s="0"/>
      <c r="OBZ3" s="0"/>
      <c r="OCA3" s="0"/>
      <c r="OCB3" s="0"/>
      <c r="OCC3" s="0"/>
      <c r="OCD3" s="0"/>
      <c r="OCE3" s="0"/>
      <c r="OCF3" s="0"/>
      <c r="OCG3" s="0"/>
      <c r="OCH3" s="0"/>
      <c r="OCI3" s="0"/>
      <c r="OCJ3" s="0"/>
      <c r="OCK3" s="0"/>
      <c r="OCL3" s="0"/>
      <c r="OCM3" s="0"/>
      <c r="OCN3" s="0"/>
      <c r="OCO3" s="0"/>
      <c r="OCP3" s="0"/>
      <c r="OCQ3" s="0"/>
      <c r="OCR3" s="0"/>
      <c r="OCS3" s="0"/>
      <c r="OCT3" s="0"/>
      <c r="OCU3" s="0"/>
      <c r="OCV3" s="0"/>
      <c r="OCW3" s="0"/>
      <c r="OCX3" s="0"/>
      <c r="OCY3" s="0"/>
      <c r="OCZ3" s="0"/>
      <c r="ODA3" s="0"/>
      <c r="ODB3" s="0"/>
      <c r="ODC3" s="0"/>
      <c r="ODD3" s="0"/>
      <c r="ODE3" s="0"/>
      <c r="ODF3" s="0"/>
      <c r="ODG3" s="0"/>
      <c r="ODH3" s="0"/>
      <c r="ODI3" s="0"/>
      <c r="ODJ3" s="0"/>
      <c r="ODK3" s="0"/>
      <c r="ODL3" s="0"/>
      <c r="ODM3" s="0"/>
      <c r="ODN3" s="0"/>
      <c r="ODO3" s="0"/>
      <c r="ODP3" s="0"/>
      <c r="ODQ3" s="0"/>
      <c r="ODR3" s="0"/>
      <c r="ODS3" s="0"/>
      <c r="ODT3" s="0"/>
      <c r="ODU3" s="0"/>
      <c r="ODV3" s="0"/>
      <c r="ODW3" s="0"/>
      <c r="ODX3" s="0"/>
      <c r="ODY3" s="0"/>
      <c r="ODZ3" s="0"/>
      <c r="OEA3" s="0"/>
      <c r="OEB3" s="0"/>
      <c r="OEC3" s="0"/>
      <c r="OED3" s="0"/>
      <c r="OEE3" s="0"/>
      <c r="OEF3" s="0"/>
      <c r="OEG3" s="0"/>
      <c r="OEH3" s="0"/>
      <c r="OEI3" s="0"/>
      <c r="OEJ3" s="0"/>
      <c r="OEK3" s="0"/>
      <c r="OEL3" s="0"/>
      <c r="OEM3" s="0"/>
      <c r="OEN3" s="0"/>
      <c r="OEO3" s="0"/>
      <c r="OEP3" s="0"/>
      <c r="OEQ3" s="0"/>
      <c r="OER3" s="0"/>
      <c r="OES3" s="0"/>
      <c r="OET3" s="0"/>
      <c r="OEU3" s="0"/>
      <c r="OEV3" s="0"/>
      <c r="OEW3" s="0"/>
      <c r="OEX3" s="0"/>
      <c r="OEY3" s="0"/>
      <c r="OEZ3" s="0"/>
      <c r="OFA3" s="0"/>
      <c r="OFB3" s="0"/>
      <c r="OFC3" s="0"/>
      <c r="OFD3" s="0"/>
      <c r="OFE3" s="0"/>
      <c r="OFF3" s="0"/>
      <c r="OFG3" s="0"/>
      <c r="OFH3" s="0"/>
      <c r="OFI3" s="0"/>
      <c r="OFJ3" s="0"/>
      <c r="OFK3" s="0"/>
      <c r="OFL3" s="0"/>
      <c r="OFM3" s="0"/>
      <c r="OFN3" s="0"/>
      <c r="OFO3" s="0"/>
      <c r="OFP3" s="0"/>
      <c r="OFQ3" s="0"/>
      <c r="OFR3" s="0"/>
      <c r="OFS3" s="0"/>
      <c r="OFT3" s="0"/>
      <c r="OFU3" s="0"/>
      <c r="OFV3" s="0"/>
      <c r="OFW3" s="0"/>
      <c r="OFX3" s="0"/>
      <c r="OFY3" s="0"/>
      <c r="OFZ3" s="0"/>
      <c r="OGA3" s="0"/>
      <c r="OGB3" s="0"/>
      <c r="OGC3" s="0"/>
      <c r="OGD3" s="0"/>
      <c r="OGE3" s="0"/>
      <c r="OGF3" s="0"/>
      <c r="OGG3" s="0"/>
      <c r="OGH3" s="0"/>
      <c r="OGI3" s="0"/>
      <c r="OGJ3" s="0"/>
      <c r="OGK3" s="0"/>
      <c r="OGL3" s="0"/>
      <c r="OGM3" s="0"/>
      <c r="OGN3" s="0"/>
      <c r="OGO3" s="0"/>
      <c r="OGP3" s="0"/>
      <c r="OGQ3" s="0"/>
      <c r="OGR3" s="0"/>
      <c r="OGS3" s="0"/>
      <c r="OGT3" s="0"/>
      <c r="OGU3" s="0"/>
      <c r="OGV3" s="0"/>
      <c r="OGW3" s="0"/>
      <c r="OGX3" s="0"/>
      <c r="OGY3" s="0"/>
      <c r="OGZ3" s="0"/>
      <c r="OHA3" s="0"/>
      <c r="OHB3" s="0"/>
      <c r="OHC3" s="0"/>
      <c r="OHD3" s="0"/>
      <c r="OHE3" s="0"/>
      <c r="OHF3" s="0"/>
      <c r="OHG3" s="0"/>
      <c r="OHH3" s="0"/>
      <c r="OHI3" s="0"/>
      <c r="OHJ3" s="0"/>
      <c r="OHK3" s="0"/>
      <c r="OHL3" s="0"/>
      <c r="OHM3" s="0"/>
      <c r="OHN3" s="0"/>
      <c r="OHO3" s="0"/>
      <c r="OHP3" s="0"/>
      <c r="OHQ3" s="0"/>
      <c r="OHR3" s="0"/>
      <c r="OHS3" s="0"/>
      <c r="OHT3" s="0"/>
      <c r="OHU3" s="0"/>
      <c r="OHV3" s="0"/>
      <c r="OHW3" s="0"/>
      <c r="OHX3" s="0"/>
      <c r="OHY3" s="0"/>
      <c r="OHZ3" s="0"/>
      <c r="OIA3" s="0"/>
      <c r="OIB3" s="0"/>
      <c r="OIC3" s="0"/>
      <c r="OID3" s="0"/>
      <c r="OIE3" s="0"/>
      <c r="OIF3" s="0"/>
      <c r="OIG3" s="0"/>
      <c r="OIH3" s="0"/>
      <c r="OII3" s="0"/>
      <c r="OIJ3" s="0"/>
      <c r="OIK3" s="0"/>
      <c r="OIL3" s="0"/>
      <c r="OIM3" s="0"/>
      <c r="OIN3" s="0"/>
      <c r="OIO3" s="0"/>
      <c r="OIP3" s="0"/>
      <c r="OIQ3" s="0"/>
      <c r="OIR3" s="0"/>
      <c r="OIS3" s="0"/>
      <c r="OIT3" s="0"/>
      <c r="OIU3" s="0"/>
      <c r="OIV3" s="0"/>
      <c r="OIW3" s="0"/>
      <c r="OIX3" s="0"/>
      <c r="OIY3" s="0"/>
      <c r="OIZ3" s="0"/>
      <c r="OJA3" s="0"/>
      <c r="OJB3" s="0"/>
      <c r="OJC3" s="0"/>
      <c r="OJD3" s="0"/>
      <c r="OJE3" s="0"/>
      <c r="OJF3" s="0"/>
      <c r="OJG3" s="0"/>
      <c r="OJH3" s="0"/>
      <c r="OJI3" s="0"/>
      <c r="OJJ3" s="0"/>
      <c r="OJK3" s="0"/>
      <c r="OJL3" s="0"/>
      <c r="OJM3" s="0"/>
      <c r="OJN3" s="0"/>
      <c r="OJO3" s="0"/>
      <c r="OJP3" s="0"/>
      <c r="OJQ3" s="0"/>
      <c r="OJR3" s="0"/>
      <c r="OJS3" s="0"/>
      <c r="OJT3" s="0"/>
      <c r="OJU3" s="0"/>
      <c r="OJV3" s="0"/>
      <c r="OJW3" s="0"/>
      <c r="OJX3" s="0"/>
      <c r="OJY3" s="0"/>
      <c r="OJZ3" s="0"/>
      <c r="OKA3" s="0"/>
      <c r="OKB3" s="0"/>
      <c r="OKC3" s="0"/>
      <c r="OKD3" s="0"/>
      <c r="OKE3" s="0"/>
      <c r="OKF3" s="0"/>
      <c r="OKG3" s="0"/>
      <c r="OKH3" s="0"/>
      <c r="OKI3" s="0"/>
      <c r="OKJ3" s="0"/>
      <c r="OKK3" s="0"/>
      <c r="OKL3" s="0"/>
      <c r="OKM3" s="0"/>
      <c r="OKN3" s="0"/>
      <c r="OKO3" s="0"/>
      <c r="OKP3" s="0"/>
      <c r="OKQ3" s="0"/>
      <c r="OKR3" s="0"/>
      <c r="OKS3" s="0"/>
      <c r="OKT3" s="0"/>
      <c r="OKU3" s="0"/>
      <c r="OKV3" s="0"/>
      <c r="OKW3" s="0"/>
      <c r="OKX3" s="0"/>
      <c r="OKY3" s="0"/>
      <c r="OKZ3" s="0"/>
      <c r="OLA3" s="0"/>
      <c r="OLB3" s="0"/>
      <c r="OLC3" s="0"/>
      <c r="OLD3" s="0"/>
      <c r="OLE3" s="0"/>
      <c r="OLF3" s="0"/>
      <c r="OLG3" s="0"/>
      <c r="OLH3" s="0"/>
      <c r="OLI3" s="0"/>
      <c r="OLJ3" s="0"/>
      <c r="OLK3" s="0"/>
      <c r="OLL3" s="0"/>
      <c r="OLM3" s="0"/>
      <c r="OLN3" s="0"/>
      <c r="OLO3" s="0"/>
      <c r="OLP3" s="0"/>
      <c r="OLQ3" s="0"/>
      <c r="OLR3" s="0"/>
      <c r="OLS3" s="0"/>
      <c r="OLT3" s="0"/>
      <c r="OLU3" s="0"/>
      <c r="OLV3" s="0"/>
      <c r="OLW3" s="0"/>
      <c r="OLX3" s="0"/>
      <c r="OLY3" s="0"/>
      <c r="OLZ3" s="0"/>
      <c r="OMA3" s="0"/>
      <c r="OMB3" s="0"/>
      <c r="OMC3" s="0"/>
      <c r="OMD3" s="0"/>
      <c r="OME3" s="0"/>
      <c r="OMF3" s="0"/>
      <c r="OMG3" s="0"/>
      <c r="OMH3" s="0"/>
      <c r="OMI3" s="0"/>
      <c r="OMJ3" s="0"/>
      <c r="OMK3" s="0"/>
      <c r="OML3" s="0"/>
      <c r="OMM3" s="0"/>
      <c r="OMN3" s="0"/>
      <c r="OMO3" s="0"/>
      <c r="OMP3" s="0"/>
      <c r="OMQ3" s="0"/>
      <c r="OMR3" s="0"/>
      <c r="OMS3" s="0"/>
      <c r="OMT3" s="0"/>
      <c r="OMU3" s="0"/>
      <c r="OMV3" s="0"/>
      <c r="OMW3" s="0"/>
      <c r="OMX3" s="0"/>
      <c r="OMY3" s="0"/>
      <c r="OMZ3" s="0"/>
      <c r="ONA3" s="0"/>
      <c r="ONB3" s="0"/>
      <c r="ONC3" s="0"/>
      <c r="OND3" s="0"/>
      <c r="ONE3" s="0"/>
      <c r="ONF3" s="0"/>
      <c r="ONG3" s="0"/>
      <c r="ONH3" s="0"/>
      <c r="ONI3" s="0"/>
      <c r="ONJ3" s="0"/>
      <c r="ONK3" s="0"/>
      <c r="ONL3" s="0"/>
      <c r="ONM3" s="0"/>
      <c r="ONN3" s="0"/>
      <c r="ONO3" s="0"/>
      <c r="ONP3" s="0"/>
      <c r="ONQ3" s="0"/>
      <c r="ONR3" s="0"/>
      <c r="ONS3" s="0"/>
      <c r="ONT3" s="0"/>
      <c r="ONU3" s="0"/>
      <c r="ONV3" s="0"/>
      <c r="ONW3" s="0"/>
      <c r="ONX3" s="0"/>
      <c r="ONY3" s="0"/>
      <c r="ONZ3" s="0"/>
      <c r="OOA3" s="0"/>
      <c r="OOB3" s="0"/>
      <c r="OOC3" s="0"/>
      <c r="OOD3" s="0"/>
      <c r="OOE3" s="0"/>
      <c r="OOF3" s="0"/>
      <c r="OOG3" s="0"/>
      <c r="OOH3" s="0"/>
      <c r="OOI3" s="0"/>
      <c r="OOJ3" s="0"/>
      <c r="OOK3" s="0"/>
      <c r="OOL3" s="0"/>
      <c r="OOM3" s="0"/>
      <c r="OON3" s="0"/>
      <c r="OOO3" s="0"/>
      <c r="OOP3" s="0"/>
      <c r="OOQ3" s="0"/>
      <c r="OOR3" s="0"/>
      <c r="OOS3" s="0"/>
      <c r="OOT3" s="0"/>
      <c r="OOU3" s="0"/>
      <c r="OOV3" s="0"/>
      <c r="OOW3" s="0"/>
      <c r="OOX3" s="0"/>
      <c r="OOY3" s="0"/>
      <c r="OOZ3" s="0"/>
      <c r="OPA3" s="0"/>
      <c r="OPB3" s="0"/>
      <c r="OPC3" s="0"/>
      <c r="OPD3" s="0"/>
      <c r="OPE3" s="0"/>
      <c r="OPF3" s="0"/>
      <c r="OPG3" s="0"/>
      <c r="OPH3" s="0"/>
      <c r="OPI3" s="0"/>
      <c r="OPJ3" s="0"/>
      <c r="OPK3" s="0"/>
      <c r="OPL3" s="0"/>
      <c r="OPM3" s="0"/>
      <c r="OPN3" s="0"/>
      <c r="OPO3" s="0"/>
      <c r="OPP3" s="0"/>
      <c r="OPQ3" s="0"/>
      <c r="OPR3" s="0"/>
      <c r="OPS3" s="0"/>
      <c r="OPT3" s="0"/>
      <c r="OPU3" s="0"/>
      <c r="OPV3" s="0"/>
      <c r="OPW3" s="0"/>
      <c r="OPX3" s="0"/>
      <c r="OPY3" s="0"/>
      <c r="OPZ3" s="0"/>
      <c r="OQA3" s="0"/>
      <c r="OQB3" s="0"/>
      <c r="OQC3" s="0"/>
      <c r="OQD3" s="0"/>
      <c r="OQE3" s="0"/>
      <c r="OQF3" s="0"/>
      <c r="OQG3" s="0"/>
      <c r="OQH3" s="0"/>
      <c r="OQI3" s="0"/>
      <c r="OQJ3" s="0"/>
      <c r="OQK3" s="0"/>
      <c r="OQL3" s="0"/>
      <c r="OQM3" s="0"/>
      <c r="OQN3" s="0"/>
      <c r="OQO3" s="0"/>
      <c r="OQP3" s="0"/>
      <c r="OQQ3" s="0"/>
      <c r="OQR3" s="0"/>
      <c r="OQS3" s="0"/>
      <c r="OQT3" s="0"/>
      <c r="OQU3" s="0"/>
      <c r="OQV3" s="0"/>
      <c r="OQW3" s="0"/>
      <c r="OQX3" s="0"/>
      <c r="OQY3" s="0"/>
      <c r="OQZ3" s="0"/>
      <c r="ORA3" s="0"/>
      <c r="ORB3" s="0"/>
      <c r="ORC3" s="0"/>
      <c r="ORD3" s="0"/>
      <c r="ORE3" s="0"/>
      <c r="ORF3" s="0"/>
      <c r="ORG3" s="0"/>
      <c r="ORH3" s="0"/>
      <c r="ORI3" s="0"/>
      <c r="ORJ3" s="0"/>
      <c r="ORK3" s="0"/>
      <c r="ORL3" s="0"/>
      <c r="ORM3" s="0"/>
      <c r="ORN3" s="0"/>
      <c r="ORO3" s="0"/>
      <c r="ORP3" s="0"/>
      <c r="ORQ3" s="0"/>
      <c r="ORR3" s="0"/>
      <c r="ORS3" s="0"/>
      <c r="ORT3" s="0"/>
      <c r="ORU3" s="0"/>
      <c r="ORV3" s="0"/>
      <c r="ORW3" s="0"/>
      <c r="ORX3" s="0"/>
      <c r="ORY3" s="0"/>
      <c r="ORZ3" s="0"/>
      <c r="OSA3" s="0"/>
      <c r="OSB3" s="0"/>
      <c r="OSC3" s="0"/>
      <c r="OSD3" s="0"/>
      <c r="OSE3" s="0"/>
      <c r="OSF3" s="0"/>
      <c r="OSG3" s="0"/>
      <c r="OSH3" s="0"/>
      <c r="OSI3" s="0"/>
      <c r="OSJ3" s="0"/>
      <c r="OSK3" s="0"/>
      <c r="OSL3" s="0"/>
      <c r="OSM3" s="0"/>
      <c r="OSN3" s="0"/>
      <c r="OSO3" s="0"/>
      <c r="OSP3" s="0"/>
      <c r="OSQ3" s="0"/>
      <c r="OSR3" s="0"/>
      <c r="OSS3" s="0"/>
      <c r="OST3" s="0"/>
      <c r="OSU3" s="0"/>
      <c r="OSV3" s="0"/>
      <c r="OSW3" s="0"/>
      <c r="OSX3" s="0"/>
      <c r="OSY3" s="0"/>
      <c r="OSZ3" s="0"/>
      <c r="OTA3" s="0"/>
      <c r="OTB3" s="0"/>
      <c r="OTC3" s="0"/>
      <c r="OTD3" s="0"/>
      <c r="OTE3" s="0"/>
      <c r="OTF3" s="0"/>
      <c r="OTG3" s="0"/>
      <c r="OTH3" s="0"/>
      <c r="OTI3" s="0"/>
      <c r="OTJ3" s="0"/>
      <c r="OTK3" s="0"/>
      <c r="OTL3" s="0"/>
      <c r="OTM3" s="0"/>
      <c r="OTN3" s="0"/>
      <c r="OTO3" s="0"/>
      <c r="OTP3" s="0"/>
      <c r="OTQ3" s="0"/>
      <c r="OTR3" s="0"/>
      <c r="OTS3" s="0"/>
      <c r="OTT3" s="0"/>
      <c r="OTU3" s="0"/>
      <c r="OTV3" s="0"/>
      <c r="OTW3" s="0"/>
      <c r="OTX3" s="0"/>
      <c r="OTY3" s="0"/>
      <c r="OTZ3" s="0"/>
      <c r="OUA3" s="0"/>
      <c r="OUB3" s="0"/>
      <c r="OUC3" s="0"/>
      <c r="OUD3" s="0"/>
      <c r="OUE3" s="0"/>
      <c r="OUF3" s="0"/>
      <c r="OUG3" s="0"/>
      <c r="OUH3" s="0"/>
      <c r="OUI3" s="0"/>
      <c r="OUJ3" s="0"/>
      <c r="OUK3" s="0"/>
      <c r="OUL3" s="0"/>
      <c r="OUM3" s="0"/>
      <c r="OUN3" s="0"/>
      <c r="OUO3" s="0"/>
      <c r="OUP3" s="0"/>
      <c r="OUQ3" s="0"/>
      <c r="OUR3" s="0"/>
      <c r="OUS3" s="0"/>
      <c r="OUT3" s="0"/>
      <c r="OUU3" s="0"/>
      <c r="OUV3" s="0"/>
      <c r="OUW3" s="0"/>
      <c r="OUX3" s="0"/>
      <c r="OUY3" s="0"/>
      <c r="OUZ3" s="0"/>
      <c r="OVA3" s="0"/>
      <c r="OVB3" s="0"/>
      <c r="OVC3" s="0"/>
      <c r="OVD3" s="0"/>
      <c r="OVE3" s="0"/>
      <c r="OVF3" s="0"/>
      <c r="OVG3" s="0"/>
      <c r="OVH3" s="0"/>
      <c r="OVI3" s="0"/>
      <c r="OVJ3" s="0"/>
      <c r="OVK3" s="0"/>
      <c r="OVL3" s="0"/>
      <c r="OVM3" s="0"/>
      <c r="OVN3" s="0"/>
      <c r="OVO3" s="0"/>
      <c r="OVP3" s="0"/>
      <c r="OVQ3" s="0"/>
      <c r="OVR3" s="0"/>
      <c r="OVS3" s="0"/>
      <c r="OVT3" s="0"/>
      <c r="OVU3" s="0"/>
      <c r="OVV3" s="0"/>
      <c r="OVW3" s="0"/>
      <c r="OVX3" s="0"/>
      <c r="OVY3" s="0"/>
      <c r="OVZ3" s="0"/>
      <c r="OWA3" s="0"/>
      <c r="OWB3" s="0"/>
      <c r="OWC3" s="0"/>
      <c r="OWD3" s="0"/>
      <c r="OWE3" s="0"/>
      <c r="OWF3" s="0"/>
      <c r="OWG3" s="0"/>
      <c r="OWH3" s="0"/>
      <c r="OWI3" s="0"/>
      <c r="OWJ3" s="0"/>
      <c r="OWK3" s="0"/>
      <c r="OWL3" s="0"/>
      <c r="OWM3" s="0"/>
      <c r="OWN3" s="0"/>
      <c r="OWO3" s="0"/>
      <c r="OWP3" s="0"/>
      <c r="OWQ3" s="0"/>
      <c r="OWR3" s="0"/>
      <c r="OWS3" s="0"/>
      <c r="OWT3" s="0"/>
      <c r="OWU3" s="0"/>
      <c r="OWV3" s="0"/>
      <c r="OWW3" s="0"/>
      <c r="OWX3" s="0"/>
      <c r="OWY3" s="0"/>
      <c r="OWZ3" s="0"/>
      <c r="OXA3" s="0"/>
      <c r="OXB3" s="0"/>
      <c r="OXC3" s="0"/>
      <c r="OXD3" s="0"/>
      <c r="OXE3" s="0"/>
      <c r="OXF3" s="0"/>
      <c r="OXG3" s="0"/>
      <c r="OXH3" s="0"/>
      <c r="OXI3" s="0"/>
      <c r="OXJ3" s="0"/>
      <c r="OXK3" s="0"/>
      <c r="OXL3" s="0"/>
      <c r="OXM3" s="0"/>
      <c r="OXN3" s="0"/>
      <c r="OXO3" s="0"/>
      <c r="OXP3" s="0"/>
      <c r="OXQ3" s="0"/>
      <c r="OXR3" s="0"/>
      <c r="OXS3" s="0"/>
      <c r="OXT3" s="0"/>
      <c r="OXU3" s="0"/>
      <c r="OXV3" s="0"/>
      <c r="OXW3" s="0"/>
      <c r="OXX3" s="0"/>
      <c r="OXY3" s="0"/>
      <c r="OXZ3" s="0"/>
      <c r="OYA3" s="0"/>
      <c r="OYB3" s="0"/>
      <c r="OYC3" s="0"/>
      <c r="OYD3" s="0"/>
      <c r="OYE3" s="0"/>
      <c r="OYF3" s="0"/>
      <c r="OYG3" s="0"/>
      <c r="OYH3" s="0"/>
      <c r="OYI3" s="0"/>
      <c r="OYJ3" s="0"/>
      <c r="OYK3" s="0"/>
      <c r="OYL3" s="0"/>
      <c r="OYM3" s="0"/>
      <c r="OYN3" s="0"/>
      <c r="OYO3" s="0"/>
      <c r="OYP3" s="0"/>
      <c r="OYQ3" s="0"/>
      <c r="OYR3" s="0"/>
      <c r="OYS3" s="0"/>
      <c r="OYT3" s="0"/>
      <c r="OYU3" s="0"/>
      <c r="OYV3" s="0"/>
      <c r="OYW3" s="0"/>
      <c r="OYX3" s="0"/>
      <c r="OYY3" s="0"/>
      <c r="OYZ3" s="0"/>
      <c r="OZA3" s="0"/>
      <c r="OZB3" s="0"/>
      <c r="OZC3" s="0"/>
      <c r="OZD3" s="0"/>
      <c r="OZE3" s="0"/>
      <c r="OZF3" s="0"/>
      <c r="OZG3" s="0"/>
      <c r="OZH3" s="0"/>
      <c r="OZI3" s="0"/>
      <c r="OZJ3" s="0"/>
      <c r="OZK3" s="0"/>
      <c r="OZL3" s="0"/>
      <c r="OZM3" s="0"/>
      <c r="OZN3" s="0"/>
      <c r="OZO3" s="0"/>
      <c r="OZP3" s="0"/>
      <c r="OZQ3" s="0"/>
      <c r="OZR3" s="0"/>
      <c r="OZS3" s="0"/>
      <c r="OZT3" s="0"/>
      <c r="OZU3" s="0"/>
      <c r="OZV3" s="0"/>
      <c r="OZW3" s="0"/>
      <c r="OZX3" s="0"/>
      <c r="OZY3" s="0"/>
      <c r="OZZ3" s="0"/>
      <c r="PAA3" s="0"/>
      <c r="PAB3" s="0"/>
      <c r="PAC3" s="0"/>
      <c r="PAD3" s="0"/>
      <c r="PAE3" s="0"/>
      <c r="PAF3" s="0"/>
      <c r="PAG3" s="0"/>
      <c r="PAH3" s="0"/>
      <c r="PAI3" s="0"/>
      <c r="PAJ3" s="0"/>
      <c r="PAK3" s="0"/>
      <c r="PAL3" s="0"/>
      <c r="PAM3" s="0"/>
      <c r="PAN3" s="0"/>
      <c r="PAO3" s="0"/>
      <c r="PAP3" s="0"/>
      <c r="PAQ3" s="0"/>
      <c r="PAR3" s="0"/>
      <c r="PAS3" s="0"/>
      <c r="PAT3" s="0"/>
      <c r="PAU3" s="0"/>
      <c r="PAV3" s="0"/>
      <c r="PAW3" s="0"/>
      <c r="PAX3" s="0"/>
      <c r="PAY3" s="0"/>
      <c r="PAZ3" s="0"/>
      <c r="PBA3" s="0"/>
      <c r="PBB3" s="0"/>
      <c r="PBC3" s="0"/>
      <c r="PBD3" s="0"/>
      <c r="PBE3" s="0"/>
      <c r="PBF3" s="0"/>
      <c r="PBG3" s="0"/>
      <c r="PBH3" s="0"/>
      <c r="PBI3" s="0"/>
      <c r="PBJ3" s="0"/>
      <c r="PBK3" s="0"/>
      <c r="PBL3" s="0"/>
      <c r="PBM3" s="0"/>
      <c r="PBN3" s="0"/>
      <c r="PBO3" s="0"/>
      <c r="PBP3" s="0"/>
      <c r="PBQ3" s="0"/>
      <c r="PBR3" s="0"/>
      <c r="PBS3" s="0"/>
      <c r="PBT3" s="0"/>
      <c r="PBU3" s="0"/>
      <c r="PBV3" s="0"/>
      <c r="PBW3" s="0"/>
      <c r="PBX3" s="0"/>
      <c r="PBY3" s="0"/>
      <c r="PBZ3" s="0"/>
      <c r="PCA3" s="0"/>
      <c r="PCB3" s="0"/>
      <c r="PCC3" s="0"/>
      <c r="PCD3" s="0"/>
      <c r="PCE3" s="0"/>
      <c r="PCF3" s="0"/>
      <c r="PCG3" s="0"/>
      <c r="PCH3" s="0"/>
      <c r="PCI3" s="0"/>
      <c r="PCJ3" s="0"/>
      <c r="PCK3" s="0"/>
      <c r="PCL3" s="0"/>
      <c r="PCM3" s="0"/>
      <c r="PCN3" s="0"/>
      <c r="PCO3" s="0"/>
      <c r="PCP3" s="0"/>
      <c r="PCQ3" s="0"/>
      <c r="PCR3" s="0"/>
      <c r="PCS3" s="0"/>
      <c r="PCT3" s="0"/>
      <c r="PCU3" s="0"/>
      <c r="PCV3" s="0"/>
      <c r="PCW3" s="0"/>
      <c r="PCX3" s="0"/>
      <c r="PCY3" s="0"/>
      <c r="PCZ3" s="0"/>
      <c r="PDA3" s="0"/>
      <c r="PDB3" s="0"/>
      <c r="PDC3" s="0"/>
      <c r="PDD3" s="0"/>
      <c r="PDE3" s="0"/>
      <c r="PDF3" s="0"/>
      <c r="PDG3" s="0"/>
      <c r="PDH3" s="0"/>
      <c r="PDI3" s="0"/>
      <c r="PDJ3" s="0"/>
      <c r="PDK3" s="0"/>
      <c r="PDL3" s="0"/>
      <c r="PDM3" s="0"/>
      <c r="PDN3" s="0"/>
      <c r="PDO3" s="0"/>
      <c r="PDP3" s="0"/>
      <c r="PDQ3" s="0"/>
      <c r="PDR3" s="0"/>
      <c r="PDS3" s="0"/>
      <c r="PDT3" s="0"/>
      <c r="PDU3" s="0"/>
      <c r="PDV3" s="0"/>
      <c r="PDW3" s="0"/>
      <c r="PDX3" s="0"/>
      <c r="PDY3" s="0"/>
      <c r="PDZ3" s="0"/>
      <c r="PEA3" s="0"/>
      <c r="PEB3" s="0"/>
      <c r="PEC3" s="0"/>
      <c r="PED3" s="0"/>
      <c r="PEE3" s="0"/>
      <c r="PEF3" s="0"/>
      <c r="PEG3" s="0"/>
      <c r="PEH3" s="0"/>
      <c r="PEI3" s="0"/>
      <c r="PEJ3" s="0"/>
      <c r="PEK3" s="0"/>
      <c r="PEL3" s="0"/>
      <c r="PEM3" s="0"/>
      <c r="PEN3" s="0"/>
      <c r="PEO3" s="0"/>
      <c r="PEP3" s="0"/>
      <c r="PEQ3" s="0"/>
      <c r="PER3" s="0"/>
      <c r="PES3" s="0"/>
      <c r="PET3" s="0"/>
      <c r="PEU3" s="0"/>
      <c r="PEV3" s="0"/>
      <c r="PEW3" s="0"/>
      <c r="PEX3" s="0"/>
      <c r="PEY3" s="0"/>
      <c r="PEZ3" s="0"/>
      <c r="PFA3" s="0"/>
      <c r="PFB3" s="0"/>
      <c r="PFC3" s="0"/>
      <c r="PFD3" s="0"/>
      <c r="PFE3" s="0"/>
      <c r="PFF3" s="0"/>
      <c r="PFG3" s="0"/>
      <c r="PFH3" s="0"/>
      <c r="PFI3" s="0"/>
      <c r="PFJ3" s="0"/>
      <c r="PFK3" s="0"/>
      <c r="PFL3" s="0"/>
      <c r="PFM3" s="0"/>
      <c r="PFN3" s="0"/>
      <c r="PFO3" s="0"/>
      <c r="PFP3" s="0"/>
      <c r="PFQ3" s="0"/>
      <c r="PFR3" s="0"/>
      <c r="PFS3" s="0"/>
      <c r="PFT3" s="0"/>
      <c r="PFU3" s="0"/>
      <c r="PFV3" s="0"/>
      <c r="PFW3" s="0"/>
      <c r="PFX3" s="0"/>
      <c r="PFY3" s="0"/>
      <c r="PFZ3" s="0"/>
      <c r="PGA3" s="0"/>
      <c r="PGB3" s="0"/>
      <c r="PGC3" s="0"/>
      <c r="PGD3" s="0"/>
      <c r="PGE3" s="0"/>
      <c r="PGF3" s="0"/>
      <c r="PGG3" s="0"/>
      <c r="PGH3" s="0"/>
      <c r="PGI3" s="0"/>
      <c r="PGJ3" s="0"/>
      <c r="PGK3" s="0"/>
      <c r="PGL3" s="0"/>
      <c r="PGM3" s="0"/>
      <c r="PGN3" s="0"/>
      <c r="PGO3" s="0"/>
      <c r="PGP3" s="0"/>
      <c r="PGQ3" s="0"/>
      <c r="PGR3" s="0"/>
      <c r="PGS3" s="0"/>
      <c r="PGT3" s="0"/>
      <c r="PGU3" s="0"/>
      <c r="PGV3" s="0"/>
      <c r="PGW3" s="0"/>
      <c r="PGX3" s="0"/>
      <c r="PGY3" s="0"/>
      <c r="PGZ3" s="0"/>
      <c r="PHA3" s="0"/>
      <c r="PHB3" s="0"/>
      <c r="PHC3" s="0"/>
      <c r="PHD3" s="0"/>
      <c r="PHE3" s="0"/>
      <c r="PHF3" s="0"/>
      <c r="PHG3" s="0"/>
      <c r="PHH3" s="0"/>
      <c r="PHI3" s="0"/>
      <c r="PHJ3" s="0"/>
      <c r="PHK3" s="0"/>
      <c r="PHL3" s="0"/>
      <c r="PHM3" s="0"/>
      <c r="PHN3" s="0"/>
      <c r="PHO3" s="0"/>
      <c r="PHP3" s="0"/>
      <c r="PHQ3" s="0"/>
      <c r="PHR3" s="0"/>
      <c r="PHS3" s="0"/>
      <c r="PHT3" s="0"/>
      <c r="PHU3" s="0"/>
      <c r="PHV3" s="0"/>
      <c r="PHW3" s="0"/>
      <c r="PHX3" s="0"/>
      <c r="PHY3" s="0"/>
      <c r="PHZ3" s="0"/>
      <c r="PIA3" s="0"/>
      <c r="PIB3" s="0"/>
      <c r="PIC3" s="0"/>
      <c r="PID3" s="0"/>
      <c r="PIE3" s="0"/>
      <c r="PIF3" s="0"/>
      <c r="PIG3" s="0"/>
      <c r="PIH3" s="0"/>
      <c r="PII3" s="0"/>
      <c r="PIJ3" s="0"/>
      <c r="PIK3" s="0"/>
      <c r="PIL3" s="0"/>
      <c r="PIM3" s="0"/>
      <c r="PIN3" s="0"/>
      <c r="PIO3" s="0"/>
      <c r="PIP3" s="0"/>
      <c r="PIQ3" s="0"/>
      <c r="PIR3" s="0"/>
      <c r="PIS3" s="0"/>
      <c r="PIT3" s="0"/>
      <c r="PIU3" s="0"/>
      <c r="PIV3" s="0"/>
      <c r="PIW3" s="0"/>
      <c r="PIX3" s="0"/>
      <c r="PIY3" s="0"/>
      <c r="PIZ3" s="0"/>
      <c r="PJA3" s="0"/>
      <c r="PJB3" s="0"/>
      <c r="PJC3" s="0"/>
      <c r="PJD3" s="0"/>
      <c r="PJE3" s="0"/>
      <c r="PJF3" s="0"/>
      <c r="PJG3" s="0"/>
      <c r="PJH3" s="0"/>
      <c r="PJI3" s="0"/>
      <c r="PJJ3" s="0"/>
      <c r="PJK3" s="0"/>
      <c r="PJL3" s="0"/>
      <c r="PJM3" s="0"/>
      <c r="PJN3" s="0"/>
      <c r="PJO3" s="0"/>
      <c r="PJP3" s="0"/>
      <c r="PJQ3" s="0"/>
      <c r="PJR3" s="0"/>
      <c r="PJS3" s="0"/>
      <c r="PJT3" s="0"/>
      <c r="PJU3" s="0"/>
      <c r="PJV3" s="0"/>
      <c r="PJW3" s="0"/>
      <c r="PJX3" s="0"/>
      <c r="PJY3" s="0"/>
      <c r="PJZ3" s="0"/>
      <c r="PKA3" s="0"/>
      <c r="PKB3" s="0"/>
      <c r="PKC3" s="0"/>
      <c r="PKD3" s="0"/>
      <c r="PKE3" s="0"/>
      <c r="PKF3" s="0"/>
      <c r="PKG3" s="0"/>
      <c r="PKH3" s="0"/>
      <c r="PKI3" s="0"/>
      <c r="PKJ3" s="0"/>
      <c r="PKK3" s="0"/>
      <c r="PKL3" s="0"/>
      <c r="PKM3" s="0"/>
      <c r="PKN3" s="0"/>
      <c r="PKO3" s="0"/>
      <c r="PKP3" s="0"/>
      <c r="PKQ3" s="0"/>
      <c r="PKR3" s="0"/>
      <c r="PKS3" s="0"/>
      <c r="PKT3" s="0"/>
      <c r="PKU3" s="0"/>
      <c r="PKV3" s="0"/>
      <c r="PKW3" s="0"/>
      <c r="PKX3" s="0"/>
      <c r="PKY3" s="0"/>
      <c r="PKZ3" s="0"/>
      <c r="PLA3" s="0"/>
      <c r="PLB3" s="0"/>
      <c r="PLC3" s="0"/>
      <c r="PLD3" s="0"/>
      <c r="PLE3" s="0"/>
      <c r="PLF3" s="0"/>
      <c r="PLG3" s="0"/>
      <c r="PLH3" s="0"/>
      <c r="PLI3" s="0"/>
      <c r="PLJ3" s="0"/>
      <c r="PLK3" s="0"/>
      <c r="PLL3" s="0"/>
      <c r="PLM3" s="0"/>
      <c r="PLN3" s="0"/>
      <c r="PLO3" s="0"/>
      <c r="PLP3" s="0"/>
      <c r="PLQ3" s="0"/>
      <c r="PLR3" s="0"/>
      <c r="PLS3" s="0"/>
      <c r="PLT3" s="0"/>
      <c r="PLU3" s="0"/>
      <c r="PLV3" s="0"/>
      <c r="PLW3" s="0"/>
      <c r="PLX3" s="0"/>
      <c r="PLY3" s="0"/>
      <c r="PLZ3" s="0"/>
      <c r="PMA3" s="0"/>
      <c r="PMB3" s="0"/>
      <c r="PMC3" s="0"/>
      <c r="PMD3" s="0"/>
      <c r="PME3" s="0"/>
      <c r="PMF3" s="0"/>
      <c r="PMG3" s="0"/>
      <c r="PMH3" s="0"/>
      <c r="PMI3" s="0"/>
      <c r="PMJ3" s="0"/>
      <c r="PMK3" s="0"/>
      <c r="PML3" s="0"/>
      <c r="PMM3" s="0"/>
      <c r="PMN3" s="0"/>
      <c r="PMO3" s="0"/>
      <c r="PMP3" s="0"/>
      <c r="PMQ3" s="0"/>
      <c r="PMR3" s="0"/>
      <c r="PMS3" s="0"/>
      <c r="PMT3" s="0"/>
      <c r="PMU3" s="0"/>
      <c r="PMV3" s="0"/>
      <c r="PMW3" s="0"/>
      <c r="PMX3" s="0"/>
      <c r="PMY3" s="0"/>
      <c r="PMZ3" s="0"/>
      <c r="PNA3" s="0"/>
      <c r="PNB3" s="0"/>
      <c r="PNC3" s="0"/>
      <c r="PND3" s="0"/>
      <c r="PNE3" s="0"/>
      <c r="PNF3" s="0"/>
      <c r="PNG3" s="0"/>
      <c r="PNH3" s="0"/>
      <c r="PNI3" s="0"/>
      <c r="PNJ3" s="0"/>
      <c r="PNK3" s="0"/>
      <c r="PNL3" s="0"/>
      <c r="PNM3" s="0"/>
      <c r="PNN3" s="0"/>
      <c r="PNO3" s="0"/>
      <c r="PNP3" s="0"/>
      <c r="PNQ3" s="0"/>
      <c r="PNR3" s="0"/>
      <c r="PNS3" s="0"/>
      <c r="PNT3" s="0"/>
      <c r="PNU3" s="0"/>
      <c r="PNV3" s="0"/>
      <c r="PNW3" s="0"/>
      <c r="PNX3" s="0"/>
      <c r="PNY3" s="0"/>
      <c r="PNZ3" s="0"/>
      <c r="POA3" s="0"/>
      <c r="POB3" s="0"/>
      <c r="POC3" s="0"/>
      <c r="POD3" s="0"/>
      <c r="POE3" s="0"/>
      <c r="POF3" s="0"/>
      <c r="POG3" s="0"/>
      <c r="POH3" s="0"/>
      <c r="POI3" s="0"/>
      <c r="POJ3" s="0"/>
      <c r="POK3" s="0"/>
      <c r="POL3" s="0"/>
      <c r="POM3" s="0"/>
      <c r="PON3" s="0"/>
      <c r="POO3" s="0"/>
      <c r="POP3" s="0"/>
      <c r="POQ3" s="0"/>
      <c r="POR3" s="0"/>
      <c r="POS3" s="0"/>
      <c r="POT3" s="0"/>
      <c r="POU3" s="0"/>
      <c r="POV3" s="0"/>
      <c r="POW3" s="0"/>
      <c r="POX3" s="0"/>
      <c r="POY3" s="0"/>
      <c r="POZ3" s="0"/>
      <c r="PPA3" s="0"/>
      <c r="PPB3" s="0"/>
      <c r="PPC3" s="0"/>
      <c r="PPD3" s="0"/>
      <c r="PPE3" s="0"/>
      <c r="PPF3" s="0"/>
      <c r="PPG3" s="0"/>
      <c r="PPH3" s="0"/>
      <c r="PPI3" s="0"/>
      <c r="PPJ3" s="0"/>
      <c r="PPK3" s="0"/>
      <c r="PPL3" s="0"/>
      <c r="PPM3" s="0"/>
      <c r="PPN3" s="0"/>
      <c r="PPO3" s="0"/>
      <c r="PPP3" s="0"/>
      <c r="PPQ3" s="0"/>
      <c r="PPR3" s="0"/>
      <c r="PPS3" s="0"/>
      <c r="PPT3" s="0"/>
      <c r="PPU3" s="0"/>
      <c r="PPV3" s="0"/>
      <c r="PPW3" s="0"/>
      <c r="PPX3" s="0"/>
      <c r="PPY3" s="0"/>
      <c r="PPZ3" s="0"/>
      <c r="PQA3" s="0"/>
      <c r="PQB3" s="0"/>
      <c r="PQC3" s="0"/>
      <c r="PQD3" s="0"/>
      <c r="PQE3" s="0"/>
      <c r="PQF3" s="0"/>
      <c r="PQG3" s="0"/>
      <c r="PQH3" s="0"/>
      <c r="PQI3" s="0"/>
      <c r="PQJ3" s="0"/>
      <c r="PQK3" s="0"/>
      <c r="PQL3" s="0"/>
      <c r="PQM3" s="0"/>
      <c r="PQN3" s="0"/>
      <c r="PQO3" s="0"/>
      <c r="PQP3" s="0"/>
      <c r="PQQ3" s="0"/>
      <c r="PQR3" s="0"/>
      <c r="PQS3" s="0"/>
      <c r="PQT3" s="0"/>
      <c r="PQU3" s="0"/>
      <c r="PQV3" s="0"/>
      <c r="PQW3" s="0"/>
      <c r="PQX3" s="0"/>
      <c r="PQY3" s="0"/>
      <c r="PQZ3" s="0"/>
      <c r="PRA3" s="0"/>
      <c r="PRB3" s="0"/>
      <c r="PRC3" s="0"/>
      <c r="PRD3" s="0"/>
      <c r="PRE3" s="0"/>
      <c r="PRF3" s="0"/>
      <c r="PRG3" s="0"/>
      <c r="PRH3" s="0"/>
      <c r="PRI3" s="0"/>
      <c r="PRJ3" s="0"/>
      <c r="PRK3" s="0"/>
      <c r="PRL3" s="0"/>
      <c r="PRM3" s="0"/>
      <c r="PRN3" s="0"/>
      <c r="PRO3" s="0"/>
      <c r="PRP3" s="0"/>
      <c r="PRQ3" s="0"/>
      <c r="PRR3" s="0"/>
      <c r="PRS3" s="0"/>
      <c r="PRT3" s="0"/>
      <c r="PRU3" s="0"/>
      <c r="PRV3" s="0"/>
      <c r="PRW3" s="0"/>
      <c r="PRX3" s="0"/>
      <c r="PRY3" s="0"/>
      <c r="PRZ3" s="0"/>
      <c r="PSA3" s="0"/>
      <c r="PSB3" s="0"/>
      <c r="PSC3" s="0"/>
      <c r="PSD3" s="0"/>
      <c r="PSE3" s="0"/>
      <c r="PSF3" s="0"/>
      <c r="PSG3" s="0"/>
      <c r="PSH3" s="0"/>
      <c r="PSI3" s="0"/>
      <c r="PSJ3" s="0"/>
      <c r="PSK3" s="0"/>
      <c r="PSL3" s="0"/>
      <c r="PSM3" s="0"/>
      <c r="PSN3" s="0"/>
      <c r="PSO3" s="0"/>
      <c r="PSP3" s="0"/>
      <c r="PSQ3" s="0"/>
      <c r="PSR3" s="0"/>
      <c r="PSS3" s="0"/>
      <c r="PST3" s="0"/>
      <c r="PSU3" s="0"/>
      <c r="PSV3" s="0"/>
      <c r="PSW3" s="0"/>
      <c r="PSX3" s="0"/>
      <c r="PSY3" s="0"/>
      <c r="PSZ3" s="0"/>
      <c r="PTA3" s="0"/>
      <c r="PTB3" s="0"/>
      <c r="PTC3" s="0"/>
      <c r="PTD3" s="0"/>
      <c r="PTE3" s="0"/>
      <c r="PTF3" s="0"/>
      <c r="PTG3" s="0"/>
      <c r="PTH3" s="0"/>
      <c r="PTI3" s="0"/>
      <c r="PTJ3" s="0"/>
      <c r="PTK3" s="0"/>
      <c r="PTL3" s="0"/>
      <c r="PTM3" s="0"/>
      <c r="PTN3" s="0"/>
      <c r="PTO3" s="0"/>
      <c r="PTP3" s="0"/>
      <c r="PTQ3" s="0"/>
      <c r="PTR3" s="0"/>
      <c r="PTS3" s="0"/>
      <c r="PTT3" s="0"/>
      <c r="PTU3" s="0"/>
      <c r="PTV3" s="0"/>
      <c r="PTW3" s="0"/>
      <c r="PTX3" s="0"/>
      <c r="PTY3" s="0"/>
      <c r="PTZ3" s="0"/>
      <c r="PUA3" s="0"/>
      <c r="PUB3" s="0"/>
      <c r="PUC3" s="0"/>
      <c r="PUD3" s="0"/>
      <c r="PUE3" s="0"/>
      <c r="PUF3" s="0"/>
      <c r="PUG3" s="0"/>
      <c r="PUH3" s="0"/>
      <c r="PUI3" s="0"/>
      <c r="PUJ3" s="0"/>
      <c r="PUK3" s="0"/>
      <c r="PUL3" s="0"/>
      <c r="PUM3" s="0"/>
      <c r="PUN3" s="0"/>
      <c r="PUO3" s="0"/>
      <c r="PUP3" s="0"/>
      <c r="PUQ3" s="0"/>
      <c r="PUR3" s="0"/>
      <c r="PUS3" s="0"/>
      <c r="PUT3" s="0"/>
      <c r="PUU3" s="0"/>
      <c r="PUV3" s="0"/>
      <c r="PUW3" s="0"/>
      <c r="PUX3" s="0"/>
      <c r="PUY3" s="0"/>
      <c r="PUZ3" s="0"/>
      <c r="PVA3" s="0"/>
      <c r="PVB3" s="0"/>
      <c r="PVC3" s="0"/>
      <c r="PVD3" s="0"/>
      <c r="PVE3" s="0"/>
      <c r="PVF3" s="0"/>
      <c r="PVG3" s="0"/>
      <c r="PVH3" s="0"/>
      <c r="PVI3" s="0"/>
      <c r="PVJ3" s="0"/>
      <c r="PVK3" s="0"/>
      <c r="PVL3" s="0"/>
      <c r="PVM3" s="0"/>
      <c r="PVN3" s="0"/>
      <c r="PVO3" s="0"/>
      <c r="PVP3" s="0"/>
      <c r="PVQ3" s="0"/>
      <c r="PVR3" s="0"/>
      <c r="PVS3" s="0"/>
      <c r="PVT3" s="0"/>
      <c r="PVU3" s="0"/>
      <c r="PVV3" s="0"/>
      <c r="PVW3" s="0"/>
      <c r="PVX3" s="0"/>
      <c r="PVY3" s="0"/>
      <c r="PVZ3" s="0"/>
      <c r="PWA3" s="0"/>
      <c r="PWB3" s="0"/>
      <c r="PWC3" s="0"/>
      <c r="PWD3" s="0"/>
      <c r="PWE3" s="0"/>
      <c r="PWF3" s="0"/>
      <c r="PWG3" s="0"/>
      <c r="PWH3" s="0"/>
      <c r="PWI3" s="0"/>
      <c r="PWJ3" s="0"/>
      <c r="PWK3" s="0"/>
      <c r="PWL3" s="0"/>
      <c r="PWM3" s="0"/>
      <c r="PWN3" s="0"/>
      <c r="PWO3" s="0"/>
      <c r="PWP3" s="0"/>
      <c r="PWQ3" s="0"/>
      <c r="PWR3" s="0"/>
      <c r="PWS3" s="0"/>
      <c r="PWT3" s="0"/>
      <c r="PWU3" s="0"/>
      <c r="PWV3" s="0"/>
      <c r="PWW3" s="0"/>
      <c r="PWX3" s="0"/>
      <c r="PWY3" s="0"/>
      <c r="PWZ3" s="0"/>
      <c r="PXA3" s="0"/>
      <c r="PXB3" s="0"/>
      <c r="PXC3" s="0"/>
      <c r="PXD3" s="0"/>
      <c r="PXE3" s="0"/>
      <c r="PXF3" s="0"/>
      <c r="PXG3" s="0"/>
      <c r="PXH3" s="0"/>
      <c r="PXI3" s="0"/>
      <c r="PXJ3" s="0"/>
      <c r="PXK3" s="0"/>
      <c r="PXL3" s="0"/>
      <c r="PXM3" s="0"/>
      <c r="PXN3" s="0"/>
      <c r="PXO3" s="0"/>
      <c r="PXP3" s="0"/>
      <c r="PXQ3" s="0"/>
      <c r="PXR3" s="0"/>
      <c r="PXS3" s="0"/>
      <c r="PXT3" s="0"/>
      <c r="PXU3" s="0"/>
      <c r="PXV3" s="0"/>
      <c r="PXW3" s="0"/>
      <c r="PXX3" s="0"/>
      <c r="PXY3" s="0"/>
      <c r="PXZ3" s="0"/>
      <c r="PYA3" s="0"/>
      <c r="PYB3" s="0"/>
      <c r="PYC3" s="0"/>
      <c r="PYD3" s="0"/>
      <c r="PYE3" s="0"/>
      <c r="PYF3" s="0"/>
      <c r="PYG3" s="0"/>
      <c r="PYH3" s="0"/>
      <c r="PYI3" s="0"/>
      <c r="PYJ3" s="0"/>
      <c r="PYK3" s="0"/>
      <c r="PYL3" s="0"/>
      <c r="PYM3" s="0"/>
      <c r="PYN3" s="0"/>
      <c r="PYO3" s="0"/>
      <c r="PYP3" s="0"/>
      <c r="PYQ3" s="0"/>
      <c r="PYR3" s="0"/>
      <c r="PYS3" s="0"/>
      <c r="PYT3" s="0"/>
      <c r="PYU3" s="0"/>
      <c r="PYV3" s="0"/>
      <c r="PYW3" s="0"/>
      <c r="PYX3" s="0"/>
      <c r="PYY3" s="0"/>
      <c r="PYZ3" s="0"/>
      <c r="PZA3" s="0"/>
      <c r="PZB3" s="0"/>
      <c r="PZC3" s="0"/>
      <c r="PZD3" s="0"/>
      <c r="PZE3" s="0"/>
      <c r="PZF3" s="0"/>
      <c r="PZG3" s="0"/>
      <c r="PZH3" s="0"/>
      <c r="PZI3" s="0"/>
      <c r="PZJ3" s="0"/>
      <c r="PZK3" s="0"/>
      <c r="PZL3" s="0"/>
      <c r="PZM3" s="0"/>
      <c r="PZN3" s="0"/>
      <c r="PZO3" s="0"/>
      <c r="PZP3" s="0"/>
      <c r="PZQ3" s="0"/>
      <c r="PZR3" s="0"/>
      <c r="PZS3" s="0"/>
      <c r="PZT3" s="0"/>
      <c r="PZU3" s="0"/>
      <c r="PZV3" s="0"/>
      <c r="PZW3" s="0"/>
      <c r="PZX3" s="0"/>
      <c r="PZY3" s="0"/>
      <c r="PZZ3" s="0"/>
      <c r="QAA3" s="0"/>
      <c r="QAB3" s="0"/>
      <c r="QAC3" s="0"/>
      <c r="QAD3" s="0"/>
      <c r="QAE3" s="0"/>
      <c r="QAF3" s="0"/>
      <c r="QAG3" s="0"/>
      <c r="QAH3" s="0"/>
      <c r="QAI3" s="0"/>
      <c r="QAJ3" s="0"/>
      <c r="QAK3" s="0"/>
      <c r="QAL3" s="0"/>
      <c r="QAM3" s="0"/>
      <c r="QAN3" s="0"/>
      <c r="QAO3" s="0"/>
      <c r="QAP3" s="0"/>
      <c r="QAQ3" s="0"/>
      <c r="QAR3" s="0"/>
      <c r="QAS3" s="0"/>
      <c r="QAT3" s="0"/>
      <c r="QAU3" s="0"/>
      <c r="QAV3" s="0"/>
      <c r="QAW3" s="0"/>
      <c r="QAX3" s="0"/>
      <c r="QAY3" s="0"/>
      <c r="QAZ3" s="0"/>
      <c r="QBA3" s="0"/>
      <c r="QBB3" s="0"/>
      <c r="QBC3" s="0"/>
      <c r="QBD3" s="0"/>
      <c r="QBE3" s="0"/>
      <c r="QBF3" s="0"/>
      <c r="QBG3" s="0"/>
      <c r="QBH3" s="0"/>
      <c r="QBI3" s="0"/>
      <c r="QBJ3" s="0"/>
      <c r="QBK3" s="0"/>
      <c r="QBL3" s="0"/>
      <c r="QBM3" s="0"/>
      <c r="QBN3" s="0"/>
      <c r="QBO3" s="0"/>
      <c r="QBP3" s="0"/>
      <c r="QBQ3" s="0"/>
      <c r="QBR3" s="0"/>
      <c r="QBS3" s="0"/>
      <c r="QBT3" s="0"/>
      <c r="QBU3" s="0"/>
      <c r="QBV3" s="0"/>
      <c r="QBW3" s="0"/>
      <c r="QBX3" s="0"/>
      <c r="QBY3" s="0"/>
      <c r="QBZ3" s="0"/>
      <c r="QCA3" s="0"/>
      <c r="QCB3" s="0"/>
      <c r="QCC3" s="0"/>
      <c r="QCD3" s="0"/>
      <c r="QCE3" s="0"/>
      <c r="QCF3" s="0"/>
      <c r="QCG3" s="0"/>
      <c r="QCH3" s="0"/>
      <c r="QCI3" s="0"/>
      <c r="QCJ3" s="0"/>
      <c r="QCK3" s="0"/>
      <c r="QCL3" s="0"/>
      <c r="QCM3" s="0"/>
      <c r="QCN3" s="0"/>
      <c r="QCO3" s="0"/>
      <c r="QCP3" s="0"/>
      <c r="QCQ3" s="0"/>
      <c r="QCR3" s="0"/>
      <c r="QCS3" s="0"/>
      <c r="QCT3" s="0"/>
      <c r="QCU3" s="0"/>
      <c r="QCV3" s="0"/>
      <c r="QCW3" s="0"/>
      <c r="QCX3" s="0"/>
      <c r="QCY3" s="0"/>
      <c r="QCZ3" s="0"/>
      <c r="QDA3" s="0"/>
      <c r="QDB3" s="0"/>
      <c r="QDC3" s="0"/>
      <c r="QDD3" s="0"/>
      <c r="QDE3" s="0"/>
      <c r="QDF3" s="0"/>
      <c r="QDG3" s="0"/>
      <c r="QDH3" s="0"/>
      <c r="QDI3" s="0"/>
      <c r="QDJ3" s="0"/>
      <c r="QDK3" s="0"/>
      <c r="QDL3" s="0"/>
      <c r="QDM3" s="0"/>
      <c r="QDN3" s="0"/>
      <c r="QDO3" s="0"/>
      <c r="QDP3" s="0"/>
      <c r="QDQ3" s="0"/>
      <c r="QDR3" s="0"/>
      <c r="QDS3" s="0"/>
      <c r="QDT3" s="0"/>
      <c r="QDU3" s="0"/>
      <c r="QDV3" s="0"/>
      <c r="QDW3" s="0"/>
      <c r="QDX3" s="0"/>
      <c r="QDY3" s="0"/>
      <c r="QDZ3" s="0"/>
      <c r="QEA3" s="0"/>
      <c r="QEB3" s="0"/>
      <c r="QEC3" s="0"/>
      <c r="QED3" s="0"/>
      <c r="QEE3" s="0"/>
      <c r="QEF3" s="0"/>
      <c r="QEG3" s="0"/>
      <c r="QEH3" s="0"/>
      <c r="QEI3" s="0"/>
      <c r="QEJ3" s="0"/>
      <c r="QEK3" s="0"/>
      <c r="QEL3" s="0"/>
      <c r="QEM3" s="0"/>
      <c r="QEN3" s="0"/>
      <c r="QEO3" s="0"/>
      <c r="QEP3" s="0"/>
      <c r="QEQ3" s="0"/>
      <c r="QER3" s="0"/>
      <c r="QES3" s="0"/>
      <c r="QET3" s="0"/>
      <c r="QEU3" s="0"/>
      <c r="QEV3" s="0"/>
      <c r="QEW3" s="0"/>
      <c r="QEX3" s="0"/>
      <c r="QEY3" s="0"/>
      <c r="QEZ3" s="0"/>
      <c r="QFA3" s="0"/>
      <c r="QFB3" s="0"/>
      <c r="QFC3" s="0"/>
      <c r="QFD3" s="0"/>
      <c r="QFE3" s="0"/>
      <c r="QFF3" s="0"/>
      <c r="QFG3" s="0"/>
      <c r="QFH3" s="0"/>
      <c r="QFI3" s="0"/>
      <c r="QFJ3" s="0"/>
      <c r="QFK3" s="0"/>
      <c r="QFL3" s="0"/>
      <c r="QFM3" s="0"/>
      <c r="QFN3" s="0"/>
      <c r="QFO3" s="0"/>
      <c r="QFP3" s="0"/>
      <c r="QFQ3" s="0"/>
      <c r="QFR3" s="0"/>
      <c r="QFS3" s="0"/>
      <c r="QFT3" s="0"/>
      <c r="QFU3" s="0"/>
      <c r="QFV3" s="0"/>
      <c r="QFW3" s="0"/>
      <c r="QFX3" s="0"/>
      <c r="QFY3" s="0"/>
      <c r="QFZ3" s="0"/>
      <c r="QGA3" s="0"/>
      <c r="QGB3" s="0"/>
      <c r="QGC3" s="0"/>
      <c r="QGD3" s="0"/>
      <c r="QGE3" s="0"/>
      <c r="QGF3" s="0"/>
      <c r="QGG3" s="0"/>
      <c r="QGH3" s="0"/>
      <c r="QGI3" s="0"/>
      <c r="QGJ3" s="0"/>
      <c r="QGK3" s="0"/>
      <c r="QGL3" s="0"/>
      <c r="QGM3" s="0"/>
      <c r="QGN3" s="0"/>
      <c r="QGO3" s="0"/>
      <c r="QGP3" s="0"/>
      <c r="QGQ3" s="0"/>
      <c r="QGR3" s="0"/>
      <c r="QGS3" s="0"/>
      <c r="QGT3" s="0"/>
      <c r="QGU3" s="0"/>
      <c r="QGV3" s="0"/>
      <c r="QGW3" s="0"/>
      <c r="QGX3" s="0"/>
      <c r="QGY3" s="0"/>
      <c r="QGZ3" s="0"/>
      <c r="QHA3" s="0"/>
      <c r="QHB3" s="0"/>
      <c r="QHC3" s="0"/>
      <c r="QHD3" s="0"/>
      <c r="QHE3" s="0"/>
      <c r="QHF3" s="0"/>
      <c r="QHG3" s="0"/>
      <c r="QHH3" s="0"/>
      <c r="QHI3" s="0"/>
      <c r="QHJ3" s="0"/>
      <c r="QHK3" s="0"/>
      <c r="QHL3" s="0"/>
      <c r="QHM3" s="0"/>
      <c r="QHN3" s="0"/>
      <c r="QHO3" s="0"/>
      <c r="QHP3" s="0"/>
      <c r="QHQ3" s="0"/>
      <c r="QHR3" s="0"/>
      <c r="QHS3" s="0"/>
      <c r="QHT3" s="0"/>
      <c r="QHU3" s="0"/>
      <c r="QHV3" s="0"/>
      <c r="QHW3" s="0"/>
      <c r="QHX3" s="0"/>
      <c r="QHY3" s="0"/>
      <c r="QHZ3" s="0"/>
      <c r="QIA3" s="0"/>
      <c r="QIB3" s="0"/>
      <c r="QIC3" s="0"/>
      <c r="QID3" s="0"/>
      <c r="QIE3" s="0"/>
      <c r="QIF3" s="0"/>
      <c r="QIG3" s="0"/>
      <c r="QIH3" s="0"/>
      <c r="QII3" s="0"/>
      <c r="QIJ3" s="0"/>
      <c r="QIK3" s="0"/>
      <c r="QIL3" s="0"/>
      <c r="QIM3" s="0"/>
      <c r="QIN3" s="0"/>
      <c r="QIO3" s="0"/>
      <c r="QIP3" s="0"/>
      <c r="QIQ3" s="0"/>
      <c r="QIR3" s="0"/>
      <c r="QIS3" s="0"/>
      <c r="QIT3" s="0"/>
      <c r="QIU3" s="0"/>
      <c r="QIV3" s="0"/>
      <c r="QIW3" s="0"/>
      <c r="QIX3" s="0"/>
      <c r="QIY3" s="0"/>
      <c r="QIZ3" s="0"/>
      <c r="QJA3" s="0"/>
      <c r="QJB3" s="0"/>
      <c r="QJC3" s="0"/>
      <c r="QJD3" s="0"/>
      <c r="QJE3" s="0"/>
      <c r="QJF3" s="0"/>
      <c r="QJG3" s="0"/>
      <c r="QJH3" s="0"/>
      <c r="QJI3" s="0"/>
      <c r="QJJ3" s="0"/>
      <c r="QJK3" s="0"/>
      <c r="QJL3" s="0"/>
      <c r="QJM3" s="0"/>
      <c r="QJN3" s="0"/>
      <c r="QJO3" s="0"/>
      <c r="QJP3" s="0"/>
      <c r="QJQ3" s="0"/>
      <c r="QJR3" s="0"/>
      <c r="QJS3" s="0"/>
      <c r="QJT3" s="0"/>
      <c r="QJU3" s="0"/>
      <c r="QJV3" s="0"/>
      <c r="QJW3" s="0"/>
      <c r="QJX3" s="0"/>
      <c r="QJY3" s="0"/>
      <c r="QJZ3" s="0"/>
      <c r="QKA3" s="0"/>
      <c r="QKB3" s="0"/>
      <c r="QKC3" s="0"/>
      <c r="QKD3" s="0"/>
      <c r="QKE3" s="0"/>
      <c r="QKF3" s="0"/>
      <c r="QKG3" s="0"/>
      <c r="QKH3" s="0"/>
      <c r="QKI3" s="0"/>
      <c r="QKJ3" s="0"/>
      <c r="QKK3" s="0"/>
      <c r="QKL3" s="0"/>
      <c r="QKM3" s="0"/>
      <c r="QKN3" s="0"/>
      <c r="QKO3" s="0"/>
      <c r="QKP3" s="0"/>
      <c r="QKQ3" s="0"/>
      <c r="QKR3" s="0"/>
      <c r="QKS3" s="0"/>
      <c r="QKT3" s="0"/>
      <c r="QKU3" s="0"/>
      <c r="QKV3" s="0"/>
      <c r="QKW3" s="0"/>
      <c r="QKX3" s="0"/>
      <c r="QKY3" s="0"/>
      <c r="QKZ3" s="0"/>
      <c r="QLA3" s="0"/>
      <c r="QLB3" s="0"/>
      <c r="QLC3" s="0"/>
      <c r="QLD3" s="0"/>
      <c r="QLE3" s="0"/>
      <c r="QLF3" s="0"/>
      <c r="QLG3" s="0"/>
      <c r="QLH3" s="0"/>
      <c r="QLI3" s="0"/>
      <c r="QLJ3" s="0"/>
      <c r="QLK3" s="0"/>
      <c r="QLL3" s="0"/>
      <c r="QLM3" s="0"/>
      <c r="QLN3" s="0"/>
      <c r="QLO3" s="0"/>
      <c r="QLP3" s="0"/>
      <c r="QLQ3" s="0"/>
      <c r="QLR3" s="0"/>
      <c r="QLS3" s="0"/>
      <c r="QLT3" s="0"/>
      <c r="QLU3" s="0"/>
      <c r="QLV3" s="0"/>
      <c r="QLW3" s="0"/>
      <c r="QLX3" s="0"/>
      <c r="QLY3" s="0"/>
      <c r="QLZ3" s="0"/>
      <c r="QMA3" s="0"/>
      <c r="QMB3" s="0"/>
      <c r="QMC3" s="0"/>
      <c r="QMD3" s="0"/>
      <c r="QME3" s="0"/>
      <c r="QMF3" s="0"/>
      <c r="QMG3" s="0"/>
      <c r="QMH3" s="0"/>
      <c r="QMI3" s="0"/>
      <c r="QMJ3" s="0"/>
      <c r="QMK3" s="0"/>
      <c r="QML3" s="0"/>
      <c r="QMM3" s="0"/>
      <c r="QMN3" s="0"/>
      <c r="QMO3" s="0"/>
      <c r="QMP3" s="0"/>
      <c r="QMQ3" s="0"/>
      <c r="QMR3" s="0"/>
      <c r="QMS3" s="0"/>
      <c r="QMT3" s="0"/>
      <c r="QMU3" s="0"/>
      <c r="QMV3" s="0"/>
      <c r="QMW3" s="0"/>
      <c r="QMX3" s="0"/>
      <c r="QMY3" s="0"/>
      <c r="QMZ3" s="0"/>
      <c r="QNA3" s="0"/>
      <c r="QNB3" s="0"/>
      <c r="QNC3" s="0"/>
      <c r="QND3" s="0"/>
      <c r="QNE3" s="0"/>
      <c r="QNF3" s="0"/>
      <c r="QNG3" s="0"/>
      <c r="QNH3" s="0"/>
      <c r="QNI3" s="0"/>
      <c r="QNJ3" s="0"/>
      <c r="QNK3" s="0"/>
      <c r="QNL3" s="0"/>
      <c r="QNM3" s="0"/>
      <c r="QNN3" s="0"/>
      <c r="QNO3" s="0"/>
      <c r="QNP3" s="0"/>
      <c r="QNQ3" s="0"/>
      <c r="QNR3" s="0"/>
      <c r="QNS3" s="0"/>
      <c r="QNT3" s="0"/>
      <c r="QNU3" s="0"/>
      <c r="QNV3" s="0"/>
      <c r="QNW3" s="0"/>
      <c r="QNX3" s="0"/>
      <c r="QNY3" s="0"/>
      <c r="QNZ3" s="0"/>
      <c r="QOA3" s="0"/>
      <c r="QOB3" s="0"/>
      <c r="QOC3" s="0"/>
      <c r="QOD3" s="0"/>
      <c r="QOE3" s="0"/>
      <c r="QOF3" s="0"/>
      <c r="QOG3" s="0"/>
      <c r="QOH3" s="0"/>
      <c r="QOI3" s="0"/>
      <c r="QOJ3" s="0"/>
      <c r="QOK3" s="0"/>
      <c r="QOL3" s="0"/>
      <c r="QOM3" s="0"/>
      <c r="QON3" s="0"/>
      <c r="QOO3" s="0"/>
      <c r="QOP3" s="0"/>
      <c r="QOQ3" s="0"/>
      <c r="QOR3" s="0"/>
      <c r="QOS3" s="0"/>
      <c r="QOT3" s="0"/>
      <c r="QOU3" s="0"/>
      <c r="QOV3" s="0"/>
      <c r="QOW3" s="0"/>
      <c r="QOX3" s="0"/>
      <c r="QOY3" s="0"/>
      <c r="QOZ3" s="0"/>
      <c r="QPA3" s="0"/>
      <c r="QPB3" s="0"/>
      <c r="QPC3" s="0"/>
      <c r="QPD3" s="0"/>
      <c r="QPE3" s="0"/>
      <c r="QPF3" s="0"/>
      <c r="QPG3" s="0"/>
      <c r="QPH3" s="0"/>
      <c r="QPI3" s="0"/>
      <c r="QPJ3" s="0"/>
      <c r="QPK3" s="0"/>
      <c r="QPL3" s="0"/>
      <c r="QPM3" s="0"/>
      <c r="QPN3" s="0"/>
      <c r="QPO3" s="0"/>
      <c r="QPP3" s="0"/>
      <c r="QPQ3" s="0"/>
      <c r="QPR3" s="0"/>
      <c r="QPS3" s="0"/>
      <c r="QPT3" s="0"/>
      <c r="QPU3" s="0"/>
      <c r="QPV3" s="0"/>
      <c r="QPW3" s="0"/>
      <c r="QPX3" s="0"/>
      <c r="QPY3" s="0"/>
      <c r="QPZ3" s="0"/>
      <c r="QQA3" s="0"/>
      <c r="QQB3" s="0"/>
      <c r="QQC3" s="0"/>
      <c r="QQD3" s="0"/>
      <c r="QQE3" s="0"/>
      <c r="QQF3" s="0"/>
      <c r="QQG3" s="0"/>
      <c r="QQH3" s="0"/>
      <c r="QQI3" s="0"/>
      <c r="QQJ3" s="0"/>
      <c r="QQK3" s="0"/>
      <c r="QQL3" s="0"/>
      <c r="QQM3" s="0"/>
      <c r="QQN3" s="0"/>
      <c r="QQO3" s="0"/>
      <c r="QQP3" s="0"/>
      <c r="QQQ3" s="0"/>
      <c r="QQR3" s="0"/>
      <c r="QQS3" s="0"/>
      <c r="QQT3" s="0"/>
      <c r="QQU3" s="0"/>
      <c r="QQV3" s="0"/>
      <c r="QQW3" s="0"/>
      <c r="QQX3" s="0"/>
      <c r="QQY3" s="0"/>
      <c r="QQZ3" s="0"/>
      <c r="QRA3" s="0"/>
      <c r="QRB3" s="0"/>
      <c r="QRC3" s="0"/>
      <c r="QRD3" s="0"/>
      <c r="QRE3" s="0"/>
      <c r="QRF3" s="0"/>
      <c r="QRG3" s="0"/>
      <c r="QRH3" s="0"/>
      <c r="QRI3" s="0"/>
      <c r="QRJ3" s="0"/>
      <c r="QRK3" s="0"/>
      <c r="QRL3" s="0"/>
      <c r="QRM3" s="0"/>
      <c r="QRN3" s="0"/>
      <c r="QRO3" s="0"/>
      <c r="QRP3" s="0"/>
      <c r="QRQ3" s="0"/>
      <c r="QRR3" s="0"/>
      <c r="QRS3" s="0"/>
      <c r="QRT3" s="0"/>
      <c r="QRU3" s="0"/>
      <c r="QRV3" s="0"/>
      <c r="QRW3" s="0"/>
      <c r="QRX3" s="0"/>
      <c r="QRY3" s="0"/>
      <c r="QRZ3" s="0"/>
      <c r="QSA3" s="0"/>
      <c r="QSB3" s="0"/>
      <c r="QSC3" s="0"/>
      <c r="QSD3" s="0"/>
      <c r="QSE3" s="0"/>
      <c r="QSF3" s="0"/>
      <c r="QSG3" s="0"/>
      <c r="QSH3" s="0"/>
      <c r="QSI3" s="0"/>
      <c r="QSJ3" s="0"/>
      <c r="QSK3" s="0"/>
      <c r="QSL3" s="0"/>
      <c r="QSM3" s="0"/>
      <c r="QSN3" s="0"/>
      <c r="QSO3" s="0"/>
      <c r="QSP3" s="0"/>
      <c r="QSQ3" s="0"/>
      <c r="QSR3" s="0"/>
      <c r="QSS3" s="0"/>
      <c r="QST3" s="0"/>
      <c r="QSU3" s="0"/>
      <c r="QSV3" s="0"/>
      <c r="QSW3" s="0"/>
      <c r="QSX3" s="0"/>
      <c r="QSY3" s="0"/>
      <c r="QSZ3" s="0"/>
      <c r="QTA3" s="0"/>
      <c r="QTB3" s="0"/>
      <c r="QTC3" s="0"/>
      <c r="QTD3" s="0"/>
      <c r="QTE3" s="0"/>
      <c r="QTF3" s="0"/>
      <c r="QTG3" s="0"/>
      <c r="QTH3" s="0"/>
      <c r="QTI3" s="0"/>
      <c r="QTJ3" s="0"/>
      <c r="QTK3" s="0"/>
      <c r="QTL3" s="0"/>
      <c r="QTM3" s="0"/>
      <c r="QTN3" s="0"/>
      <c r="QTO3" s="0"/>
      <c r="QTP3" s="0"/>
      <c r="QTQ3" s="0"/>
      <c r="QTR3" s="0"/>
      <c r="QTS3" s="0"/>
      <c r="QTT3" s="0"/>
      <c r="QTU3" s="0"/>
      <c r="QTV3" s="0"/>
      <c r="QTW3" s="0"/>
      <c r="QTX3" s="0"/>
      <c r="QTY3" s="0"/>
      <c r="QTZ3" s="0"/>
      <c r="QUA3" s="0"/>
      <c r="QUB3" s="0"/>
      <c r="QUC3" s="0"/>
      <c r="QUD3" s="0"/>
      <c r="QUE3" s="0"/>
      <c r="QUF3" s="0"/>
      <c r="QUG3" s="0"/>
      <c r="QUH3" s="0"/>
      <c r="QUI3" s="0"/>
      <c r="QUJ3" s="0"/>
      <c r="QUK3" s="0"/>
      <c r="QUL3" s="0"/>
      <c r="QUM3" s="0"/>
      <c r="QUN3" s="0"/>
      <c r="QUO3" s="0"/>
      <c r="QUP3" s="0"/>
      <c r="QUQ3" s="0"/>
      <c r="QUR3" s="0"/>
      <c r="QUS3" s="0"/>
      <c r="QUT3" s="0"/>
      <c r="QUU3" s="0"/>
      <c r="QUV3" s="0"/>
      <c r="QUW3" s="0"/>
      <c r="QUX3" s="0"/>
      <c r="QUY3" s="0"/>
      <c r="QUZ3" s="0"/>
      <c r="QVA3" s="0"/>
      <c r="QVB3" s="0"/>
      <c r="QVC3" s="0"/>
      <c r="QVD3" s="0"/>
      <c r="QVE3" s="0"/>
      <c r="QVF3" s="0"/>
      <c r="QVG3" s="0"/>
      <c r="QVH3" s="0"/>
      <c r="QVI3" s="0"/>
      <c r="QVJ3" s="0"/>
      <c r="QVK3" s="0"/>
      <c r="QVL3" s="0"/>
      <c r="QVM3" s="0"/>
      <c r="QVN3" s="0"/>
      <c r="QVO3" s="0"/>
      <c r="QVP3" s="0"/>
      <c r="QVQ3" s="0"/>
      <c r="QVR3" s="0"/>
      <c r="QVS3" s="0"/>
      <c r="QVT3" s="0"/>
      <c r="QVU3" s="0"/>
      <c r="QVV3" s="0"/>
      <c r="QVW3" s="0"/>
      <c r="QVX3" s="0"/>
      <c r="QVY3" s="0"/>
      <c r="QVZ3" s="0"/>
      <c r="QWA3" s="0"/>
      <c r="QWB3" s="0"/>
      <c r="QWC3" s="0"/>
      <c r="QWD3" s="0"/>
      <c r="QWE3" s="0"/>
      <c r="QWF3" s="0"/>
      <c r="QWG3" s="0"/>
      <c r="QWH3" s="0"/>
      <c r="QWI3" s="0"/>
      <c r="QWJ3" s="0"/>
      <c r="QWK3" s="0"/>
      <c r="QWL3" s="0"/>
      <c r="QWM3" s="0"/>
      <c r="QWN3" s="0"/>
      <c r="QWO3" s="0"/>
      <c r="QWP3" s="0"/>
      <c r="QWQ3" s="0"/>
      <c r="QWR3" s="0"/>
      <c r="QWS3" s="0"/>
      <c r="QWT3" s="0"/>
      <c r="QWU3" s="0"/>
      <c r="QWV3" s="0"/>
      <c r="QWW3" s="0"/>
      <c r="QWX3" s="0"/>
      <c r="QWY3" s="0"/>
      <c r="QWZ3" s="0"/>
      <c r="QXA3" s="0"/>
      <c r="QXB3" s="0"/>
      <c r="QXC3" s="0"/>
      <c r="QXD3" s="0"/>
      <c r="QXE3" s="0"/>
      <c r="QXF3" s="0"/>
      <c r="QXG3" s="0"/>
      <c r="QXH3" s="0"/>
      <c r="QXI3" s="0"/>
      <c r="QXJ3" s="0"/>
      <c r="QXK3" s="0"/>
      <c r="QXL3" s="0"/>
      <c r="QXM3" s="0"/>
      <c r="QXN3" s="0"/>
      <c r="QXO3" s="0"/>
      <c r="QXP3" s="0"/>
      <c r="QXQ3" s="0"/>
      <c r="QXR3" s="0"/>
      <c r="QXS3" s="0"/>
      <c r="QXT3" s="0"/>
      <c r="QXU3" s="0"/>
      <c r="QXV3" s="0"/>
      <c r="QXW3" s="0"/>
      <c r="QXX3" s="0"/>
      <c r="QXY3" s="0"/>
      <c r="QXZ3" s="0"/>
      <c r="QYA3" s="0"/>
      <c r="QYB3" s="0"/>
      <c r="QYC3" s="0"/>
      <c r="QYD3" s="0"/>
      <c r="QYE3" s="0"/>
      <c r="QYF3" s="0"/>
      <c r="QYG3" s="0"/>
      <c r="QYH3" s="0"/>
      <c r="QYI3" s="0"/>
      <c r="QYJ3" s="0"/>
      <c r="QYK3" s="0"/>
      <c r="QYL3" s="0"/>
      <c r="QYM3" s="0"/>
      <c r="QYN3" s="0"/>
      <c r="QYO3" s="0"/>
      <c r="QYP3" s="0"/>
      <c r="QYQ3" s="0"/>
      <c r="QYR3" s="0"/>
      <c r="QYS3" s="0"/>
      <c r="QYT3" s="0"/>
      <c r="QYU3" s="0"/>
      <c r="QYV3" s="0"/>
      <c r="QYW3" s="0"/>
      <c r="QYX3" s="0"/>
      <c r="QYY3" s="0"/>
      <c r="QYZ3" s="0"/>
      <c r="QZA3" s="0"/>
      <c r="QZB3" s="0"/>
      <c r="QZC3" s="0"/>
      <c r="QZD3" s="0"/>
      <c r="QZE3" s="0"/>
      <c r="QZF3" s="0"/>
      <c r="QZG3" s="0"/>
      <c r="QZH3" s="0"/>
      <c r="QZI3" s="0"/>
      <c r="QZJ3" s="0"/>
      <c r="QZK3" s="0"/>
      <c r="QZL3" s="0"/>
      <c r="QZM3" s="0"/>
      <c r="QZN3" s="0"/>
      <c r="QZO3" s="0"/>
      <c r="QZP3" s="0"/>
      <c r="QZQ3" s="0"/>
      <c r="QZR3" s="0"/>
      <c r="QZS3" s="0"/>
      <c r="QZT3" s="0"/>
      <c r="QZU3" s="0"/>
      <c r="QZV3" s="0"/>
      <c r="QZW3" s="0"/>
      <c r="QZX3" s="0"/>
      <c r="QZY3" s="0"/>
      <c r="QZZ3" s="0"/>
      <c r="RAA3" s="0"/>
      <c r="RAB3" s="0"/>
      <c r="RAC3" s="0"/>
      <c r="RAD3" s="0"/>
      <c r="RAE3" s="0"/>
      <c r="RAF3" s="0"/>
      <c r="RAG3" s="0"/>
      <c r="RAH3" s="0"/>
      <c r="RAI3" s="0"/>
      <c r="RAJ3" s="0"/>
      <c r="RAK3" s="0"/>
      <c r="RAL3" s="0"/>
      <c r="RAM3" s="0"/>
      <c r="RAN3" s="0"/>
      <c r="RAO3" s="0"/>
      <c r="RAP3" s="0"/>
      <c r="RAQ3" s="0"/>
      <c r="RAR3" s="0"/>
      <c r="RAS3" s="0"/>
      <c r="RAT3" s="0"/>
      <c r="RAU3" s="0"/>
      <c r="RAV3" s="0"/>
      <c r="RAW3" s="0"/>
      <c r="RAX3" s="0"/>
      <c r="RAY3" s="0"/>
      <c r="RAZ3" s="0"/>
      <c r="RBA3" s="0"/>
      <c r="RBB3" s="0"/>
      <c r="RBC3" s="0"/>
      <c r="RBD3" s="0"/>
      <c r="RBE3" s="0"/>
      <c r="RBF3" s="0"/>
      <c r="RBG3" s="0"/>
      <c r="RBH3" s="0"/>
      <c r="RBI3" s="0"/>
      <c r="RBJ3" s="0"/>
      <c r="RBK3" s="0"/>
      <c r="RBL3" s="0"/>
      <c r="RBM3" s="0"/>
      <c r="RBN3" s="0"/>
      <c r="RBO3" s="0"/>
      <c r="RBP3" s="0"/>
      <c r="RBQ3" s="0"/>
      <c r="RBR3" s="0"/>
      <c r="RBS3" s="0"/>
      <c r="RBT3" s="0"/>
      <c r="RBU3" s="0"/>
      <c r="RBV3" s="0"/>
      <c r="RBW3" s="0"/>
      <c r="RBX3" s="0"/>
      <c r="RBY3" s="0"/>
      <c r="RBZ3" s="0"/>
      <c r="RCA3" s="0"/>
      <c r="RCB3" s="0"/>
      <c r="RCC3" s="0"/>
      <c r="RCD3" s="0"/>
      <c r="RCE3" s="0"/>
      <c r="RCF3" s="0"/>
      <c r="RCG3" s="0"/>
      <c r="RCH3" s="0"/>
      <c r="RCI3" s="0"/>
      <c r="RCJ3" s="0"/>
      <c r="RCK3" s="0"/>
      <c r="RCL3" s="0"/>
      <c r="RCM3" s="0"/>
      <c r="RCN3" s="0"/>
      <c r="RCO3" s="0"/>
      <c r="RCP3" s="0"/>
      <c r="RCQ3" s="0"/>
      <c r="RCR3" s="0"/>
      <c r="RCS3" s="0"/>
      <c r="RCT3" s="0"/>
      <c r="RCU3" s="0"/>
      <c r="RCV3" s="0"/>
      <c r="RCW3" s="0"/>
      <c r="RCX3" s="0"/>
      <c r="RCY3" s="0"/>
      <c r="RCZ3" s="0"/>
      <c r="RDA3" s="0"/>
      <c r="RDB3" s="0"/>
      <c r="RDC3" s="0"/>
      <c r="RDD3" s="0"/>
      <c r="RDE3" s="0"/>
      <c r="RDF3" s="0"/>
      <c r="RDG3" s="0"/>
      <c r="RDH3" s="0"/>
      <c r="RDI3" s="0"/>
      <c r="RDJ3" s="0"/>
      <c r="RDK3" s="0"/>
      <c r="RDL3" s="0"/>
      <c r="RDM3" s="0"/>
      <c r="RDN3" s="0"/>
      <c r="RDO3" s="0"/>
      <c r="RDP3" s="0"/>
      <c r="RDQ3" s="0"/>
      <c r="RDR3" s="0"/>
      <c r="RDS3" s="0"/>
      <c r="RDT3" s="0"/>
      <c r="RDU3" s="0"/>
      <c r="RDV3" s="0"/>
      <c r="RDW3" s="0"/>
      <c r="RDX3" s="0"/>
      <c r="RDY3" s="0"/>
      <c r="RDZ3" s="0"/>
      <c r="REA3" s="0"/>
      <c r="REB3" s="0"/>
      <c r="REC3" s="0"/>
      <c r="RED3" s="0"/>
      <c r="REE3" s="0"/>
      <c r="REF3" s="0"/>
      <c r="REG3" s="0"/>
      <c r="REH3" s="0"/>
      <c r="REI3" s="0"/>
      <c r="REJ3" s="0"/>
      <c r="REK3" s="0"/>
      <c r="REL3" s="0"/>
      <c r="REM3" s="0"/>
      <c r="REN3" s="0"/>
      <c r="REO3" s="0"/>
      <c r="REP3" s="0"/>
      <c r="REQ3" s="0"/>
      <c r="RER3" s="0"/>
      <c r="RES3" s="0"/>
      <c r="RET3" s="0"/>
      <c r="REU3" s="0"/>
      <c r="REV3" s="0"/>
      <c r="REW3" s="0"/>
      <c r="REX3" s="0"/>
      <c r="REY3" s="0"/>
      <c r="REZ3" s="0"/>
      <c r="RFA3" s="0"/>
      <c r="RFB3" s="0"/>
      <c r="RFC3" s="0"/>
      <c r="RFD3" s="0"/>
      <c r="RFE3" s="0"/>
      <c r="RFF3" s="0"/>
      <c r="RFG3" s="0"/>
      <c r="RFH3" s="0"/>
      <c r="RFI3" s="0"/>
      <c r="RFJ3" s="0"/>
      <c r="RFK3" s="0"/>
      <c r="RFL3" s="0"/>
      <c r="RFM3" s="0"/>
      <c r="RFN3" s="0"/>
      <c r="RFO3" s="0"/>
      <c r="RFP3" s="0"/>
      <c r="RFQ3" s="0"/>
      <c r="RFR3" s="0"/>
      <c r="RFS3" s="0"/>
      <c r="RFT3" s="0"/>
      <c r="RFU3" s="0"/>
      <c r="RFV3" s="0"/>
      <c r="RFW3" s="0"/>
      <c r="RFX3" s="0"/>
      <c r="RFY3" s="0"/>
      <c r="RFZ3" s="0"/>
      <c r="RGA3" s="0"/>
      <c r="RGB3" s="0"/>
      <c r="RGC3" s="0"/>
      <c r="RGD3" s="0"/>
      <c r="RGE3" s="0"/>
      <c r="RGF3" s="0"/>
      <c r="RGG3" s="0"/>
      <c r="RGH3" s="0"/>
      <c r="RGI3" s="0"/>
      <c r="RGJ3" s="0"/>
      <c r="RGK3" s="0"/>
      <c r="RGL3" s="0"/>
      <c r="RGM3" s="0"/>
      <c r="RGN3" s="0"/>
      <c r="RGO3" s="0"/>
      <c r="RGP3" s="0"/>
      <c r="RGQ3" s="0"/>
      <c r="RGR3" s="0"/>
      <c r="RGS3" s="0"/>
      <c r="RGT3" s="0"/>
      <c r="RGU3" s="0"/>
      <c r="RGV3" s="0"/>
      <c r="RGW3" s="0"/>
      <c r="RGX3" s="0"/>
      <c r="RGY3" s="0"/>
      <c r="RGZ3" s="0"/>
      <c r="RHA3" s="0"/>
      <c r="RHB3" s="0"/>
      <c r="RHC3" s="0"/>
      <c r="RHD3" s="0"/>
      <c r="RHE3" s="0"/>
      <c r="RHF3" s="0"/>
      <c r="RHG3" s="0"/>
      <c r="RHH3" s="0"/>
      <c r="RHI3" s="0"/>
      <c r="RHJ3" s="0"/>
      <c r="RHK3" s="0"/>
      <c r="RHL3" s="0"/>
      <c r="RHM3" s="0"/>
      <c r="RHN3" s="0"/>
      <c r="RHO3" s="0"/>
      <c r="RHP3" s="0"/>
      <c r="RHQ3" s="0"/>
      <c r="RHR3" s="0"/>
      <c r="RHS3" s="0"/>
      <c r="RHT3" s="0"/>
      <c r="RHU3" s="0"/>
      <c r="RHV3" s="0"/>
      <c r="RHW3" s="0"/>
      <c r="RHX3" s="0"/>
      <c r="RHY3" s="0"/>
      <c r="RHZ3" s="0"/>
      <c r="RIA3" s="0"/>
      <c r="RIB3" s="0"/>
      <c r="RIC3" s="0"/>
      <c r="RID3" s="0"/>
      <c r="RIE3" s="0"/>
      <c r="RIF3" s="0"/>
      <c r="RIG3" s="0"/>
      <c r="RIH3" s="0"/>
      <c r="RII3" s="0"/>
      <c r="RIJ3" s="0"/>
      <c r="RIK3" s="0"/>
      <c r="RIL3" s="0"/>
      <c r="RIM3" s="0"/>
      <c r="RIN3" s="0"/>
      <c r="RIO3" s="0"/>
      <c r="RIP3" s="0"/>
      <c r="RIQ3" s="0"/>
      <c r="RIR3" s="0"/>
      <c r="RIS3" s="0"/>
      <c r="RIT3" s="0"/>
      <c r="RIU3" s="0"/>
      <c r="RIV3" s="0"/>
      <c r="RIW3" s="0"/>
      <c r="RIX3" s="0"/>
      <c r="RIY3" s="0"/>
      <c r="RIZ3" s="0"/>
      <c r="RJA3" s="0"/>
      <c r="RJB3" s="0"/>
      <c r="RJC3" s="0"/>
      <c r="RJD3" s="0"/>
      <c r="RJE3" s="0"/>
      <c r="RJF3" s="0"/>
      <c r="RJG3" s="0"/>
      <c r="RJH3" s="0"/>
      <c r="RJI3" s="0"/>
      <c r="RJJ3" s="0"/>
      <c r="RJK3" s="0"/>
      <c r="RJL3" s="0"/>
      <c r="RJM3" s="0"/>
      <c r="RJN3" s="0"/>
      <c r="RJO3" s="0"/>
      <c r="RJP3" s="0"/>
      <c r="RJQ3" s="0"/>
      <c r="RJR3" s="0"/>
      <c r="RJS3" s="0"/>
      <c r="RJT3" s="0"/>
      <c r="RJU3" s="0"/>
      <c r="RJV3" s="0"/>
      <c r="RJW3" s="0"/>
      <c r="RJX3" s="0"/>
      <c r="RJY3" s="0"/>
      <c r="RJZ3" s="0"/>
      <c r="RKA3" s="0"/>
      <c r="RKB3" s="0"/>
      <c r="RKC3" s="0"/>
      <c r="RKD3" s="0"/>
      <c r="RKE3" s="0"/>
      <c r="RKF3" s="0"/>
      <c r="RKG3" s="0"/>
      <c r="RKH3" s="0"/>
      <c r="RKI3" s="0"/>
      <c r="RKJ3" s="0"/>
      <c r="RKK3" s="0"/>
      <c r="RKL3" s="0"/>
      <c r="RKM3" s="0"/>
      <c r="RKN3" s="0"/>
      <c r="RKO3" s="0"/>
      <c r="RKP3" s="0"/>
      <c r="RKQ3" s="0"/>
      <c r="RKR3" s="0"/>
      <c r="RKS3" s="0"/>
      <c r="RKT3" s="0"/>
      <c r="RKU3" s="0"/>
      <c r="RKV3" s="0"/>
      <c r="RKW3" s="0"/>
      <c r="RKX3" s="0"/>
      <c r="RKY3" s="0"/>
      <c r="RKZ3" s="0"/>
      <c r="RLA3" s="0"/>
      <c r="RLB3" s="0"/>
      <c r="RLC3" s="0"/>
      <c r="RLD3" s="0"/>
      <c r="RLE3" s="0"/>
      <c r="RLF3" s="0"/>
      <c r="RLG3" s="0"/>
      <c r="RLH3" s="0"/>
      <c r="RLI3" s="0"/>
      <c r="RLJ3" s="0"/>
      <c r="RLK3" s="0"/>
      <c r="RLL3" s="0"/>
      <c r="RLM3" s="0"/>
      <c r="RLN3" s="0"/>
      <c r="RLO3" s="0"/>
      <c r="RLP3" s="0"/>
      <c r="RLQ3" s="0"/>
      <c r="RLR3" s="0"/>
      <c r="RLS3" s="0"/>
      <c r="RLT3" s="0"/>
      <c r="RLU3" s="0"/>
      <c r="RLV3" s="0"/>
      <c r="RLW3" s="0"/>
      <c r="RLX3" s="0"/>
      <c r="RLY3" s="0"/>
      <c r="RLZ3" s="0"/>
      <c r="RMA3" s="0"/>
      <c r="RMB3" s="0"/>
      <c r="RMC3" s="0"/>
      <c r="RMD3" s="0"/>
      <c r="RME3" s="0"/>
      <c r="RMF3" s="0"/>
      <c r="RMG3" s="0"/>
      <c r="RMH3" s="0"/>
      <c r="RMI3" s="0"/>
      <c r="RMJ3" s="0"/>
      <c r="RMK3" s="0"/>
      <c r="RML3" s="0"/>
      <c r="RMM3" s="0"/>
      <c r="RMN3" s="0"/>
      <c r="RMO3" s="0"/>
      <c r="RMP3" s="0"/>
      <c r="RMQ3" s="0"/>
      <c r="RMR3" s="0"/>
      <c r="RMS3" s="0"/>
      <c r="RMT3" s="0"/>
      <c r="RMU3" s="0"/>
      <c r="RMV3" s="0"/>
      <c r="RMW3" s="0"/>
      <c r="RMX3" s="0"/>
      <c r="RMY3" s="0"/>
      <c r="RMZ3" s="0"/>
      <c r="RNA3" s="0"/>
      <c r="RNB3" s="0"/>
      <c r="RNC3" s="0"/>
      <c r="RND3" s="0"/>
      <c r="RNE3" s="0"/>
      <c r="RNF3" s="0"/>
      <c r="RNG3" s="0"/>
      <c r="RNH3" s="0"/>
      <c r="RNI3" s="0"/>
      <c r="RNJ3" s="0"/>
      <c r="RNK3" s="0"/>
      <c r="RNL3" s="0"/>
      <c r="RNM3" s="0"/>
      <c r="RNN3" s="0"/>
      <c r="RNO3" s="0"/>
      <c r="RNP3" s="0"/>
      <c r="RNQ3" s="0"/>
      <c r="RNR3" s="0"/>
      <c r="RNS3" s="0"/>
      <c r="RNT3" s="0"/>
      <c r="RNU3" s="0"/>
      <c r="RNV3" s="0"/>
      <c r="RNW3" s="0"/>
      <c r="RNX3" s="0"/>
      <c r="RNY3" s="0"/>
      <c r="RNZ3" s="0"/>
      <c r="ROA3" s="0"/>
      <c r="ROB3" s="0"/>
      <c r="ROC3" s="0"/>
      <c r="ROD3" s="0"/>
      <c r="ROE3" s="0"/>
      <c r="ROF3" s="0"/>
      <c r="ROG3" s="0"/>
      <c r="ROH3" s="0"/>
      <c r="ROI3" s="0"/>
      <c r="ROJ3" s="0"/>
      <c r="ROK3" s="0"/>
      <c r="ROL3" s="0"/>
      <c r="ROM3" s="0"/>
      <c r="RON3" s="0"/>
      <c r="ROO3" s="0"/>
      <c r="ROP3" s="0"/>
      <c r="ROQ3" s="0"/>
      <c r="ROR3" s="0"/>
      <c r="ROS3" s="0"/>
      <c r="ROT3" s="0"/>
      <c r="ROU3" s="0"/>
      <c r="ROV3" s="0"/>
      <c r="ROW3" s="0"/>
      <c r="ROX3" s="0"/>
      <c r="ROY3" s="0"/>
      <c r="ROZ3" s="0"/>
      <c r="RPA3" s="0"/>
      <c r="RPB3" s="0"/>
      <c r="RPC3" s="0"/>
      <c r="RPD3" s="0"/>
      <c r="RPE3" s="0"/>
      <c r="RPF3" s="0"/>
      <c r="RPG3" s="0"/>
      <c r="RPH3" s="0"/>
      <c r="RPI3" s="0"/>
      <c r="RPJ3" s="0"/>
      <c r="RPK3" s="0"/>
      <c r="RPL3" s="0"/>
      <c r="RPM3" s="0"/>
      <c r="RPN3" s="0"/>
      <c r="RPO3" s="0"/>
      <c r="RPP3" s="0"/>
      <c r="RPQ3" s="0"/>
      <c r="RPR3" s="0"/>
      <c r="RPS3" s="0"/>
      <c r="RPT3" s="0"/>
      <c r="RPU3" s="0"/>
      <c r="RPV3" s="0"/>
      <c r="RPW3" s="0"/>
      <c r="RPX3" s="0"/>
      <c r="RPY3" s="0"/>
      <c r="RPZ3" s="0"/>
      <c r="RQA3" s="0"/>
      <c r="RQB3" s="0"/>
      <c r="RQC3" s="0"/>
      <c r="RQD3" s="0"/>
      <c r="RQE3" s="0"/>
      <c r="RQF3" s="0"/>
      <c r="RQG3" s="0"/>
      <c r="RQH3" s="0"/>
      <c r="RQI3" s="0"/>
      <c r="RQJ3" s="0"/>
      <c r="RQK3" s="0"/>
      <c r="RQL3" s="0"/>
      <c r="RQM3" s="0"/>
      <c r="RQN3" s="0"/>
      <c r="RQO3" s="0"/>
      <c r="RQP3" s="0"/>
      <c r="RQQ3" s="0"/>
      <c r="RQR3" s="0"/>
      <c r="RQS3" s="0"/>
      <c r="RQT3" s="0"/>
      <c r="RQU3" s="0"/>
      <c r="RQV3" s="0"/>
      <c r="RQW3" s="0"/>
      <c r="RQX3" s="0"/>
      <c r="RQY3" s="0"/>
      <c r="RQZ3" s="0"/>
      <c r="RRA3" s="0"/>
      <c r="RRB3" s="0"/>
      <c r="RRC3" s="0"/>
      <c r="RRD3" s="0"/>
      <c r="RRE3" s="0"/>
      <c r="RRF3" s="0"/>
      <c r="RRG3" s="0"/>
      <c r="RRH3" s="0"/>
      <c r="RRI3" s="0"/>
      <c r="RRJ3" s="0"/>
      <c r="RRK3" s="0"/>
      <c r="RRL3" s="0"/>
      <c r="RRM3" s="0"/>
      <c r="RRN3" s="0"/>
      <c r="RRO3" s="0"/>
      <c r="RRP3" s="0"/>
      <c r="RRQ3" s="0"/>
      <c r="RRR3" s="0"/>
      <c r="RRS3" s="0"/>
      <c r="RRT3" s="0"/>
      <c r="RRU3" s="0"/>
      <c r="RRV3" s="0"/>
      <c r="RRW3" s="0"/>
      <c r="RRX3" s="0"/>
      <c r="RRY3" s="0"/>
      <c r="RRZ3" s="0"/>
      <c r="RSA3" s="0"/>
      <c r="RSB3" s="0"/>
      <c r="RSC3" s="0"/>
      <c r="RSD3" s="0"/>
      <c r="RSE3" s="0"/>
      <c r="RSF3" s="0"/>
      <c r="RSG3" s="0"/>
      <c r="RSH3" s="0"/>
      <c r="RSI3" s="0"/>
      <c r="RSJ3" s="0"/>
      <c r="RSK3" s="0"/>
      <c r="RSL3" s="0"/>
      <c r="RSM3" s="0"/>
      <c r="RSN3" s="0"/>
      <c r="RSO3" s="0"/>
      <c r="RSP3" s="0"/>
      <c r="RSQ3" s="0"/>
      <c r="RSR3" s="0"/>
      <c r="RSS3" s="0"/>
      <c r="RST3" s="0"/>
      <c r="RSU3" s="0"/>
      <c r="RSV3" s="0"/>
      <c r="RSW3" s="0"/>
      <c r="RSX3" s="0"/>
      <c r="RSY3" s="0"/>
      <c r="RSZ3" s="0"/>
      <c r="RTA3" s="0"/>
      <c r="RTB3" s="0"/>
      <c r="RTC3" s="0"/>
      <c r="RTD3" s="0"/>
      <c r="RTE3" s="0"/>
      <c r="RTF3" s="0"/>
      <c r="RTG3" s="0"/>
      <c r="RTH3" s="0"/>
      <c r="RTI3" s="0"/>
      <c r="RTJ3" s="0"/>
      <c r="RTK3" s="0"/>
      <c r="RTL3" s="0"/>
      <c r="RTM3" s="0"/>
      <c r="RTN3" s="0"/>
      <c r="RTO3" s="0"/>
      <c r="RTP3" s="0"/>
      <c r="RTQ3" s="0"/>
      <c r="RTR3" s="0"/>
      <c r="RTS3" s="0"/>
      <c r="RTT3" s="0"/>
      <c r="RTU3" s="0"/>
      <c r="RTV3" s="0"/>
      <c r="RTW3" s="0"/>
      <c r="RTX3" s="0"/>
      <c r="RTY3" s="0"/>
      <c r="RTZ3" s="0"/>
      <c r="RUA3" s="0"/>
      <c r="RUB3" s="0"/>
      <c r="RUC3" s="0"/>
      <c r="RUD3" s="0"/>
      <c r="RUE3" s="0"/>
      <c r="RUF3" s="0"/>
      <c r="RUG3" s="0"/>
      <c r="RUH3" s="0"/>
      <c r="RUI3" s="0"/>
      <c r="RUJ3" s="0"/>
      <c r="RUK3" s="0"/>
      <c r="RUL3" s="0"/>
      <c r="RUM3" s="0"/>
      <c r="RUN3" s="0"/>
      <c r="RUO3" s="0"/>
      <c r="RUP3" s="0"/>
      <c r="RUQ3" s="0"/>
      <c r="RUR3" s="0"/>
      <c r="RUS3" s="0"/>
      <c r="RUT3" s="0"/>
      <c r="RUU3" s="0"/>
      <c r="RUV3" s="0"/>
      <c r="RUW3" s="0"/>
      <c r="RUX3" s="0"/>
      <c r="RUY3" s="0"/>
      <c r="RUZ3" s="0"/>
      <c r="RVA3" s="0"/>
      <c r="RVB3" s="0"/>
      <c r="RVC3" s="0"/>
      <c r="RVD3" s="0"/>
      <c r="RVE3" s="0"/>
      <c r="RVF3" s="0"/>
      <c r="RVG3" s="0"/>
      <c r="RVH3" s="0"/>
      <c r="RVI3" s="0"/>
      <c r="RVJ3" s="0"/>
      <c r="RVK3" s="0"/>
      <c r="RVL3" s="0"/>
      <c r="RVM3" s="0"/>
      <c r="RVN3" s="0"/>
      <c r="RVO3" s="0"/>
      <c r="RVP3" s="0"/>
      <c r="RVQ3" s="0"/>
      <c r="RVR3" s="0"/>
      <c r="RVS3" s="0"/>
      <c r="RVT3" s="0"/>
      <c r="RVU3" s="0"/>
      <c r="RVV3" s="0"/>
      <c r="RVW3" s="0"/>
      <c r="RVX3" s="0"/>
      <c r="RVY3" s="0"/>
      <c r="RVZ3" s="0"/>
      <c r="RWA3" s="0"/>
      <c r="RWB3" s="0"/>
      <c r="RWC3" s="0"/>
      <c r="RWD3" s="0"/>
      <c r="RWE3" s="0"/>
      <c r="RWF3" s="0"/>
      <c r="RWG3" s="0"/>
      <c r="RWH3" s="0"/>
      <c r="RWI3" s="0"/>
      <c r="RWJ3" s="0"/>
      <c r="RWK3" s="0"/>
      <c r="RWL3" s="0"/>
      <c r="RWM3" s="0"/>
      <c r="RWN3" s="0"/>
      <c r="RWO3" s="0"/>
      <c r="RWP3" s="0"/>
      <c r="RWQ3" s="0"/>
      <c r="RWR3" s="0"/>
      <c r="RWS3" s="0"/>
      <c r="RWT3" s="0"/>
      <c r="RWU3" s="0"/>
      <c r="RWV3" s="0"/>
      <c r="RWW3" s="0"/>
      <c r="RWX3" s="0"/>
      <c r="RWY3" s="0"/>
      <c r="RWZ3" s="0"/>
      <c r="RXA3" s="0"/>
      <c r="RXB3" s="0"/>
      <c r="RXC3" s="0"/>
      <c r="RXD3" s="0"/>
      <c r="RXE3" s="0"/>
      <c r="RXF3" s="0"/>
      <c r="RXG3" s="0"/>
      <c r="RXH3" s="0"/>
      <c r="RXI3" s="0"/>
      <c r="RXJ3" s="0"/>
      <c r="RXK3" s="0"/>
      <c r="RXL3" s="0"/>
      <c r="RXM3" s="0"/>
      <c r="RXN3" s="0"/>
      <c r="RXO3" s="0"/>
      <c r="RXP3" s="0"/>
      <c r="RXQ3" s="0"/>
      <c r="RXR3" s="0"/>
      <c r="RXS3" s="0"/>
      <c r="RXT3" s="0"/>
      <c r="RXU3" s="0"/>
      <c r="RXV3" s="0"/>
      <c r="RXW3" s="0"/>
      <c r="RXX3" s="0"/>
      <c r="RXY3" s="0"/>
      <c r="RXZ3" s="0"/>
      <c r="RYA3" s="0"/>
      <c r="RYB3" s="0"/>
      <c r="RYC3" s="0"/>
      <c r="RYD3" s="0"/>
      <c r="RYE3" s="0"/>
      <c r="RYF3" s="0"/>
      <c r="RYG3" s="0"/>
      <c r="RYH3" s="0"/>
      <c r="RYI3" s="0"/>
      <c r="RYJ3" s="0"/>
      <c r="RYK3" s="0"/>
      <c r="RYL3" s="0"/>
      <c r="RYM3" s="0"/>
      <c r="RYN3" s="0"/>
      <c r="RYO3" s="0"/>
      <c r="RYP3" s="0"/>
      <c r="RYQ3" s="0"/>
      <c r="RYR3" s="0"/>
      <c r="RYS3" s="0"/>
      <c r="RYT3" s="0"/>
      <c r="RYU3" s="0"/>
      <c r="RYV3" s="0"/>
      <c r="RYW3" s="0"/>
      <c r="RYX3" s="0"/>
      <c r="RYY3" s="0"/>
      <c r="RYZ3" s="0"/>
      <c r="RZA3" s="0"/>
      <c r="RZB3" s="0"/>
      <c r="RZC3" s="0"/>
      <c r="RZD3" s="0"/>
      <c r="RZE3" s="0"/>
      <c r="RZF3" s="0"/>
      <c r="RZG3" s="0"/>
      <c r="RZH3" s="0"/>
      <c r="RZI3" s="0"/>
      <c r="RZJ3" s="0"/>
      <c r="RZK3" s="0"/>
      <c r="RZL3" s="0"/>
      <c r="RZM3" s="0"/>
      <c r="RZN3" s="0"/>
      <c r="RZO3" s="0"/>
      <c r="RZP3" s="0"/>
      <c r="RZQ3" s="0"/>
      <c r="RZR3" s="0"/>
      <c r="RZS3" s="0"/>
      <c r="RZT3" s="0"/>
      <c r="RZU3" s="0"/>
      <c r="RZV3" s="0"/>
      <c r="RZW3" s="0"/>
      <c r="RZX3" s="0"/>
      <c r="RZY3" s="0"/>
      <c r="RZZ3" s="0"/>
      <c r="SAA3" s="0"/>
      <c r="SAB3" s="0"/>
      <c r="SAC3" s="0"/>
      <c r="SAD3" s="0"/>
      <c r="SAE3" s="0"/>
      <c r="SAF3" s="0"/>
      <c r="SAG3" s="0"/>
      <c r="SAH3" s="0"/>
      <c r="SAI3" s="0"/>
      <c r="SAJ3" s="0"/>
      <c r="SAK3" s="0"/>
      <c r="SAL3" s="0"/>
      <c r="SAM3" s="0"/>
      <c r="SAN3" s="0"/>
      <c r="SAO3" s="0"/>
      <c r="SAP3" s="0"/>
      <c r="SAQ3" s="0"/>
      <c r="SAR3" s="0"/>
      <c r="SAS3" s="0"/>
      <c r="SAT3" s="0"/>
      <c r="SAU3" s="0"/>
      <c r="SAV3" s="0"/>
      <c r="SAW3" s="0"/>
      <c r="SAX3" s="0"/>
      <c r="SAY3" s="0"/>
      <c r="SAZ3" s="0"/>
      <c r="SBA3" s="0"/>
      <c r="SBB3" s="0"/>
      <c r="SBC3" s="0"/>
      <c r="SBD3" s="0"/>
      <c r="SBE3" s="0"/>
      <c r="SBF3" s="0"/>
      <c r="SBG3" s="0"/>
      <c r="SBH3" s="0"/>
      <c r="SBI3" s="0"/>
      <c r="SBJ3" s="0"/>
      <c r="SBK3" s="0"/>
      <c r="SBL3" s="0"/>
      <c r="SBM3" s="0"/>
      <c r="SBN3" s="0"/>
      <c r="SBO3" s="0"/>
      <c r="SBP3" s="0"/>
      <c r="SBQ3" s="0"/>
      <c r="SBR3" s="0"/>
      <c r="SBS3" s="0"/>
      <c r="SBT3" s="0"/>
      <c r="SBU3" s="0"/>
      <c r="SBV3" s="0"/>
      <c r="SBW3" s="0"/>
      <c r="SBX3" s="0"/>
      <c r="SBY3" s="0"/>
      <c r="SBZ3" s="0"/>
      <c r="SCA3" s="0"/>
      <c r="SCB3" s="0"/>
      <c r="SCC3" s="0"/>
      <c r="SCD3" s="0"/>
      <c r="SCE3" s="0"/>
      <c r="SCF3" s="0"/>
      <c r="SCG3" s="0"/>
      <c r="SCH3" s="0"/>
      <c r="SCI3" s="0"/>
      <c r="SCJ3" s="0"/>
      <c r="SCK3" s="0"/>
      <c r="SCL3" s="0"/>
      <c r="SCM3" s="0"/>
      <c r="SCN3" s="0"/>
      <c r="SCO3" s="0"/>
      <c r="SCP3" s="0"/>
      <c r="SCQ3" s="0"/>
      <c r="SCR3" s="0"/>
      <c r="SCS3" s="0"/>
      <c r="SCT3" s="0"/>
      <c r="SCU3" s="0"/>
      <c r="SCV3" s="0"/>
      <c r="SCW3" s="0"/>
      <c r="SCX3" s="0"/>
      <c r="SCY3" s="0"/>
      <c r="SCZ3" s="0"/>
      <c r="SDA3" s="0"/>
      <c r="SDB3" s="0"/>
      <c r="SDC3" s="0"/>
      <c r="SDD3" s="0"/>
      <c r="SDE3" s="0"/>
      <c r="SDF3" s="0"/>
      <c r="SDG3" s="0"/>
      <c r="SDH3" s="0"/>
      <c r="SDI3" s="0"/>
      <c r="SDJ3" s="0"/>
      <c r="SDK3" s="0"/>
      <c r="SDL3" s="0"/>
      <c r="SDM3" s="0"/>
      <c r="SDN3" s="0"/>
      <c r="SDO3" s="0"/>
      <c r="SDP3" s="0"/>
      <c r="SDQ3" s="0"/>
      <c r="SDR3" s="0"/>
      <c r="SDS3" s="0"/>
      <c r="SDT3" s="0"/>
      <c r="SDU3" s="0"/>
      <c r="SDV3" s="0"/>
      <c r="SDW3" s="0"/>
      <c r="SDX3" s="0"/>
      <c r="SDY3" s="0"/>
      <c r="SDZ3" s="0"/>
      <c r="SEA3" s="0"/>
      <c r="SEB3" s="0"/>
      <c r="SEC3" s="0"/>
      <c r="SED3" s="0"/>
      <c r="SEE3" s="0"/>
      <c r="SEF3" s="0"/>
      <c r="SEG3" s="0"/>
      <c r="SEH3" s="0"/>
      <c r="SEI3" s="0"/>
      <c r="SEJ3" s="0"/>
      <c r="SEK3" s="0"/>
      <c r="SEL3" s="0"/>
      <c r="SEM3" s="0"/>
      <c r="SEN3" s="0"/>
      <c r="SEO3" s="0"/>
      <c r="SEP3" s="0"/>
      <c r="SEQ3" s="0"/>
      <c r="SER3" s="0"/>
      <c r="SES3" s="0"/>
      <c r="SET3" s="0"/>
      <c r="SEU3" s="0"/>
      <c r="SEV3" s="0"/>
      <c r="SEW3" s="0"/>
      <c r="SEX3" s="0"/>
      <c r="SEY3" s="0"/>
      <c r="SEZ3" s="0"/>
      <c r="SFA3" s="0"/>
      <c r="SFB3" s="0"/>
      <c r="SFC3" s="0"/>
      <c r="SFD3" s="0"/>
      <c r="SFE3" s="0"/>
      <c r="SFF3" s="0"/>
      <c r="SFG3" s="0"/>
      <c r="SFH3" s="0"/>
      <c r="SFI3" s="0"/>
      <c r="SFJ3" s="0"/>
      <c r="SFK3" s="0"/>
      <c r="SFL3" s="0"/>
      <c r="SFM3" s="0"/>
      <c r="SFN3" s="0"/>
      <c r="SFO3" s="0"/>
      <c r="SFP3" s="0"/>
      <c r="SFQ3" s="0"/>
      <c r="SFR3" s="0"/>
      <c r="SFS3" s="0"/>
      <c r="SFT3" s="0"/>
      <c r="SFU3" s="0"/>
      <c r="SFV3" s="0"/>
      <c r="SFW3" s="0"/>
      <c r="SFX3" s="0"/>
      <c r="SFY3" s="0"/>
      <c r="SFZ3" s="0"/>
      <c r="SGA3" s="0"/>
      <c r="SGB3" s="0"/>
      <c r="SGC3" s="0"/>
      <c r="SGD3" s="0"/>
      <c r="SGE3" s="0"/>
      <c r="SGF3" s="0"/>
      <c r="SGG3" s="0"/>
      <c r="SGH3" s="0"/>
      <c r="SGI3" s="0"/>
      <c r="SGJ3" s="0"/>
      <c r="SGK3" s="0"/>
      <c r="SGL3" s="0"/>
      <c r="SGM3" s="0"/>
      <c r="SGN3" s="0"/>
      <c r="SGO3" s="0"/>
      <c r="SGP3" s="0"/>
      <c r="SGQ3" s="0"/>
      <c r="SGR3" s="0"/>
      <c r="SGS3" s="0"/>
      <c r="SGT3" s="0"/>
      <c r="SGU3" s="0"/>
      <c r="SGV3" s="0"/>
      <c r="SGW3" s="0"/>
      <c r="SGX3" s="0"/>
      <c r="SGY3" s="0"/>
      <c r="SGZ3" s="0"/>
      <c r="SHA3" s="0"/>
      <c r="SHB3" s="0"/>
      <c r="SHC3" s="0"/>
      <c r="SHD3" s="0"/>
      <c r="SHE3" s="0"/>
      <c r="SHF3" s="0"/>
      <c r="SHG3" s="0"/>
      <c r="SHH3" s="0"/>
      <c r="SHI3" s="0"/>
      <c r="SHJ3" s="0"/>
      <c r="SHK3" s="0"/>
      <c r="SHL3" s="0"/>
      <c r="SHM3" s="0"/>
      <c r="SHN3" s="0"/>
      <c r="SHO3" s="0"/>
      <c r="SHP3" s="0"/>
      <c r="SHQ3" s="0"/>
      <c r="SHR3" s="0"/>
      <c r="SHS3" s="0"/>
      <c r="SHT3" s="0"/>
      <c r="SHU3" s="0"/>
      <c r="SHV3" s="0"/>
      <c r="SHW3" s="0"/>
      <c r="SHX3" s="0"/>
      <c r="SHY3" s="0"/>
      <c r="SHZ3" s="0"/>
      <c r="SIA3" s="0"/>
      <c r="SIB3" s="0"/>
      <c r="SIC3" s="0"/>
      <c r="SID3" s="0"/>
      <c r="SIE3" s="0"/>
      <c r="SIF3" s="0"/>
      <c r="SIG3" s="0"/>
      <c r="SIH3" s="0"/>
      <c r="SII3" s="0"/>
      <c r="SIJ3" s="0"/>
      <c r="SIK3" s="0"/>
      <c r="SIL3" s="0"/>
      <c r="SIM3" s="0"/>
      <c r="SIN3" s="0"/>
      <c r="SIO3" s="0"/>
      <c r="SIP3" s="0"/>
      <c r="SIQ3" s="0"/>
      <c r="SIR3" s="0"/>
      <c r="SIS3" s="0"/>
      <c r="SIT3" s="0"/>
      <c r="SIU3" s="0"/>
      <c r="SIV3" s="0"/>
      <c r="SIW3" s="0"/>
      <c r="SIX3" s="0"/>
      <c r="SIY3" s="0"/>
      <c r="SIZ3" s="0"/>
      <c r="SJA3" s="0"/>
      <c r="SJB3" s="0"/>
      <c r="SJC3" s="0"/>
      <c r="SJD3" s="0"/>
      <c r="SJE3" s="0"/>
      <c r="SJF3" s="0"/>
      <c r="SJG3" s="0"/>
      <c r="SJH3" s="0"/>
      <c r="SJI3" s="0"/>
      <c r="SJJ3" s="0"/>
      <c r="SJK3" s="0"/>
      <c r="SJL3" s="0"/>
      <c r="SJM3" s="0"/>
      <c r="SJN3" s="0"/>
      <c r="SJO3" s="0"/>
      <c r="SJP3" s="0"/>
      <c r="SJQ3" s="0"/>
      <c r="SJR3" s="0"/>
      <c r="SJS3" s="0"/>
      <c r="SJT3" s="0"/>
      <c r="SJU3" s="0"/>
      <c r="SJV3" s="0"/>
      <c r="SJW3" s="0"/>
      <c r="SJX3" s="0"/>
      <c r="SJY3" s="0"/>
      <c r="SJZ3" s="0"/>
      <c r="SKA3" s="0"/>
      <c r="SKB3" s="0"/>
      <c r="SKC3" s="0"/>
      <c r="SKD3" s="0"/>
      <c r="SKE3" s="0"/>
      <c r="SKF3" s="0"/>
      <c r="SKG3" s="0"/>
      <c r="SKH3" s="0"/>
      <c r="SKI3" s="0"/>
      <c r="SKJ3" s="0"/>
      <c r="SKK3" s="0"/>
      <c r="SKL3" s="0"/>
      <c r="SKM3" s="0"/>
      <c r="SKN3" s="0"/>
      <c r="SKO3" s="0"/>
      <c r="SKP3" s="0"/>
      <c r="SKQ3" s="0"/>
      <c r="SKR3" s="0"/>
      <c r="SKS3" s="0"/>
      <c r="SKT3" s="0"/>
      <c r="SKU3" s="0"/>
      <c r="SKV3" s="0"/>
      <c r="SKW3" s="0"/>
      <c r="SKX3" s="0"/>
      <c r="SKY3" s="0"/>
      <c r="SKZ3" s="0"/>
      <c r="SLA3" s="0"/>
      <c r="SLB3" s="0"/>
      <c r="SLC3" s="0"/>
      <c r="SLD3" s="0"/>
      <c r="SLE3" s="0"/>
      <c r="SLF3" s="0"/>
      <c r="SLG3" s="0"/>
      <c r="SLH3" s="0"/>
      <c r="SLI3" s="0"/>
      <c r="SLJ3" s="0"/>
      <c r="SLK3" s="0"/>
      <c r="SLL3" s="0"/>
      <c r="SLM3" s="0"/>
      <c r="SLN3" s="0"/>
      <c r="SLO3" s="0"/>
      <c r="SLP3" s="0"/>
      <c r="SLQ3" s="0"/>
      <c r="SLR3" s="0"/>
      <c r="SLS3" s="0"/>
      <c r="SLT3" s="0"/>
      <c r="SLU3" s="0"/>
      <c r="SLV3" s="0"/>
      <c r="SLW3" s="0"/>
      <c r="SLX3" s="0"/>
      <c r="SLY3" s="0"/>
      <c r="SLZ3" s="0"/>
      <c r="SMA3" s="0"/>
      <c r="SMB3" s="0"/>
      <c r="SMC3" s="0"/>
      <c r="SMD3" s="0"/>
      <c r="SME3" s="0"/>
      <c r="SMF3" s="0"/>
      <c r="SMG3" s="0"/>
      <c r="SMH3" s="0"/>
      <c r="SMI3" s="0"/>
      <c r="SMJ3" s="0"/>
      <c r="SMK3" s="0"/>
      <c r="SML3" s="0"/>
      <c r="SMM3" s="0"/>
      <c r="SMN3" s="0"/>
      <c r="SMO3" s="0"/>
      <c r="SMP3" s="0"/>
      <c r="SMQ3" s="0"/>
      <c r="SMR3" s="0"/>
      <c r="SMS3" s="0"/>
      <c r="SMT3" s="0"/>
      <c r="SMU3" s="0"/>
      <c r="SMV3" s="0"/>
      <c r="SMW3" s="0"/>
      <c r="SMX3" s="0"/>
      <c r="SMY3" s="0"/>
      <c r="SMZ3" s="0"/>
      <c r="SNA3" s="0"/>
      <c r="SNB3" s="0"/>
      <c r="SNC3" s="0"/>
      <c r="SND3" s="0"/>
      <c r="SNE3" s="0"/>
      <c r="SNF3" s="0"/>
      <c r="SNG3" s="0"/>
      <c r="SNH3" s="0"/>
      <c r="SNI3" s="0"/>
      <c r="SNJ3" s="0"/>
      <c r="SNK3" s="0"/>
      <c r="SNL3" s="0"/>
      <c r="SNM3" s="0"/>
      <c r="SNN3" s="0"/>
      <c r="SNO3" s="0"/>
      <c r="SNP3" s="0"/>
      <c r="SNQ3" s="0"/>
      <c r="SNR3" s="0"/>
      <c r="SNS3" s="0"/>
      <c r="SNT3" s="0"/>
      <c r="SNU3" s="0"/>
      <c r="SNV3" s="0"/>
      <c r="SNW3" s="0"/>
      <c r="SNX3" s="0"/>
      <c r="SNY3" s="0"/>
      <c r="SNZ3" s="0"/>
      <c r="SOA3" s="0"/>
      <c r="SOB3" s="0"/>
      <c r="SOC3" s="0"/>
      <c r="SOD3" s="0"/>
      <c r="SOE3" s="0"/>
      <c r="SOF3" s="0"/>
      <c r="SOG3" s="0"/>
      <c r="SOH3" s="0"/>
      <c r="SOI3" s="0"/>
      <c r="SOJ3" s="0"/>
      <c r="SOK3" s="0"/>
      <c r="SOL3" s="0"/>
      <c r="SOM3" s="0"/>
      <c r="SON3" s="0"/>
      <c r="SOO3" s="0"/>
      <c r="SOP3" s="0"/>
      <c r="SOQ3" s="0"/>
      <c r="SOR3" s="0"/>
      <c r="SOS3" s="0"/>
      <c r="SOT3" s="0"/>
      <c r="SOU3" s="0"/>
      <c r="SOV3" s="0"/>
      <c r="SOW3" s="0"/>
      <c r="SOX3" s="0"/>
      <c r="SOY3" s="0"/>
      <c r="SOZ3" s="0"/>
      <c r="SPA3" s="0"/>
      <c r="SPB3" s="0"/>
      <c r="SPC3" s="0"/>
      <c r="SPD3" s="0"/>
      <c r="SPE3" s="0"/>
      <c r="SPF3" s="0"/>
      <c r="SPG3" s="0"/>
      <c r="SPH3" s="0"/>
      <c r="SPI3" s="0"/>
      <c r="SPJ3" s="0"/>
      <c r="SPK3" s="0"/>
      <c r="SPL3" s="0"/>
      <c r="SPM3" s="0"/>
      <c r="SPN3" s="0"/>
      <c r="SPO3" s="0"/>
      <c r="SPP3" s="0"/>
      <c r="SPQ3" s="0"/>
      <c r="SPR3" s="0"/>
      <c r="SPS3" s="0"/>
      <c r="SPT3" s="0"/>
      <c r="SPU3" s="0"/>
      <c r="SPV3" s="0"/>
      <c r="SPW3" s="0"/>
      <c r="SPX3" s="0"/>
      <c r="SPY3" s="0"/>
      <c r="SPZ3" s="0"/>
      <c r="SQA3" s="0"/>
      <c r="SQB3" s="0"/>
      <c r="SQC3" s="0"/>
      <c r="SQD3" s="0"/>
      <c r="SQE3" s="0"/>
      <c r="SQF3" s="0"/>
      <c r="SQG3" s="0"/>
      <c r="SQH3" s="0"/>
      <c r="SQI3" s="0"/>
      <c r="SQJ3" s="0"/>
      <c r="SQK3" s="0"/>
      <c r="SQL3" s="0"/>
      <c r="SQM3" s="0"/>
      <c r="SQN3" s="0"/>
      <c r="SQO3" s="0"/>
      <c r="SQP3" s="0"/>
      <c r="SQQ3" s="0"/>
      <c r="SQR3" s="0"/>
      <c r="SQS3" s="0"/>
      <c r="SQT3" s="0"/>
      <c r="SQU3" s="0"/>
      <c r="SQV3" s="0"/>
      <c r="SQW3" s="0"/>
      <c r="SQX3" s="0"/>
      <c r="SQY3" s="0"/>
      <c r="SQZ3" s="0"/>
      <c r="SRA3" s="0"/>
      <c r="SRB3" s="0"/>
      <c r="SRC3" s="0"/>
      <c r="SRD3" s="0"/>
      <c r="SRE3" s="0"/>
      <c r="SRF3" s="0"/>
      <c r="SRG3" s="0"/>
      <c r="SRH3" s="0"/>
      <c r="SRI3" s="0"/>
      <c r="SRJ3" s="0"/>
      <c r="SRK3" s="0"/>
      <c r="SRL3" s="0"/>
      <c r="SRM3" s="0"/>
      <c r="SRN3" s="0"/>
      <c r="SRO3" s="0"/>
      <c r="SRP3" s="0"/>
      <c r="SRQ3" s="0"/>
      <c r="SRR3" s="0"/>
      <c r="SRS3" s="0"/>
      <c r="SRT3" s="0"/>
      <c r="SRU3" s="0"/>
      <c r="SRV3" s="0"/>
      <c r="SRW3" s="0"/>
      <c r="SRX3" s="0"/>
      <c r="SRY3" s="0"/>
      <c r="SRZ3" s="0"/>
      <c r="SSA3" s="0"/>
      <c r="SSB3" s="0"/>
      <c r="SSC3" s="0"/>
      <c r="SSD3" s="0"/>
      <c r="SSE3" s="0"/>
      <c r="SSF3" s="0"/>
      <c r="SSG3" s="0"/>
      <c r="SSH3" s="0"/>
      <c r="SSI3" s="0"/>
      <c r="SSJ3" s="0"/>
      <c r="SSK3" s="0"/>
      <c r="SSL3" s="0"/>
      <c r="SSM3" s="0"/>
      <c r="SSN3" s="0"/>
      <c r="SSO3" s="0"/>
      <c r="SSP3" s="0"/>
      <c r="SSQ3" s="0"/>
      <c r="SSR3" s="0"/>
      <c r="SSS3" s="0"/>
      <c r="SST3" s="0"/>
      <c r="SSU3" s="0"/>
      <c r="SSV3" s="0"/>
      <c r="SSW3" s="0"/>
      <c r="SSX3" s="0"/>
      <c r="SSY3" s="0"/>
      <c r="SSZ3" s="0"/>
      <c r="STA3" s="0"/>
      <c r="STB3" s="0"/>
      <c r="STC3" s="0"/>
      <c r="STD3" s="0"/>
      <c r="STE3" s="0"/>
      <c r="STF3" s="0"/>
      <c r="STG3" s="0"/>
      <c r="STH3" s="0"/>
      <c r="STI3" s="0"/>
      <c r="STJ3" s="0"/>
      <c r="STK3" s="0"/>
      <c r="STL3" s="0"/>
      <c r="STM3" s="0"/>
      <c r="STN3" s="0"/>
      <c r="STO3" s="0"/>
      <c r="STP3" s="0"/>
      <c r="STQ3" s="0"/>
      <c r="STR3" s="0"/>
      <c r="STS3" s="0"/>
      <c r="STT3" s="0"/>
      <c r="STU3" s="0"/>
      <c r="STV3" s="0"/>
      <c r="STW3" s="0"/>
      <c r="STX3" s="0"/>
      <c r="STY3" s="0"/>
      <c r="STZ3" s="0"/>
      <c r="SUA3" s="0"/>
      <c r="SUB3" s="0"/>
      <c r="SUC3" s="0"/>
      <c r="SUD3" s="0"/>
      <c r="SUE3" s="0"/>
      <c r="SUF3" s="0"/>
      <c r="SUG3" s="0"/>
      <c r="SUH3" s="0"/>
      <c r="SUI3" s="0"/>
      <c r="SUJ3" s="0"/>
      <c r="SUK3" s="0"/>
      <c r="SUL3" s="0"/>
      <c r="SUM3" s="0"/>
      <c r="SUN3" s="0"/>
      <c r="SUO3" s="0"/>
      <c r="SUP3" s="0"/>
      <c r="SUQ3" s="0"/>
      <c r="SUR3" s="0"/>
      <c r="SUS3" s="0"/>
      <c r="SUT3" s="0"/>
      <c r="SUU3" s="0"/>
      <c r="SUV3" s="0"/>
      <c r="SUW3" s="0"/>
      <c r="SUX3" s="0"/>
      <c r="SUY3" s="0"/>
      <c r="SUZ3" s="0"/>
      <c r="SVA3" s="0"/>
      <c r="SVB3" s="0"/>
      <c r="SVC3" s="0"/>
      <c r="SVD3" s="0"/>
      <c r="SVE3" s="0"/>
      <c r="SVF3" s="0"/>
      <c r="SVG3" s="0"/>
      <c r="SVH3" s="0"/>
      <c r="SVI3" s="0"/>
      <c r="SVJ3" s="0"/>
      <c r="SVK3" s="0"/>
      <c r="SVL3" s="0"/>
      <c r="SVM3" s="0"/>
      <c r="SVN3" s="0"/>
      <c r="SVO3" s="0"/>
      <c r="SVP3" s="0"/>
      <c r="SVQ3" s="0"/>
      <c r="SVR3" s="0"/>
      <c r="SVS3" s="0"/>
      <c r="SVT3" s="0"/>
      <c r="SVU3" s="0"/>
      <c r="SVV3" s="0"/>
      <c r="SVW3" s="0"/>
      <c r="SVX3" s="0"/>
      <c r="SVY3" s="0"/>
      <c r="SVZ3" s="0"/>
      <c r="SWA3" s="0"/>
      <c r="SWB3" s="0"/>
      <c r="SWC3" s="0"/>
      <c r="SWD3" s="0"/>
      <c r="SWE3" s="0"/>
      <c r="SWF3" s="0"/>
      <c r="SWG3" s="0"/>
      <c r="SWH3" s="0"/>
      <c r="SWI3" s="0"/>
      <c r="SWJ3" s="0"/>
      <c r="SWK3" s="0"/>
      <c r="SWL3" s="0"/>
      <c r="SWM3" s="0"/>
      <c r="SWN3" s="0"/>
      <c r="SWO3" s="0"/>
      <c r="SWP3" s="0"/>
      <c r="SWQ3" s="0"/>
      <c r="SWR3" s="0"/>
      <c r="SWS3" s="0"/>
      <c r="SWT3" s="0"/>
      <c r="SWU3" s="0"/>
      <c r="SWV3" s="0"/>
      <c r="SWW3" s="0"/>
      <c r="SWX3" s="0"/>
      <c r="SWY3" s="0"/>
      <c r="SWZ3" s="0"/>
      <c r="SXA3" s="0"/>
      <c r="SXB3" s="0"/>
      <c r="SXC3" s="0"/>
      <c r="SXD3" s="0"/>
      <c r="SXE3" s="0"/>
      <c r="SXF3" s="0"/>
      <c r="SXG3" s="0"/>
      <c r="SXH3" s="0"/>
      <c r="SXI3" s="0"/>
      <c r="SXJ3" s="0"/>
      <c r="SXK3" s="0"/>
      <c r="SXL3" s="0"/>
      <c r="SXM3" s="0"/>
      <c r="SXN3" s="0"/>
      <c r="SXO3" s="0"/>
      <c r="SXP3" s="0"/>
      <c r="SXQ3" s="0"/>
      <c r="SXR3" s="0"/>
      <c r="SXS3" s="0"/>
      <c r="SXT3" s="0"/>
      <c r="SXU3" s="0"/>
      <c r="SXV3" s="0"/>
      <c r="SXW3" s="0"/>
      <c r="SXX3" s="0"/>
      <c r="SXY3" s="0"/>
      <c r="SXZ3" s="0"/>
      <c r="SYA3" s="0"/>
      <c r="SYB3" s="0"/>
      <c r="SYC3" s="0"/>
      <c r="SYD3" s="0"/>
      <c r="SYE3" s="0"/>
      <c r="SYF3" s="0"/>
      <c r="SYG3" s="0"/>
      <c r="SYH3" s="0"/>
      <c r="SYI3" s="0"/>
      <c r="SYJ3" s="0"/>
      <c r="SYK3" s="0"/>
      <c r="SYL3" s="0"/>
      <c r="SYM3" s="0"/>
      <c r="SYN3" s="0"/>
      <c r="SYO3" s="0"/>
      <c r="SYP3" s="0"/>
      <c r="SYQ3" s="0"/>
      <c r="SYR3" s="0"/>
      <c r="SYS3" s="0"/>
      <c r="SYT3" s="0"/>
      <c r="SYU3" s="0"/>
      <c r="SYV3" s="0"/>
      <c r="SYW3" s="0"/>
      <c r="SYX3" s="0"/>
      <c r="SYY3" s="0"/>
      <c r="SYZ3" s="0"/>
      <c r="SZA3" s="0"/>
      <c r="SZB3" s="0"/>
      <c r="SZC3" s="0"/>
      <c r="SZD3" s="0"/>
      <c r="SZE3" s="0"/>
      <c r="SZF3" s="0"/>
      <c r="SZG3" s="0"/>
      <c r="SZH3" s="0"/>
      <c r="SZI3" s="0"/>
      <c r="SZJ3" s="0"/>
      <c r="SZK3" s="0"/>
      <c r="SZL3" s="0"/>
      <c r="SZM3" s="0"/>
      <c r="SZN3" s="0"/>
      <c r="SZO3" s="0"/>
      <c r="SZP3" s="0"/>
      <c r="SZQ3" s="0"/>
      <c r="SZR3" s="0"/>
      <c r="SZS3" s="0"/>
      <c r="SZT3" s="0"/>
      <c r="SZU3" s="0"/>
      <c r="SZV3" s="0"/>
      <c r="SZW3" s="0"/>
      <c r="SZX3" s="0"/>
      <c r="SZY3" s="0"/>
      <c r="SZZ3" s="0"/>
      <c r="TAA3" s="0"/>
      <c r="TAB3" s="0"/>
      <c r="TAC3" s="0"/>
      <c r="TAD3" s="0"/>
      <c r="TAE3" s="0"/>
      <c r="TAF3" s="0"/>
      <c r="TAG3" s="0"/>
      <c r="TAH3" s="0"/>
      <c r="TAI3" s="0"/>
      <c r="TAJ3" s="0"/>
      <c r="TAK3" s="0"/>
      <c r="TAL3" s="0"/>
      <c r="TAM3" s="0"/>
      <c r="TAN3" s="0"/>
      <c r="TAO3" s="0"/>
      <c r="TAP3" s="0"/>
      <c r="TAQ3" s="0"/>
      <c r="TAR3" s="0"/>
      <c r="TAS3" s="0"/>
      <c r="TAT3" s="0"/>
      <c r="TAU3" s="0"/>
      <c r="TAV3" s="0"/>
      <c r="TAW3" s="0"/>
      <c r="TAX3" s="0"/>
      <c r="TAY3" s="0"/>
      <c r="TAZ3" s="0"/>
      <c r="TBA3" s="0"/>
      <c r="TBB3" s="0"/>
      <c r="TBC3" s="0"/>
      <c r="TBD3" s="0"/>
      <c r="TBE3" s="0"/>
      <c r="TBF3" s="0"/>
      <c r="TBG3" s="0"/>
      <c r="TBH3" s="0"/>
      <c r="TBI3" s="0"/>
      <c r="TBJ3" s="0"/>
      <c r="TBK3" s="0"/>
      <c r="TBL3" s="0"/>
      <c r="TBM3" s="0"/>
      <c r="TBN3" s="0"/>
      <c r="TBO3" s="0"/>
      <c r="TBP3" s="0"/>
      <c r="TBQ3" s="0"/>
      <c r="TBR3" s="0"/>
      <c r="TBS3" s="0"/>
      <c r="TBT3" s="0"/>
      <c r="TBU3" s="0"/>
      <c r="TBV3" s="0"/>
      <c r="TBW3" s="0"/>
      <c r="TBX3" s="0"/>
      <c r="TBY3" s="0"/>
      <c r="TBZ3" s="0"/>
      <c r="TCA3" s="0"/>
      <c r="TCB3" s="0"/>
      <c r="TCC3" s="0"/>
      <c r="TCD3" s="0"/>
      <c r="TCE3" s="0"/>
      <c r="TCF3" s="0"/>
      <c r="TCG3" s="0"/>
      <c r="TCH3" s="0"/>
      <c r="TCI3" s="0"/>
      <c r="TCJ3" s="0"/>
      <c r="TCK3" s="0"/>
      <c r="TCL3" s="0"/>
      <c r="TCM3" s="0"/>
      <c r="TCN3" s="0"/>
      <c r="TCO3" s="0"/>
      <c r="TCP3" s="0"/>
      <c r="TCQ3" s="0"/>
      <c r="TCR3" s="0"/>
      <c r="TCS3" s="0"/>
      <c r="TCT3" s="0"/>
      <c r="TCU3" s="0"/>
      <c r="TCV3" s="0"/>
      <c r="TCW3" s="0"/>
      <c r="TCX3" s="0"/>
      <c r="TCY3" s="0"/>
      <c r="TCZ3" s="0"/>
      <c r="TDA3" s="0"/>
      <c r="TDB3" s="0"/>
      <c r="TDC3" s="0"/>
      <c r="TDD3" s="0"/>
      <c r="TDE3" s="0"/>
      <c r="TDF3" s="0"/>
      <c r="TDG3" s="0"/>
      <c r="TDH3" s="0"/>
      <c r="TDI3" s="0"/>
      <c r="TDJ3" s="0"/>
      <c r="TDK3" s="0"/>
      <c r="TDL3" s="0"/>
      <c r="TDM3" s="0"/>
      <c r="TDN3" s="0"/>
      <c r="TDO3" s="0"/>
      <c r="TDP3" s="0"/>
      <c r="TDQ3" s="0"/>
      <c r="TDR3" s="0"/>
      <c r="TDS3" s="0"/>
      <c r="TDT3" s="0"/>
      <c r="TDU3" s="0"/>
      <c r="TDV3" s="0"/>
      <c r="TDW3" s="0"/>
      <c r="TDX3" s="0"/>
      <c r="TDY3" s="0"/>
      <c r="TDZ3" s="0"/>
      <c r="TEA3" s="0"/>
      <c r="TEB3" s="0"/>
      <c r="TEC3" s="0"/>
      <c r="TED3" s="0"/>
      <c r="TEE3" s="0"/>
      <c r="TEF3" s="0"/>
      <c r="TEG3" s="0"/>
      <c r="TEH3" s="0"/>
      <c r="TEI3" s="0"/>
      <c r="TEJ3" s="0"/>
      <c r="TEK3" s="0"/>
      <c r="TEL3" s="0"/>
      <c r="TEM3" s="0"/>
      <c r="TEN3" s="0"/>
      <c r="TEO3" s="0"/>
      <c r="TEP3" s="0"/>
      <c r="TEQ3" s="0"/>
      <c r="TER3" s="0"/>
      <c r="TES3" s="0"/>
      <c r="TET3" s="0"/>
      <c r="TEU3" s="0"/>
      <c r="TEV3" s="0"/>
      <c r="TEW3" s="0"/>
      <c r="TEX3" s="0"/>
      <c r="TEY3" s="0"/>
      <c r="TEZ3" s="0"/>
      <c r="TFA3" s="0"/>
      <c r="TFB3" s="0"/>
      <c r="TFC3" s="0"/>
      <c r="TFD3" s="0"/>
      <c r="TFE3" s="0"/>
      <c r="TFF3" s="0"/>
      <c r="TFG3" s="0"/>
      <c r="TFH3" s="0"/>
      <c r="TFI3" s="0"/>
      <c r="TFJ3" s="0"/>
      <c r="TFK3" s="0"/>
      <c r="TFL3" s="0"/>
      <c r="TFM3" s="0"/>
      <c r="TFN3" s="0"/>
      <c r="TFO3" s="0"/>
      <c r="TFP3" s="0"/>
      <c r="TFQ3" s="0"/>
      <c r="TFR3" s="0"/>
      <c r="TFS3" s="0"/>
      <c r="TFT3" s="0"/>
      <c r="TFU3" s="0"/>
      <c r="TFV3" s="0"/>
      <c r="TFW3" s="0"/>
      <c r="TFX3" s="0"/>
      <c r="TFY3" s="0"/>
      <c r="TFZ3" s="0"/>
      <c r="TGA3" s="0"/>
      <c r="TGB3" s="0"/>
      <c r="TGC3" s="0"/>
      <c r="TGD3" s="0"/>
      <c r="TGE3" s="0"/>
      <c r="TGF3" s="0"/>
      <c r="TGG3" s="0"/>
      <c r="TGH3" s="0"/>
      <c r="TGI3" s="0"/>
      <c r="TGJ3" s="0"/>
      <c r="TGK3" s="0"/>
      <c r="TGL3" s="0"/>
      <c r="TGM3" s="0"/>
      <c r="TGN3" s="0"/>
      <c r="TGO3" s="0"/>
      <c r="TGP3" s="0"/>
      <c r="TGQ3" s="0"/>
      <c r="TGR3" s="0"/>
      <c r="TGS3" s="0"/>
      <c r="TGT3" s="0"/>
      <c r="TGU3" s="0"/>
      <c r="TGV3" s="0"/>
      <c r="TGW3" s="0"/>
      <c r="TGX3" s="0"/>
      <c r="TGY3" s="0"/>
      <c r="TGZ3" s="0"/>
      <c r="THA3" s="0"/>
      <c r="THB3" s="0"/>
      <c r="THC3" s="0"/>
      <c r="THD3" s="0"/>
      <c r="THE3" s="0"/>
      <c r="THF3" s="0"/>
      <c r="THG3" s="0"/>
      <c r="THH3" s="0"/>
      <c r="THI3" s="0"/>
      <c r="THJ3" s="0"/>
      <c r="THK3" s="0"/>
      <c r="THL3" s="0"/>
      <c r="THM3" s="0"/>
      <c r="THN3" s="0"/>
      <c r="THO3" s="0"/>
      <c r="THP3" s="0"/>
      <c r="THQ3" s="0"/>
      <c r="THR3" s="0"/>
      <c r="THS3" s="0"/>
      <c r="THT3" s="0"/>
      <c r="THU3" s="0"/>
      <c r="THV3" s="0"/>
      <c r="THW3" s="0"/>
      <c r="THX3" s="0"/>
      <c r="THY3" s="0"/>
      <c r="THZ3" s="0"/>
      <c r="TIA3" s="0"/>
      <c r="TIB3" s="0"/>
      <c r="TIC3" s="0"/>
      <c r="TID3" s="0"/>
      <c r="TIE3" s="0"/>
      <c r="TIF3" s="0"/>
      <c r="TIG3" s="0"/>
      <c r="TIH3" s="0"/>
      <c r="TII3" s="0"/>
      <c r="TIJ3" s="0"/>
      <c r="TIK3" s="0"/>
      <c r="TIL3" s="0"/>
      <c r="TIM3" s="0"/>
      <c r="TIN3" s="0"/>
      <c r="TIO3" s="0"/>
      <c r="TIP3" s="0"/>
      <c r="TIQ3" s="0"/>
      <c r="TIR3" s="0"/>
      <c r="TIS3" s="0"/>
      <c r="TIT3" s="0"/>
      <c r="TIU3" s="0"/>
      <c r="TIV3" s="0"/>
      <c r="TIW3" s="0"/>
      <c r="TIX3" s="0"/>
      <c r="TIY3" s="0"/>
      <c r="TIZ3" s="0"/>
      <c r="TJA3" s="0"/>
      <c r="TJB3" s="0"/>
      <c r="TJC3" s="0"/>
      <c r="TJD3" s="0"/>
      <c r="TJE3" s="0"/>
      <c r="TJF3" s="0"/>
      <c r="TJG3" s="0"/>
      <c r="TJH3" s="0"/>
      <c r="TJI3" s="0"/>
      <c r="TJJ3" s="0"/>
      <c r="TJK3" s="0"/>
      <c r="TJL3" s="0"/>
      <c r="TJM3" s="0"/>
      <c r="TJN3" s="0"/>
      <c r="TJO3" s="0"/>
      <c r="TJP3" s="0"/>
      <c r="TJQ3" s="0"/>
      <c r="TJR3" s="0"/>
      <c r="TJS3" s="0"/>
      <c r="TJT3" s="0"/>
      <c r="TJU3" s="0"/>
      <c r="TJV3" s="0"/>
      <c r="TJW3" s="0"/>
      <c r="TJX3" s="0"/>
      <c r="TJY3" s="0"/>
      <c r="TJZ3" s="0"/>
      <c r="TKA3" s="0"/>
      <c r="TKB3" s="0"/>
      <c r="TKC3" s="0"/>
      <c r="TKD3" s="0"/>
      <c r="TKE3" s="0"/>
      <c r="TKF3" s="0"/>
      <c r="TKG3" s="0"/>
      <c r="TKH3" s="0"/>
      <c r="TKI3" s="0"/>
      <c r="TKJ3" s="0"/>
      <c r="TKK3" s="0"/>
      <c r="TKL3" s="0"/>
      <c r="TKM3" s="0"/>
      <c r="TKN3" s="0"/>
      <c r="TKO3" s="0"/>
      <c r="TKP3" s="0"/>
      <c r="TKQ3" s="0"/>
      <c r="TKR3" s="0"/>
      <c r="TKS3" s="0"/>
      <c r="TKT3" s="0"/>
      <c r="TKU3" s="0"/>
      <c r="TKV3" s="0"/>
      <c r="TKW3" s="0"/>
      <c r="TKX3" s="0"/>
      <c r="TKY3" s="0"/>
      <c r="TKZ3" s="0"/>
      <c r="TLA3" s="0"/>
      <c r="TLB3" s="0"/>
      <c r="TLC3" s="0"/>
      <c r="TLD3" s="0"/>
      <c r="TLE3" s="0"/>
      <c r="TLF3" s="0"/>
      <c r="TLG3" s="0"/>
      <c r="TLH3" s="0"/>
      <c r="TLI3" s="0"/>
      <c r="TLJ3" s="0"/>
      <c r="TLK3" s="0"/>
      <c r="TLL3" s="0"/>
      <c r="TLM3" s="0"/>
      <c r="TLN3" s="0"/>
      <c r="TLO3" s="0"/>
      <c r="TLP3" s="0"/>
      <c r="TLQ3" s="0"/>
      <c r="TLR3" s="0"/>
      <c r="TLS3" s="0"/>
      <c r="TLT3" s="0"/>
      <c r="TLU3" s="0"/>
      <c r="TLV3" s="0"/>
      <c r="TLW3" s="0"/>
      <c r="TLX3" s="0"/>
      <c r="TLY3" s="0"/>
      <c r="TLZ3" s="0"/>
      <c r="TMA3" s="0"/>
      <c r="TMB3" s="0"/>
      <c r="TMC3" s="0"/>
      <c r="TMD3" s="0"/>
      <c r="TME3" s="0"/>
      <c r="TMF3" s="0"/>
      <c r="TMG3" s="0"/>
      <c r="TMH3" s="0"/>
      <c r="TMI3" s="0"/>
      <c r="TMJ3" s="0"/>
      <c r="TMK3" s="0"/>
      <c r="TML3" s="0"/>
      <c r="TMM3" s="0"/>
      <c r="TMN3" s="0"/>
      <c r="TMO3" s="0"/>
      <c r="TMP3" s="0"/>
      <c r="TMQ3" s="0"/>
      <c r="TMR3" s="0"/>
      <c r="TMS3" s="0"/>
      <c r="TMT3" s="0"/>
      <c r="TMU3" s="0"/>
      <c r="TMV3" s="0"/>
      <c r="TMW3" s="0"/>
      <c r="TMX3" s="0"/>
      <c r="TMY3" s="0"/>
      <c r="TMZ3" s="0"/>
      <c r="TNA3" s="0"/>
      <c r="TNB3" s="0"/>
      <c r="TNC3" s="0"/>
      <c r="TND3" s="0"/>
      <c r="TNE3" s="0"/>
      <c r="TNF3" s="0"/>
      <c r="TNG3" s="0"/>
      <c r="TNH3" s="0"/>
      <c r="TNI3" s="0"/>
      <c r="TNJ3" s="0"/>
      <c r="TNK3" s="0"/>
      <c r="TNL3" s="0"/>
      <c r="TNM3" s="0"/>
      <c r="TNN3" s="0"/>
      <c r="TNO3" s="0"/>
      <c r="TNP3" s="0"/>
      <c r="TNQ3" s="0"/>
      <c r="TNR3" s="0"/>
      <c r="TNS3" s="0"/>
      <c r="TNT3" s="0"/>
      <c r="TNU3" s="0"/>
      <c r="TNV3" s="0"/>
      <c r="TNW3" s="0"/>
      <c r="TNX3" s="0"/>
      <c r="TNY3" s="0"/>
      <c r="TNZ3" s="0"/>
      <c r="TOA3" s="0"/>
      <c r="TOB3" s="0"/>
      <c r="TOC3" s="0"/>
      <c r="TOD3" s="0"/>
      <c r="TOE3" s="0"/>
      <c r="TOF3" s="0"/>
      <c r="TOG3" s="0"/>
      <c r="TOH3" s="0"/>
      <c r="TOI3" s="0"/>
      <c r="TOJ3" s="0"/>
      <c r="TOK3" s="0"/>
      <c r="TOL3" s="0"/>
      <c r="TOM3" s="0"/>
      <c r="TON3" s="0"/>
      <c r="TOO3" s="0"/>
      <c r="TOP3" s="0"/>
      <c r="TOQ3" s="0"/>
      <c r="TOR3" s="0"/>
      <c r="TOS3" s="0"/>
      <c r="TOT3" s="0"/>
      <c r="TOU3" s="0"/>
      <c r="TOV3" s="0"/>
      <c r="TOW3" s="0"/>
      <c r="TOX3" s="0"/>
      <c r="TOY3" s="0"/>
      <c r="TOZ3" s="0"/>
      <c r="TPA3" s="0"/>
      <c r="TPB3" s="0"/>
      <c r="TPC3" s="0"/>
      <c r="TPD3" s="0"/>
      <c r="TPE3" s="0"/>
      <c r="TPF3" s="0"/>
      <c r="TPG3" s="0"/>
      <c r="TPH3" s="0"/>
      <c r="TPI3" s="0"/>
      <c r="TPJ3" s="0"/>
      <c r="TPK3" s="0"/>
      <c r="TPL3" s="0"/>
      <c r="TPM3" s="0"/>
      <c r="TPN3" s="0"/>
      <c r="TPO3" s="0"/>
      <c r="TPP3" s="0"/>
      <c r="TPQ3" s="0"/>
      <c r="TPR3" s="0"/>
      <c r="TPS3" s="0"/>
      <c r="TPT3" s="0"/>
      <c r="TPU3" s="0"/>
      <c r="TPV3" s="0"/>
      <c r="TPW3" s="0"/>
      <c r="TPX3" s="0"/>
      <c r="TPY3" s="0"/>
      <c r="TPZ3" s="0"/>
      <c r="TQA3" s="0"/>
      <c r="TQB3" s="0"/>
      <c r="TQC3" s="0"/>
      <c r="TQD3" s="0"/>
      <c r="TQE3" s="0"/>
      <c r="TQF3" s="0"/>
      <c r="TQG3" s="0"/>
      <c r="TQH3" s="0"/>
      <c r="TQI3" s="0"/>
      <c r="TQJ3" s="0"/>
      <c r="TQK3" s="0"/>
      <c r="TQL3" s="0"/>
      <c r="TQM3" s="0"/>
      <c r="TQN3" s="0"/>
      <c r="TQO3" s="0"/>
      <c r="TQP3" s="0"/>
      <c r="TQQ3" s="0"/>
      <c r="TQR3" s="0"/>
      <c r="TQS3" s="0"/>
      <c r="TQT3" s="0"/>
      <c r="TQU3" s="0"/>
      <c r="TQV3" s="0"/>
      <c r="TQW3" s="0"/>
      <c r="TQX3" s="0"/>
      <c r="TQY3" s="0"/>
      <c r="TQZ3" s="0"/>
      <c r="TRA3" s="0"/>
      <c r="TRB3" s="0"/>
      <c r="TRC3" s="0"/>
      <c r="TRD3" s="0"/>
      <c r="TRE3" s="0"/>
      <c r="TRF3" s="0"/>
      <c r="TRG3" s="0"/>
      <c r="TRH3" s="0"/>
      <c r="TRI3" s="0"/>
      <c r="TRJ3" s="0"/>
      <c r="TRK3" s="0"/>
      <c r="TRL3" s="0"/>
      <c r="TRM3" s="0"/>
      <c r="TRN3" s="0"/>
      <c r="TRO3" s="0"/>
      <c r="TRP3" s="0"/>
      <c r="TRQ3" s="0"/>
      <c r="TRR3" s="0"/>
      <c r="TRS3" s="0"/>
      <c r="TRT3" s="0"/>
      <c r="TRU3" s="0"/>
      <c r="TRV3" s="0"/>
      <c r="TRW3" s="0"/>
      <c r="TRX3" s="0"/>
      <c r="TRY3" s="0"/>
      <c r="TRZ3" s="0"/>
      <c r="TSA3" s="0"/>
      <c r="TSB3" s="0"/>
      <c r="TSC3" s="0"/>
      <c r="TSD3" s="0"/>
      <c r="TSE3" s="0"/>
      <c r="TSF3" s="0"/>
      <c r="TSG3" s="0"/>
      <c r="TSH3" s="0"/>
      <c r="TSI3" s="0"/>
      <c r="TSJ3" s="0"/>
      <c r="TSK3" s="0"/>
      <c r="TSL3" s="0"/>
      <c r="TSM3" s="0"/>
      <c r="TSN3" s="0"/>
      <c r="TSO3" s="0"/>
      <c r="TSP3" s="0"/>
      <c r="TSQ3" s="0"/>
      <c r="TSR3" s="0"/>
      <c r="TSS3" s="0"/>
      <c r="TST3" s="0"/>
      <c r="TSU3" s="0"/>
      <c r="TSV3" s="0"/>
      <c r="TSW3" s="0"/>
      <c r="TSX3" s="0"/>
      <c r="TSY3" s="0"/>
      <c r="TSZ3" s="0"/>
      <c r="TTA3" s="0"/>
      <c r="TTB3" s="0"/>
      <c r="TTC3" s="0"/>
      <c r="TTD3" s="0"/>
      <c r="TTE3" s="0"/>
      <c r="TTF3" s="0"/>
      <c r="TTG3" s="0"/>
      <c r="TTH3" s="0"/>
      <c r="TTI3" s="0"/>
      <c r="TTJ3" s="0"/>
      <c r="TTK3" s="0"/>
      <c r="TTL3" s="0"/>
      <c r="TTM3" s="0"/>
      <c r="TTN3" s="0"/>
      <c r="TTO3" s="0"/>
      <c r="TTP3" s="0"/>
      <c r="TTQ3" s="0"/>
      <c r="TTR3" s="0"/>
      <c r="TTS3" s="0"/>
      <c r="TTT3" s="0"/>
      <c r="TTU3" s="0"/>
      <c r="TTV3" s="0"/>
      <c r="TTW3" s="0"/>
      <c r="TTX3" s="0"/>
      <c r="TTY3" s="0"/>
      <c r="TTZ3" s="0"/>
      <c r="TUA3" s="0"/>
      <c r="TUB3" s="0"/>
      <c r="TUC3" s="0"/>
      <c r="TUD3" s="0"/>
      <c r="TUE3" s="0"/>
      <c r="TUF3" s="0"/>
      <c r="TUG3" s="0"/>
      <c r="TUH3" s="0"/>
      <c r="TUI3" s="0"/>
      <c r="TUJ3" s="0"/>
      <c r="TUK3" s="0"/>
      <c r="TUL3" s="0"/>
      <c r="TUM3" s="0"/>
      <c r="TUN3" s="0"/>
      <c r="TUO3" s="0"/>
      <c r="TUP3" s="0"/>
      <c r="TUQ3" s="0"/>
      <c r="TUR3" s="0"/>
      <c r="TUS3" s="0"/>
      <c r="TUT3" s="0"/>
      <c r="TUU3" s="0"/>
      <c r="TUV3" s="0"/>
      <c r="TUW3" s="0"/>
      <c r="TUX3" s="0"/>
      <c r="TUY3" s="0"/>
      <c r="TUZ3" s="0"/>
      <c r="TVA3" s="0"/>
      <c r="TVB3" s="0"/>
      <c r="TVC3" s="0"/>
      <c r="TVD3" s="0"/>
      <c r="TVE3" s="0"/>
      <c r="TVF3" s="0"/>
      <c r="TVG3" s="0"/>
      <c r="TVH3" s="0"/>
      <c r="TVI3" s="0"/>
      <c r="TVJ3" s="0"/>
      <c r="TVK3" s="0"/>
      <c r="TVL3" s="0"/>
      <c r="TVM3" s="0"/>
      <c r="TVN3" s="0"/>
      <c r="TVO3" s="0"/>
      <c r="TVP3" s="0"/>
      <c r="TVQ3" s="0"/>
      <c r="TVR3" s="0"/>
      <c r="TVS3" s="0"/>
      <c r="TVT3" s="0"/>
      <c r="TVU3" s="0"/>
      <c r="TVV3" s="0"/>
      <c r="TVW3" s="0"/>
      <c r="TVX3" s="0"/>
      <c r="TVY3" s="0"/>
      <c r="TVZ3" s="0"/>
      <c r="TWA3" s="0"/>
      <c r="TWB3" s="0"/>
      <c r="TWC3" s="0"/>
      <c r="TWD3" s="0"/>
      <c r="TWE3" s="0"/>
      <c r="TWF3" s="0"/>
      <c r="TWG3" s="0"/>
      <c r="TWH3" s="0"/>
      <c r="TWI3" s="0"/>
      <c r="TWJ3" s="0"/>
      <c r="TWK3" s="0"/>
      <c r="TWL3" s="0"/>
      <c r="TWM3" s="0"/>
      <c r="TWN3" s="0"/>
      <c r="TWO3" s="0"/>
      <c r="TWP3" s="0"/>
      <c r="TWQ3" s="0"/>
      <c r="TWR3" s="0"/>
      <c r="TWS3" s="0"/>
      <c r="TWT3" s="0"/>
      <c r="TWU3" s="0"/>
      <c r="TWV3" s="0"/>
      <c r="TWW3" s="0"/>
      <c r="TWX3" s="0"/>
      <c r="TWY3" s="0"/>
      <c r="TWZ3" s="0"/>
      <c r="TXA3" s="0"/>
      <c r="TXB3" s="0"/>
      <c r="TXC3" s="0"/>
      <c r="TXD3" s="0"/>
      <c r="TXE3" s="0"/>
      <c r="TXF3" s="0"/>
      <c r="TXG3" s="0"/>
      <c r="TXH3" s="0"/>
      <c r="TXI3" s="0"/>
      <c r="TXJ3" s="0"/>
      <c r="TXK3" s="0"/>
      <c r="TXL3" s="0"/>
      <c r="TXM3" s="0"/>
      <c r="TXN3" s="0"/>
      <c r="TXO3" s="0"/>
      <c r="TXP3" s="0"/>
      <c r="TXQ3" s="0"/>
      <c r="TXR3" s="0"/>
      <c r="TXS3" s="0"/>
      <c r="TXT3" s="0"/>
      <c r="TXU3" s="0"/>
      <c r="TXV3" s="0"/>
      <c r="TXW3" s="0"/>
      <c r="TXX3" s="0"/>
      <c r="TXY3" s="0"/>
      <c r="TXZ3" s="0"/>
      <c r="TYA3" s="0"/>
      <c r="TYB3" s="0"/>
      <c r="TYC3" s="0"/>
      <c r="TYD3" s="0"/>
      <c r="TYE3" s="0"/>
      <c r="TYF3" s="0"/>
      <c r="TYG3" s="0"/>
      <c r="TYH3" s="0"/>
      <c r="TYI3" s="0"/>
      <c r="TYJ3" s="0"/>
      <c r="TYK3" s="0"/>
      <c r="TYL3" s="0"/>
      <c r="TYM3" s="0"/>
      <c r="TYN3" s="0"/>
      <c r="TYO3" s="0"/>
      <c r="TYP3" s="0"/>
      <c r="TYQ3" s="0"/>
      <c r="TYR3" s="0"/>
      <c r="TYS3" s="0"/>
      <c r="TYT3" s="0"/>
      <c r="TYU3" s="0"/>
      <c r="TYV3" s="0"/>
      <c r="TYW3" s="0"/>
      <c r="TYX3" s="0"/>
      <c r="TYY3" s="0"/>
      <c r="TYZ3" s="0"/>
      <c r="TZA3" s="0"/>
      <c r="TZB3" s="0"/>
      <c r="TZC3" s="0"/>
      <c r="TZD3" s="0"/>
      <c r="TZE3" s="0"/>
      <c r="TZF3" s="0"/>
      <c r="TZG3" s="0"/>
      <c r="TZH3" s="0"/>
      <c r="TZI3" s="0"/>
      <c r="TZJ3" s="0"/>
      <c r="TZK3" s="0"/>
      <c r="TZL3" s="0"/>
      <c r="TZM3" s="0"/>
      <c r="TZN3" s="0"/>
      <c r="TZO3" s="0"/>
      <c r="TZP3" s="0"/>
      <c r="TZQ3" s="0"/>
      <c r="TZR3" s="0"/>
      <c r="TZS3" s="0"/>
      <c r="TZT3" s="0"/>
      <c r="TZU3" s="0"/>
      <c r="TZV3" s="0"/>
      <c r="TZW3" s="0"/>
      <c r="TZX3" s="0"/>
      <c r="TZY3" s="0"/>
      <c r="TZZ3" s="0"/>
      <c r="UAA3" s="0"/>
      <c r="UAB3" s="0"/>
      <c r="UAC3" s="0"/>
      <c r="UAD3" s="0"/>
      <c r="UAE3" s="0"/>
      <c r="UAF3" s="0"/>
      <c r="UAG3" s="0"/>
      <c r="UAH3" s="0"/>
      <c r="UAI3" s="0"/>
      <c r="UAJ3" s="0"/>
      <c r="UAK3" s="0"/>
      <c r="UAL3" s="0"/>
      <c r="UAM3" s="0"/>
      <c r="UAN3" s="0"/>
      <c r="UAO3" s="0"/>
      <c r="UAP3" s="0"/>
      <c r="UAQ3" s="0"/>
      <c r="UAR3" s="0"/>
      <c r="UAS3" s="0"/>
      <c r="UAT3" s="0"/>
      <c r="UAU3" s="0"/>
      <c r="UAV3" s="0"/>
      <c r="UAW3" s="0"/>
      <c r="UAX3" s="0"/>
      <c r="UAY3" s="0"/>
      <c r="UAZ3" s="0"/>
      <c r="UBA3" s="0"/>
      <c r="UBB3" s="0"/>
      <c r="UBC3" s="0"/>
      <c r="UBD3" s="0"/>
      <c r="UBE3" s="0"/>
      <c r="UBF3" s="0"/>
      <c r="UBG3" s="0"/>
      <c r="UBH3" s="0"/>
      <c r="UBI3" s="0"/>
      <c r="UBJ3" s="0"/>
      <c r="UBK3" s="0"/>
      <c r="UBL3" s="0"/>
      <c r="UBM3" s="0"/>
      <c r="UBN3" s="0"/>
      <c r="UBO3" s="0"/>
      <c r="UBP3" s="0"/>
      <c r="UBQ3" s="0"/>
      <c r="UBR3" s="0"/>
      <c r="UBS3" s="0"/>
      <c r="UBT3" s="0"/>
      <c r="UBU3" s="0"/>
      <c r="UBV3" s="0"/>
      <c r="UBW3" s="0"/>
      <c r="UBX3" s="0"/>
      <c r="UBY3" s="0"/>
      <c r="UBZ3" s="0"/>
      <c r="UCA3" s="0"/>
      <c r="UCB3" s="0"/>
      <c r="UCC3" s="0"/>
      <c r="UCD3" s="0"/>
      <c r="UCE3" s="0"/>
      <c r="UCF3" s="0"/>
      <c r="UCG3" s="0"/>
      <c r="UCH3" s="0"/>
      <c r="UCI3" s="0"/>
      <c r="UCJ3" s="0"/>
      <c r="UCK3" s="0"/>
      <c r="UCL3" s="0"/>
      <c r="UCM3" s="0"/>
      <c r="UCN3" s="0"/>
      <c r="UCO3" s="0"/>
      <c r="UCP3" s="0"/>
      <c r="UCQ3" s="0"/>
      <c r="UCR3" s="0"/>
      <c r="UCS3" s="0"/>
      <c r="UCT3" s="0"/>
      <c r="UCU3" s="0"/>
      <c r="UCV3" s="0"/>
      <c r="UCW3" s="0"/>
      <c r="UCX3" s="0"/>
      <c r="UCY3" s="0"/>
      <c r="UCZ3" s="0"/>
      <c r="UDA3" s="0"/>
      <c r="UDB3" s="0"/>
      <c r="UDC3" s="0"/>
      <c r="UDD3" s="0"/>
      <c r="UDE3" s="0"/>
      <c r="UDF3" s="0"/>
      <c r="UDG3" s="0"/>
      <c r="UDH3" s="0"/>
      <c r="UDI3" s="0"/>
      <c r="UDJ3" s="0"/>
      <c r="UDK3" s="0"/>
      <c r="UDL3" s="0"/>
      <c r="UDM3" s="0"/>
      <c r="UDN3" s="0"/>
      <c r="UDO3" s="0"/>
      <c r="UDP3" s="0"/>
      <c r="UDQ3" s="0"/>
      <c r="UDR3" s="0"/>
      <c r="UDS3" s="0"/>
      <c r="UDT3" s="0"/>
      <c r="UDU3" s="0"/>
      <c r="UDV3" s="0"/>
      <c r="UDW3" s="0"/>
      <c r="UDX3" s="0"/>
      <c r="UDY3" s="0"/>
      <c r="UDZ3" s="0"/>
      <c r="UEA3" s="0"/>
      <c r="UEB3" s="0"/>
      <c r="UEC3" s="0"/>
      <c r="UED3" s="0"/>
      <c r="UEE3" s="0"/>
      <c r="UEF3" s="0"/>
      <c r="UEG3" s="0"/>
      <c r="UEH3" s="0"/>
      <c r="UEI3" s="0"/>
      <c r="UEJ3" s="0"/>
      <c r="UEK3" s="0"/>
      <c r="UEL3" s="0"/>
      <c r="UEM3" s="0"/>
      <c r="UEN3" s="0"/>
      <c r="UEO3" s="0"/>
      <c r="UEP3" s="0"/>
      <c r="UEQ3" s="0"/>
      <c r="UER3" s="0"/>
      <c r="UES3" s="0"/>
      <c r="UET3" s="0"/>
      <c r="UEU3" s="0"/>
      <c r="UEV3" s="0"/>
      <c r="UEW3" s="0"/>
      <c r="UEX3" s="0"/>
      <c r="UEY3" s="0"/>
      <c r="UEZ3" s="0"/>
      <c r="UFA3" s="0"/>
      <c r="UFB3" s="0"/>
      <c r="UFC3" s="0"/>
      <c r="UFD3" s="0"/>
      <c r="UFE3" s="0"/>
      <c r="UFF3" s="0"/>
      <c r="UFG3" s="0"/>
      <c r="UFH3" s="0"/>
      <c r="UFI3" s="0"/>
      <c r="UFJ3" s="0"/>
      <c r="UFK3" s="0"/>
      <c r="UFL3" s="0"/>
      <c r="UFM3" s="0"/>
      <c r="UFN3" s="0"/>
      <c r="UFO3" s="0"/>
      <c r="UFP3" s="0"/>
      <c r="UFQ3" s="0"/>
      <c r="UFR3" s="0"/>
      <c r="UFS3" s="0"/>
      <c r="UFT3" s="0"/>
      <c r="UFU3" s="0"/>
      <c r="UFV3" s="0"/>
      <c r="UFW3" s="0"/>
      <c r="UFX3" s="0"/>
      <c r="UFY3" s="0"/>
      <c r="UFZ3" s="0"/>
      <c r="UGA3" s="0"/>
      <c r="UGB3" s="0"/>
      <c r="UGC3" s="0"/>
      <c r="UGD3" s="0"/>
      <c r="UGE3" s="0"/>
      <c r="UGF3" s="0"/>
      <c r="UGG3" s="0"/>
      <c r="UGH3" s="0"/>
      <c r="UGI3" s="0"/>
      <c r="UGJ3" s="0"/>
      <c r="UGK3" s="0"/>
      <c r="UGL3" s="0"/>
      <c r="UGM3" s="0"/>
      <c r="UGN3" s="0"/>
      <c r="UGO3" s="0"/>
      <c r="UGP3" s="0"/>
      <c r="UGQ3" s="0"/>
      <c r="UGR3" s="0"/>
      <c r="UGS3" s="0"/>
      <c r="UGT3" s="0"/>
      <c r="UGU3" s="0"/>
      <c r="UGV3" s="0"/>
      <c r="UGW3" s="0"/>
      <c r="UGX3" s="0"/>
      <c r="UGY3" s="0"/>
      <c r="UGZ3" s="0"/>
      <c r="UHA3" s="0"/>
      <c r="UHB3" s="0"/>
      <c r="UHC3" s="0"/>
      <c r="UHD3" s="0"/>
      <c r="UHE3" s="0"/>
      <c r="UHF3" s="0"/>
      <c r="UHG3" s="0"/>
      <c r="UHH3" s="0"/>
      <c r="UHI3" s="0"/>
      <c r="UHJ3" s="0"/>
      <c r="UHK3" s="0"/>
      <c r="UHL3" s="0"/>
      <c r="UHM3" s="0"/>
      <c r="UHN3" s="0"/>
      <c r="UHO3" s="0"/>
      <c r="UHP3" s="0"/>
      <c r="UHQ3" s="0"/>
      <c r="UHR3" s="0"/>
      <c r="UHS3" s="0"/>
      <c r="UHT3" s="0"/>
      <c r="UHU3" s="0"/>
      <c r="UHV3" s="0"/>
      <c r="UHW3" s="0"/>
      <c r="UHX3" s="0"/>
      <c r="UHY3" s="0"/>
      <c r="UHZ3" s="0"/>
      <c r="UIA3" s="0"/>
      <c r="UIB3" s="0"/>
      <c r="UIC3" s="0"/>
      <c r="UID3" s="0"/>
      <c r="UIE3" s="0"/>
      <c r="UIF3" s="0"/>
      <c r="UIG3" s="0"/>
      <c r="UIH3" s="0"/>
      <c r="UII3" s="0"/>
      <c r="UIJ3" s="0"/>
      <c r="UIK3" s="0"/>
      <c r="UIL3" s="0"/>
      <c r="UIM3" s="0"/>
      <c r="UIN3" s="0"/>
      <c r="UIO3" s="0"/>
      <c r="UIP3" s="0"/>
      <c r="UIQ3" s="0"/>
      <c r="UIR3" s="0"/>
      <c r="UIS3" s="0"/>
      <c r="UIT3" s="0"/>
      <c r="UIU3" s="0"/>
      <c r="UIV3" s="0"/>
      <c r="UIW3" s="0"/>
      <c r="UIX3" s="0"/>
      <c r="UIY3" s="0"/>
      <c r="UIZ3" s="0"/>
      <c r="UJA3" s="0"/>
      <c r="UJB3" s="0"/>
      <c r="UJC3" s="0"/>
      <c r="UJD3" s="0"/>
      <c r="UJE3" s="0"/>
      <c r="UJF3" s="0"/>
      <c r="UJG3" s="0"/>
      <c r="UJH3" s="0"/>
      <c r="UJI3" s="0"/>
      <c r="UJJ3" s="0"/>
      <c r="UJK3" s="0"/>
      <c r="UJL3" s="0"/>
      <c r="UJM3" s="0"/>
      <c r="UJN3" s="0"/>
      <c r="UJO3" s="0"/>
      <c r="UJP3" s="0"/>
      <c r="UJQ3" s="0"/>
      <c r="UJR3" s="0"/>
      <c r="UJS3" s="0"/>
      <c r="UJT3" s="0"/>
      <c r="UJU3" s="0"/>
      <c r="UJV3" s="0"/>
      <c r="UJW3" s="0"/>
      <c r="UJX3" s="0"/>
      <c r="UJY3" s="0"/>
      <c r="UJZ3" s="0"/>
      <c r="UKA3" s="0"/>
      <c r="UKB3" s="0"/>
      <c r="UKC3" s="0"/>
      <c r="UKD3" s="0"/>
      <c r="UKE3" s="0"/>
      <c r="UKF3" s="0"/>
      <c r="UKG3" s="0"/>
      <c r="UKH3" s="0"/>
      <c r="UKI3" s="0"/>
      <c r="UKJ3" s="0"/>
      <c r="UKK3" s="0"/>
      <c r="UKL3" s="0"/>
      <c r="UKM3" s="0"/>
      <c r="UKN3" s="0"/>
      <c r="UKO3" s="0"/>
      <c r="UKP3" s="0"/>
      <c r="UKQ3" s="0"/>
      <c r="UKR3" s="0"/>
      <c r="UKS3" s="0"/>
      <c r="UKT3" s="0"/>
      <c r="UKU3" s="0"/>
      <c r="UKV3" s="0"/>
      <c r="UKW3" s="0"/>
      <c r="UKX3" s="0"/>
      <c r="UKY3" s="0"/>
      <c r="UKZ3" s="0"/>
      <c r="ULA3" s="0"/>
      <c r="ULB3" s="0"/>
      <c r="ULC3" s="0"/>
      <c r="ULD3" s="0"/>
      <c r="ULE3" s="0"/>
      <c r="ULF3" s="0"/>
      <c r="ULG3" s="0"/>
      <c r="ULH3" s="0"/>
      <c r="ULI3" s="0"/>
      <c r="ULJ3" s="0"/>
      <c r="ULK3" s="0"/>
      <c r="ULL3" s="0"/>
      <c r="ULM3" s="0"/>
      <c r="ULN3" s="0"/>
      <c r="ULO3" s="0"/>
      <c r="ULP3" s="0"/>
      <c r="ULQ3" s="0"/>
      <c r="ULR3" s="0"/>
      <c r="ULS3" s="0"/>
      <c r="ULT3" s="0"/>
      <c r="ULU3" s="0"/>
      <c r="ULV3" s="0"/>
      <c r="ULW3" s="0"/>
      <c r="ULX3" s="0"/>
      <c r="ULY3" s="0"/>
      <c r="ULZ3" s="0"/>
      <c r="UMA3" s="0"/>
      <c r="UMB3" s="0"/>
      <c r="UMC3" s="0"/>
      <c r="UMD3" s="0"/>
      <c r="UME3" s="0"/>
      <c r="UMF3" s="0"/>
      <c r="UMG3" s="0"/>
      <c r="UMH3" s="0"/>
      <c r="UMI3" s="0"/>
      <c r="UMJ3" s="0"/>
      <c r="UMK3" s="0"/>
      <c r="UML3" s="0"/>
      <c r="UMM3" s="0"/>
      <c r="UMN3" s="0"/>
      <c r="UMO3" s="0"/>
      <c r="UMP3" s="0"/>
      <c r="UMQ3" s="0"/>
      <c r="UMR3" s="0"/>
      <c r="UMS3" s="0"/>
      <c r="UMT3" s="0"/>
      <c r="UMU3" s="0"/>
      <c r="UMV3" s="0"/>
      <c r="UMW3" s="0"/>
      <c r="UMX3" s="0"/>
      <c r="UMY3" s="0"/>
      <c r="UMZ3" s="0"/>
      <c r="UNA3" s="0"/>
      <c r="UNB3" s="0"/>
      <c r="UNC3" s="0"/>
      <c r="UND3" s="0"/>
      <c r="UNE3" s="0"/>
      <c r="UNF3" s="0"/>
      <c r="UNG3" s="0"/>
      <c r="UNH3" s="0"/>
      <c r="UNI3" s="0"/>
      <c r="UNJ3" s="0"/>
      <c r="UNK3" s="0"/>
      <c r="UNL3" s="0"/>
      <c r="UNM3" s="0"/>
      <c r="UNN3" s="0"/>
      <c r="UNO3" s="0"/>
      <c r="UNP3" s="0"/>
      <c r="UNQ3" s="0"/>
      <c r="UNR3" s="0"/>
      <c r="UNS3" s="0"/>
      <c r="UNT3" s="0"/>
      <c r="UNU3" s="0"/>
      <c r="UNV3" s="0"/>
      <c r="UNW3" s="0"/>
      <c r="UNX3" s="0"/>
      <c r="UNY3" s="0"/>
      <c r="UNZ3" s="0"/>
      <c r="UOA3" s="0"/>
      <c r="UOB3" s="0"/>
      <c r="UOC3" s="0"/>
      <c r="UOD3" s="0"/>
      <c r="UOE3" s="0"/>
      <c r="UOF3" s="0"/>
      <c r="UOG3" s="0"/>
      <c r="UOH3" s="0"/>
      <c r="UOI3" s="0"/>
      <c r="UOJ3" s="0"/>
      <c r="UOK3" s="0"/>
      <c r="UOL3" s="0"/>
      <c r="UOM3" s="0"/>
      <c r="UON3" s="0"/>
      <c r="UOO3" s="0"/>
      <c r="UOP3" s="0"/>
      <c r="UOQ3" s="0"/>
      <c r="UOR3" s="0"/>
      <c r="UOS3" s="0"/>
      <c r="UOT3" s="0"/>
      <c r="UOU3" s="0"/>
      <c r="UOV3" s="0"/>
      <c r="UOW3" s="0"/>
      <c r="UOX3" s="0"/>
      <c r="UOY3" s="0"/>
      <c r="UOZ3" s="0"/>
      <c r="UPA3" s="0"/>
      <c r="UPB3" s="0"/>
      <c r="UPC3" s="0"/>
      <c r="UPD3" s="0"/>
      <c r="UPE3" s="0"/>
      <c r="UPF3" s="0"/>
      <c r="UPG3" s="0"/>
      <c r="UPH3" s="0"/>
      <c r="UPI3" s="0"/>
      <c r="UPJ3" s="0"/>
      <c r="UPK3" s="0"/>
      <c r="UPL3" s="0"/>
      <c r="UPM3" s="0"/>
      <c r="UPN3" s="0"/>
      <c r="UPO3" s="0"/>
      <c r="UPP3" s="0"/>
      <c r="UPQ3" s="0"/>
      <c r="UPR3" s="0"/>
      <c r="UPS3" s="0"/>
      <c r="UPT3" s="0"/>
      <c r="UPU3" s="0"/>
      <c r="UPV3" s="0"/>
      <c r="UPW3" s="0"/>
      <c r="UPX3" s="0"/>
      <c r="UPY3" s="0"/>
      <c r="UPZ3" s="0"/>
      <c r="UQA3" s="0"/>
      <c r="UQB3" s="0"/>
      <c r="UQC3" s="0"/>
      <c r="UQD3" s="0"/>
      <c r="UQE3" s="0"/>
      <c r="UQF3" s="0"/>
      <c r="UQG3" s="0"/>
      <c r="UQH3" s="0"/>
      <c r="UQI3" s="0"/>
      <c r="UQJ3" s="0"/>
      <c r="UQK3" s="0"/>
      <c r="UQL3" s="0"/>
      <c r="UQM3" s="0"/>
      <c r="UQN3" s="0"/>
      <c r="UQO3" s="0"/>
      <c r="UQP3" s="0"/>
      <c r="UQQ3" s="0"/>
      <c r="UQR3" s="0"/>
      <c r="UQS3" s="0"/>
      <c r="UQT3" s="0"/>
      <c r="UQU3" s="0"/>
      <c r="UQV3" s="0"/>
      <c r="UQW3" s="0"/>
      <c r="UQX3" s="0"/>
      <c r="UQY3" s="0"/>
      <c r="UQZ3" s="0"/>
      <c r="URA3" s="0"/>
      <c r="URB3" s="0"/>
      <c r="URC3" s="0"/>
      <c r="URD3" s="0"/>
      <c r="URE3" s="0"/>
      <c r="URF3" s="0"/>
      <c r="URG3" s="0"/>
      <c r="URH3" s="0"/>
      <c r="URI3" s="0"/>
      <c r="URJ3" s="0"/>
      <c r="URK3" s="0"/>
      <c r="URL3" s="0"/>
      <c r="URM3" s="0"/>
      <c r="URN3" s="0"/>
      <c r="URO3" s="0"/>
      <c r="URP3" s="0"/>
      <c r="URQ3" s="0"/>
      <c r="URR3" s="0"/>
      <c r="URS3" s="0"/>
      <c r="URT3" s="0"/>
      <c r="URU3" s="0"/>
      <c r="URV3" s="0"/>
      <c r="URW3" s="0"/>
      <c r="URX3" s="0"/>
      <c r="URY3" s="0"/>
      <c r="URZ3" s="0"/>
      <c r="USA3" s="0"/>
      <c r="USB3" s="0"/>
      <c r="USC3" s="0"/>
      <c r="USD3" s="0"/>
      <c r="USE3" s="0"/>
      <c r="USF3" s="0"/>
      <c r="USG3" s="0"/>
      <c r="USH3" s="0"/>
      <c r="USI3" s="0"/>
      <c r="USJ3" s="0"/>
      <c r="USK3" s="0"/>
      <c r="USL3" s="0"/>
      <c r="USM3" s="0"/>
      <c r="USN3" s="0"/>
      <c r="USO3" s="0"/>
      <c r="USP3" s="0"/>
      <c r="USQ3" s="0"/>
      <c r="USR3" s="0"/>
      <c r="USS3" s="0"/>
      <c r="UST3" s="0"/>
      <c r="USU3" s="0"/>
      <c r="USV3" s="0"/>
      <c r="USW3" s="0"/>
      <c r="USX3" s="0"/>
      <c r="USY3" s="0"/>
      <c r="USZ3" s="0"/>
      <c r="UTA3" s="0"/>
      <c r="UTB3" s="0"/>
      <c r="UTC3" s="0"/>
      <c r="UTD3" s="0"/>
      <c r="UTE3" s="0"/>
      <c r="UTF3" s="0"/>
      <c r="UTG3" s="0"/>
      <c r="UTH3" s="0"/>
      <c r="UTI3" s="0"/>
      <c r="UTJ3" s="0"/>
      <c r="UTK3" s="0"/>
      <c r="UTL3" s="0"/>
      <c r="UTM3" s="0"/>
      <c r="UTN3" s="0"/>
      <c r="UTO3" s="0"/>
      <c r="UTP3" s="0"/>
      <c r="UTQ3" s="0"/>
      <c r="UTR3" s="0"/>
      <c r="UTS3" s="0"/>
      <c r="UTT3" s="0"/>
      <c r="UTU3" s="0"/>
      <c r="UTV3" s="0"/>
      <c r="UTW3" s="0"/>
      <c r="UTX3" s="0"/>
      <c r="UTY3" s="0"/>
      <c r="UTZ3" s="0"/>
      <c r="UUA3" s="0"/>
      <c r="UUB3" s="0"/>
      <c r="UUC3" s="0"/>
      <c r="UUD3" s="0"/>
      <c r="UUE3" s="0"/>
      <c r="UUF3" s="0"/>
      <c r="UUG3" s="0"/>
      <c r="UUH3" s="0"/>
      <c r="UUI3" s="0"/>
      <c r="UUJ3" s="0"/>
      <c r="UUK3" s="0"/>
      <c r="UUL3" s="0"/>
      <c r="UUM3" s="0"/>
      <c r="UUN3" s="0"/>
      <c r="UUO3" s="0"/>
      <c r="UUP3" s="0"/>
      <c r="UUQ3" s="0"/>
      <c r="UUR3" s="0"/>
      <c r="UUS3" s="0"/>
      <c r="UUT3" s="0"/>
      <c r="UUU3" s="0"/>
      <c r="UUV3" s="0"/>
      <c r="UUW3" s="0"/>
      <c r="UUX3" s="0"/>
      <c r="UUY3" s="0"/>
      <c r="UUZ3" s="0"/>
      <c r="UVA3" s="0"/>
      <c r="UVB3" s="0"/>
      <c r="UVC3" s="0"/>
      <c r="UVD3" s="0"/>
      <c r="UVE3" s="0"/>
      <c r="UVF3" s="0"/>
      <c r="UVG3" s="0"/>
      <c r="UVH3" s="0"/>
      <c r="UVI3" s="0"/>
      <c r="UVJ3" s="0"/>
      <c r="UVK3" s="0"/>
      <c r="UVL3" s="0"/>
      <c r="UVM3" s="0"/>
      <c r="UVN3" s="0"/>
      <c r="UVO3" s="0"/>
      <c r="UVP3" s="0"/>
      <c r="UVQ3" s="0"/>
      <c r="UVR3" s="0"/>
      <c r="UVS3" s="0"/>
      <c r="UVT3" s="0"/>
      <c r="UVU3" s="0"/>
      <c r="UVV3" s="0"/>
      <c r="UVW3" s="0"/>
      <c r="UVX3" s="0"/>
      <c r="UVY3" s="0"/>
      <c r="UVZ3" s="0"/>
      <c r="UWA3" s="0"/>
      <c r="UWB3" s="0"/>
      <c r="UWC3" s="0"/>
      <c r="UWD3" s="0"/>
      <c r="UWE3" s="0"/>
      <c r="UWF3" s="0"/>
      <c r="UWG3" s="0"/>
      <c r="UWH3" s="0"/>
      <c r="UWI3" s="0"/>
      <c r="UWJ3" s="0"/>
      <c r="UWK3" s="0"/>
      <c r="UWL3" s="0"/>
      <c r="UWM3" s="0"/>
      <c r="UWN3" s="0"/>
      <c r="UWO3" s="0"/>
      <c r="UWP3" s="0"/>
      <c r="UWQ3" s="0"/>
      <c r="UWR3" s="0"/>
      <c r="UWS3" s="0"/>
      <c r="UWT3" s="0"/>
      <c r="UWU3" s="0"/>
      <c r="UWV3" s="0"/>
      <c r="UWW3" s="0"/>
      <c r="UWX3" s="0"/>
      <c r="UWY3" s="0"/>
      <c r="UWZ3" s="0"/>
      <c r="UXA3" s="0"/>
      <c r="UXB3" s="0"/>
      <c r="UXC3" s="0"/>
      <c r="UXD3" s="0"/>
      <c r="UXE3" s="0"/>
      <c r="UXF3" s="0"/>
      <c r="UXG3" s="0"/>
      <c r="UXH3" s="0"/>
      <c r="UXI3" s="0"/>
      <c r="UXJ3" s="0"/>
      <c r="UXK3" s="0"/>
      <c r="UXL3" s="0"/>
      <c r="UXM3" s="0"/>
      <c r="UXN3" s="0"/>
      <c r="UXO3" s="0"/>
      <c r="UXP3" s="0"/>
      <c r="UXQ3" s="0"/>
      <c r="UXR3" s="0"/>
      <c r="UXS3" s="0"/>
      <c r="UXT3" s="0"/>
      <c r="UXU3" s="0"/>
      <c r="UXV3" s="0"/>
      <c r="UXW3" s="0"/>
      <c r="UXX3" s="0"/>
      <c r="UXY3" s="0"/>
      <c r="UXZ3" s="0"/>
      <c r="UYA3" s="0"/>
      <c r="UYB3" s="0"/>
      <c r="UYC3" s="0"/>
      <c r="UYD3" s="0"/>
      <c r="UYE3" s="0"/>
      <c r="UYF3" s="0"/>
      <c r="UYG3" s="0"/>
      <c r="UYH3" s="0"/>
      <c r="UYI3" s="0"/>
      <c r="UYJ3" s="0"/>
      <c r="UYK3" s="0"/>
      <c r="UYL3" s="0"/>
      <c r="UYM3" s="0"/>
      <c r="UYN3" s="0"/>
      <c r="UYO3" s="0"/>
      <c r="UYP3" s="0"/>
      <c r="UYQ3" s="0"/>
      <c r="UYR3" s="0"/>
      <c r="UYS3" s="0"/>
      <c r="UYT3" s="0"/>
      <c r="UYU3" s="0"/>
      <c r="UYV3" s="0"/>
      <c r="UYW3" s="0"/>
      <c r="UYX3" s="0"/>
      <c r="UYY3" s="0"/>
      <c r="UYZ3" s="0"/>
      <c r="UZA3" s="0"/>
      <c r="UZB3" s="0"/>
      <c r="UZC3" s="0"/>
      <c r="UZD3" s="0"/>
      <c r="UZE3" s="0"/>
      <c r="UZF3" s="0"/>
      <c r="UZG3" s="0"/>
      <c r="UZH3" s="0"/>
      <c r="UZI3" s="0"/>
      <c r="UZJ3" s="0"/>
      <c r="UZK3" s="0"/>
      <c r="UZL3" s="0"/>
      <c r="UZM3" s="0"/>
      <c r="UZN3" s="0"/>
      <c r="UZO3" s="0"/>
      <c r="UZP3" s="0"/>
      <c r="UZQ3" s="0"/>
      <c r="UZR3" s="0"/>
      <c r="UZS3" s="0"/>
      <c r="UZT3" s="0"/>
      <c r="UZU3" s="0"/>
      <c r="UZV3" s="0"/>
      <c r="UZW3" s="0"/>
      <c r="UZX3" s="0"/>
      <c r="UZY3" s="0"/>
      <c r="UZZ3" s="0"/>
      <c r="VAA3" s="0"/>
      <c r="VAB3" s="0"/>
      <c r="VAC3" s="0"/>
      <c r="VAD3" s="0"/>
      <c r="VAE3" s="0"/>
      <c r="VAF3" s="0"/>
      <c r="VAG3" s="0"/>
      <c r="VAH3" s="0"/>
      <c r="VAI3" s="0"/>
      <c r="VAJ3" s="0"/>
      <c r="VAK3" s="0"/>
      <c r="VAL3" s="0"/>
      <c r="VAM3" s="0"/>
      <c r="VAN3" s="0"/>
      <c r="VAO3" s="0"/>
      <c r="VAP3" s="0"/>
      <c r="VAQ3" s="0"/>
      <c r="VAR3" s="0"/>
      <c r="VAS3" s="0"/>
      <c r="VAT3" s="0"/>
      <c r="VAU3" s="0"/>
      <c r="VAV3" s="0"/>
      <c r="VAW3" s="0"/>
      <c r="VAX3" s="0"/>
      <c r="VAY3" s="0"/>
      <c r="VAZ3" s="0"/>
      <c r="VBA3" s="0"/>
      <c r="VBB3" s="0"/>
      <c r="VBC3" s="0"/>
      <c r="VBD3" s="0"/>
      <c r="VBE3" s="0"/>
      <c r="VBF3" s="0"/>
      <c r="VBG3" s="0"/>
      <c r="VBH3" s="0"/>
      <c r="VBI3" s="0"/>
      <c r="VBJ3" s="0"/>
      <c r="VBK3" s="0"/>
      <c r="VBL3" s="0"/>
      <c r="VBM3" s="0"/>
      <c r="VBN3" s="0"/>
      <c r="VBO3" s="0"/>
      <c r="VBP3" s="0"/>
      <c r="VBQ3" s="0"/>
      <c r="VBR3" s="0"/>
      <c r="VBS3" s="0"/>
      <c r="VBT3" s="0"/>
      <c r="VBU3" s="0"/>
      <c r="VBV3" s="0"/>
      <c r="VBW3" s="0"/>
      <c r="VBX3" s="0"/>
      <c r="VBY3" s="0"/>
      <c r="VBZ3" s="0"/>
      <c r="VCA3" s="0"/>
      <c r="VCB3" s="0"/>
      <c r="VCC3" s="0"/>
      <c r="VCD3" s="0"/>
      <c r="VCE3" s="0"/>
      <c r="VCF3" s="0"/>
      <c r="VCG3" s="0"/>
      <c r="VCH3" s="0"/>
      <c r="VCI3" s="0"/>
      <c r="VCJ3" s="0"/>
      <c r="VCK3" s="0"/>
      <c r="VCL3" s="0"/>
      <c r="VCM3" s="0"/>
      <c r="VCN3" s="0"/>
      <c r="VCO3" s="0"/>
      <c r="VCP3" s="0"/>
      <c r="VCQ3" s="0"/>
      <c r="VCR3" s="0"/>
      <c r="VCS3" s="0"/>
      <c r="VCT3" s="0"/>
      <c r="VCU3" s="0"/>
      <c r="VCV3" s="0"/>
      <c r="VCW3" s="0"/>
      <c r="VCX3" s="0"/>
      <c r="VCY3" s="0"/>
      <c r="VCZ3" s="0"/>
      <c r="VDA3" s="0"/>
      <c r="VDB3" s="0"/>
      <c r="VDC3" s="0"/>
      <c r="VDD3" s="0"/>
      <c r="VDE3" s="0"/>
      <c r="VDF3" s="0"/>
      <c r="VDG3" s="0"/>
      <c r="VDH3" s="0"/>
      <c r="VDI3" s="0"/>
      <c r="VDJ3" s="0"/>
      <c r="VDK3" s="0"/>
      <c r="VDL3" s="0"/>
      <c r="VDM3" s="0"/>
      <c r="VDN3" s="0"/>
      <c r="VDO3" s="0"/>
      <c r="VDP3" s="0"/>
      <c r="VDQ3" s="0"/>
      <c r="VDR3" s="0"/>
      <c r="VDS3" s="0"/>
      <c r="VDT3" s="0"/>
      <c r="VDU3" s="0"/>
      <c r="VDV3" s="0"/>
      <c r="VDW3" s="0"/>
      <c r="VDX3" s="0"/>
      <c r="VDY3" s="0"/>
      <c r="VDZ3" s="0"/>
      <c r="VEA3" s="0"/>
      <c r="VEB3" s="0"/>
      <c r="VEC3" s="0"/>
      <c r="VED3" s="0"/>
      <c r="VEE3" s="0"/>
      <c r="VEF3" s="0"/>
      <c r="VEG3" s="0"/>
      <c r="VEH3" s="0"/>
      <c r="VEI3" s="0"/>
      <c r="VEJ3" s="0"/>
      <c r="VEK3" s="0"/>
      <c r="VEL3" s="0"/>
      <c r="VEM3" s="0"/>
      <c r="VEN3" s="0"/>
      <c r="VEO3" s="0"/>
      <c r="VEP3" s="0"/>
      <c r="VEQ3" s="0"/>
      <c r="VER3" s="0"/>
      <c r="VES3" s="0"/>
      <c r="VET3" s="0"/>
      <c r="VEU3" s="0"/>
      <c r="VEV3" s="0"/>
      <c r="VEW3" s="0"/>
      <c r="VEX3" s="0"/>
      <c r="VEY3" s="0"/>
      <c r="VEZ3" s="0"/>
      <c r="VFA3" s="0"/>
      <c r="VFB3" s="0"/>
      <c r="VFC3" s="0"/>
      <c r="VFD3" s="0"/>
      <c r="VFE3" s="0"/>
      <c r="VFF3" s="0"/>
      <c r="VFG3" s="0"/>
      <c r="VFH3" s="0"/>
      <c r="VFI3" s="0"/>
      <c r="VFJ3" s="0"/>
      <c r="VFK3" s="0"/>
      <c r="VFL3" s="0"/>
      <c r="VFM3" s="0"/>
      <c r="VFN3" s="0"/>
      <c r="VFO3" s="0"/>
      <c r="VFP3" s="0"/>
      <c r="VFQ3" s="0"/>
      <c r="VFR3" s="0"/>
      <c r="VFS3" s="0"/>
      <c r="VFT3" s="0"/>
      <c r="VFU3" s="0"/>
      <c r="VFV3" s="0"/>
      <c r="VFW3" s="0"/>
      <c r="VFX3" s="0"/>
      <c r="VFY3" s="0"/>
      <c r="VFZ3" s="0"/>
      <c r="VGA3" s="0"/>
      <c r="VGB3" s="0"/>
      <c r="VGC3" s="0"/>
      <c r="VGD3" s="0"/>
      <c r="VGE3" s="0"/>
      <c r="VGF3" s="0"/>
      <c r="VGG3" s="0"/>
      <c r="VGH3" s="0"/>
      <c r="VGI3" s="0"/>
      <c r="VGJ3" s="0"/>
      <c r="VGK3" s="0"/>
      <c r="VGL3" s="0"/>
      <c r="VGM3" s="0"/>
      <c r="VGN3" s="0"/>
      <c r="VGO3" s="0"/>
      <c r="VGP3" s="0"/>
      <c r="VGQ3" s="0"/>
      <c r="VGR3" s="0"/>
      <c r="VGS3" s="0"/>
      <c r="VGT3" s="0"/>
      <c r="VGU3" s="0"/>
      <c r="VGV3" s="0"/>
      <c r="VGW3" s="0"/>
      <c r="VGX3" s="0"/>
      <c r="VGY3" s="0"/>
      <c r="VGZ3" s="0"/>
      <c r="VHA3" s="0"/>
      <c r="VHB3" s="0"/>
      <c r="VHC3" s="0"/>
      <c r="VHD3" s="0"/>
      <c r="VHE3" s="0"/>
      <c r="VHF3" s="0"/>
      <c r="VHG3" s="0"/>
      <c r="VHH3" s="0"/>
      <c r="VHI3" s="0"/>
      <c r="VHJ3" s="0"/>
      <c r="VHK3" s="0"/>
      <c r="VHL3" s="0"/>
      <c r="VHM3" s="0"/>
      <c r="VHN3" s="0"/>
      <c r="VHO3" s="0"/>
      <c r="VHP3" s="0"/>
      <c r="VHQ3" s="0"/>
      <c r="VHR3" s="0"/>
      <c r="VHS3" s="0"/>
      <c r="VHT3" s="0"/>
      <c r="VHU3" s="0"/>
      <c r="VHV3" s="0"/>
      <c r="VHW3" s="0"/>
      <c r="VHX3" s="0"/>
      <c r="VHY3" s="0"/>
      <c r="VHZ3" s="0"/>
      <c r="VIA3" s="0"/>
      <c r="VIB3" s="0"/>
      <c r="VIC3" s="0"/>
      <c r="VID3" s="0"/>
      <c r="VIE3" s="0"/>
      <c r="VIF3" s="0"/>
      <c r="VIG3" s="0"/>
      <c r="VIH3" s="0"/>
      <c r="VII3" s="0"/>
      <c r="VIJ3" s="0"/>
      <c r="VIK3" s="0"/>
      <c r="VIL3" s="0"/>
      <c r="VIM3" s="0"/>
      <c r="VIN3" s="0"/>
      <c r="VIO3" s="0"/>
      <c r="VIP3" s="0"/>
      <c r="VIQ3" s="0"/>
      <c r="VIR3" s="0"/>
      <c r="VIS3" s="0"/>
      <c r="VIT3" s="0"/>
      <c r="VIU3" s="0"/>
      <c r="VIV3" s="0"/>
      <c r="VIW3" s="0"/>
      <c r="VIX3" s="0"/>
      <c r="VIY3" s="0"/>
      <c r="VIZ3" s="0"/>
      <c r="VJA3" s="0"/>
      <c r="VJB3" s="0"/>
      <c r="VJC3" s="0"/>
      <c r="VJD3" s="0"/>
      <c r="VJE3" s="0"/>
      <c r="VJF3" s="0"/>
      <c r="VJG3" s="0"/>
      <c r="VJH3" s="0"/>
      <c r="VJI3" s="0"/>
      <c r="VJJ3" s="0"/>
      <c r="VJK3" s="0"/>
      <c r="VJL3" s="0"/>
      <c r="VJM3" s="0"/>
      <c r="VJN3" s="0"/>
      <c r="VJO3" s="0"/>
      <c r="VJP3" s="0"/>
      <c r="VJQ3" s="0"/>
      <c r="VJR3" s="0"/>
      <c r="VJS3" s="0"/>
      <c r="VJT3" s="0"/>
      <c r="VJU3" s="0"/>
      <c r="VJV3" s="0"/>
      <c r="VJW3" s="0"/>
      <c r="VJX3" s="0"/>
      <c r="VJY3" s="0"/>
      <c r="VJZ3" s="0"/>
      <c r="VKA3" s="0"/>
      <c r="VKB3" s="0"/>
      <c r="VKC3" s="0"/>
      <c r="VKD3" s="0"/>
      <c r="VKE3" s="0"/>
      <c r="VKF3" s="0"/>
      <c r="VKG3" s="0"/>
      <c r="VKH3" s="0"/>
      <c r="VKI3" s="0"/>
      <c r="VKJ3" s="0"/>
      <c r="VKK3" s="0"/>
      <c r="VKL3" s="0"/>
      <c r="VKM3" s="0"/>
      <c r="VKN3" s="0"/>
      <c r="VKO3" s="0"/>
      <c r="VKP3" s="0"/>
      <c r="VKQ3" s="0"/>
      <c r="VKR3" s="0"/>
      <c r="VKS3" s="0"/>
      <c r="VKT3" s="0"/>
      <c r="VKU3" s="0"/>
      <c r="VKV3" s="0"/>
      <c r="VKW3" s="0"/>
      <c r="VKX3" s="0"/>
      <c r="VKY3" s="0"/>
      <c r="VKZ3" s="0"/>
      <c r="VLA3" s="0"/>
      <c r="VLB3" s="0"/>
      <c r="VLC3" s="0"/>
      <c r="VLD3" s="0"/>
      <c r="VLE3" s="0"/>
      <c r="VLF3" s="0"/>
      <c r="VLG3" s="0"/>
      <c r="VLH3" s="0"/>
      <c r="VLI3" s="0"/>
      <c r="VLJ3" s="0"/>
      <c r="VLK3" s="0"/>
      <c r="VLL3" s="0"/>
      <c r="VLM3" s="0"/>
      <c r="VLN3" s="0"/>
      <c r="VLO3" s="0"/>
      <c r="VLP3" s="0"/>
      <c r="VLQ3" s="0"/>
      <c r="VLR3" s="0"/>
      <c r="VLS3" s="0"/>
      <c r="VLT3" s="0"/>
      <c r="VLU3" s="0"/>
      <c r="VLV3" s="0"/>
      <c r="VLW3" s="0"/>
      <c r="VLX3" s="0"/>
      <c r="VLY3" s="0"/>
      <c r="VLZ3" s="0"/>
      <c r="VMA3" s="0"/>
      <c r="VMB3" s="0"/>
      <c r="VMC3" s="0"/>
      <c r="VMD3" s="0"/>
      <c r="VME3" s="0"/>
      <c r="VMF3" s="0"/>
      <c r="VMG3" s="0"/>
      <c r="VMH3" s="0"/>
      <c r="VMI3" s="0"/>
      <c r="VMJ3" s="0"/>
      <c r="VMK3" s="0"/>
      <c r="VML3" s="0"/>
      <c r="VMM3" s="0"/>
      <c r="VMN3" s="0"/>
      <c r="VMO3" s="0"/>
      <c r="VMP3" s="0"/>
      <c r="VMQ3" s="0"/>
      <c r="VMR3" s="0"/>
      <c r="VMS3" s="0"/>
      <c r="VMT3" s="0"/>
      <c r="VMU3" s="0"/>
      <c r="VMV3" s="0"/>
      <c r="VMW3" s="0"/>
      <c r="VMX3" s="0"/>
      <c r="VMY3" s="0"/>
      <c r="VMZ3" s="0"/>
      <c r="VNA3" s="0"/>
      <c r="VNB3" s="0"/>
      <c r="VNC3" s="0"/>
      <c r="VND3" s="0"/>
      <c r="VNE3" s="0"/>
      <c r="VNF3" s="0"/>
      <c r="VNG3" s="0"/>
      <c r="VNH3" s="0"/>
      <c r="VNI3" s="0"/>
      <c r="VNJ3" s="0"/>
      <c r="VNK3" s="0"/>
      <c r="VNL3" s="0"/>
      <c r="VNM3" s="0"/>
      <c r="VNN3" s="0"/>
      <c r="VNO3" s="0"/>
      <c r="VNP3" s="0"/>
      <c r="VNQ3" s="0"/>
      <c r="VNR3" s="0"/>
      <c r="VNS3" s="0"/>
      <c r="VNT3" s="0"/>
      <c r="VNU3" s="0"/>
      <c r="VNV3" s="0"/>
      <c r="VNW3" s="0"/>
      <c r="VNX3" s="0"/>
      <c r="VNY3" s="0"/>
      <c r="VNZ3" s="0"/>
      <c r="VOA3" s="0"/>
      <c r="VOB3" s="0"/>
      <c r="VOC3" s="0"/>
      <c r="VOD3" s="0"/>
      <c r="VOE3" s="0"/>
      <c r="VOF3" s="0"/>
      <c r="VOG3" s="0"/>
      <c r="VOH3" s="0"/>
      <c r="VOI3" s="0"/>
      <c r="VOJ3" s="0"/>
      <c r="VOK3" s="0"/>
      <c r="VOL3" s="0"/>
      <c r="VOM3" s="0"/>
      <c r="VON3" s="0"/>
      <c r="VOO3" s="0"/>
      <c r="VOP3" s="0"/>
      <c r="VOQ3" s="0"/>
      <c r="VOR3" s="0"/>
      <c r="VOS3" s="0"/>
      <c r="VOT3" s="0"/>
      <c r="VOU3" s="0"/>
      <c r="VOV3" s="0"/>
      <c r="VOW3" s="0"/>
      <c r="VOX3" s="0"/>
      <c r="VOY3" s="0"/>
      <c r="VOZ3" s="0"/>
      <c r="VPA3" s="0"/>
      <c r="VPB3" s="0"/>
      <c r="VPC3" s="0"/>
      <c r="VPD3" s="0"/>
      <c r="VPE3" s="0"/>
      <c r="VPF3" s="0"/>
      <c r="VPG3" s="0"/>
      <c r="VPH3" s="0"/>
      <c r="VPI3" s="0"/>
      <c r="VPJ3" s="0"/>
      <c r="VPK3" s="0"/>
      <c r="VPL3" s="0"/>
      <c r="VPM3" s="0"/>
      <c r="VPN3" s="0"/>
      <c r="VPO3" s="0"/>
      <c r="VPP3" s="0"/>
      <c r="VPQ3" s="0"/>
      <c r="VPR3" s="0"/>
      <c r="VPS3" s="0"/>
      <c r="VPT3" s="0"/>
      <c r="VPU3" s="0"/>
      <c r="VPV3" s="0"/>
      <c r="VPW3" s="0"/>
      <c r="VPX3" s="0"/>
      <c r="VPY3" s="0"/>
      <c r="VPZ3" s="0"/>
      <c r="VQA3" s="0"/>
      <c r="VQB3" s="0"/>
      <c r="VQC3" s="0"/>
      <c r="VQD3" s="0"/>
      <c r="VQE3" s="0"/>
      <c r="VQF3" s="0"/>
      <c r="VQG3" s="0"/>
      <c r="VQH3" s="0"/>
      <c r="VQI3" s="0"/>
      <c r="VQJ3" s="0"/>
      <c r="VQK3" s="0"/>
      <c r="VQL3" s="0"/>
      <c r="VQM3" s="0"/>
      <c r="VQN3" s="0"/>
      <c r="VQO3" s="0"/>
      <c r="VQP3" s="0"/>
      <c r="VQQ3" s="0"/>
      <c r="VQR3" s="0"/>
      <c r="VQS3" s="0"/>
      <c r="VQT3" s="0"/>
      <c r="VQU3" s="0"/>
      <c r="VQV3" s="0"/>
      <c r="VQW3" s="0"/>
      <c r="VQX3" s="0"/>
      <c r="VQY3" s="0"/>
      <c r="VQZ3" s="0"/>
      <c r="VRA3" s="0"/>
      <c r="VRB3" s="0"/>
      <c r="VRC3" s="0"/>
      <c r="VRD3" s="0"/>
      <c r="VRE3" s="0"/>
      <c r="VRF3" s="0"/>
      <c r="VRG3" s="0"/>
      <c r="VRH3" s="0"/>
      <c r="VRI3" s="0"/>
      <c r="VRJ3" s="0"/>
      <c r="VRK3" s="0"/>
      <c r="VRL3" s="0"/>
      <c r="VRM3" s="0"/>
      <c r="VRN3" s="0"/>
      <c r="VRO3" s="0"/>
      <c r="VRP3" s="0"/>
      <c r="VRQ3" s="0"/>
      <c r="VRR3" s="0"/>
      <c r="VRS3" s="0"/>
      <c r="VRT3" s="0"/>
      <c r="VRU3" s="0"/>
      <c r="VRV3" s="0"/>
      <c r="VRW3" s="0"/>
      <c r="VRX3" s="0"/>
      <c r="VRY3" s="0"/>
      <c r="VRZ3" s="0"/>
      <c r="VSA3" s="0"/>
      <c r="VSB3" s="0"/>
      <c r="VSC3" s="0"/>
      <c r="VSD3" s="0"/>
      <c r="VSE3" s="0"/>
      <c r="VSF3" s="0"/>
      <c r="VSG3" s="0"/>
      <c r="VSH3" s="0"/>
      <c r="VSI3" s="0"/>
      <c r="VSJ3" s="0"/>
      <c r="VSK3" s="0"/>
      <c r="VSL3" s="0"/>
      <c r="VSM3" s="0"/>
      <c r="VSN3" s="0"/>
      <c r="VSO3" s="0"/>
      <c r="VSP3" s="0"/>
      <c r="VSQ3" s="0"/>
      <c r="VSR3" s="0"/>
      <c r="VSS3" s="0"/>
      <c r="VST3" s="0"/>
      <c r="VSU3" s="0"/>
      <c r="VSV3" s="0"/>
      <c r="VSW3" s="0"/>
      <c r="VSX3" s="0"/>
      <c r="VSY3" s="0"/>
      <c r="VSZ3" s="0"/>
      <c r="VTA3" s="0"/>
      <c r="VTB3" s="0"/>
      <c r="VTC3" s="0"/>
      <c r="VTD3" s="0"/>
      <c r="VTE3" s="0"/>
      <c r="VTF3" s="0"/>
      <c r="VTG3" s="0"/>
      <c r="VTH3" s="0"/>
      <c r="VTI3" s="0"/>
      <c r="VTJ3" s="0"/>
      <c r="VTK3" s="0"/>
      <c r="VTL3" s="0"/>
      <c r="VTM3" s="0"/>
      <c r="VTN3" s="0"/>
      <c r="VTO3" s="0"/>
      <c r="VTP3" s="0"/>
      <c r="VTQ3" s="0"/>
      <c r="VTR3" s="0"/>
      <c r="VTS3" s="0"/>
      <c r="VTT3" s="0"/>
      <c r="VTU3" s="0"/>
      <c r="VTV3" s="0"/>
      <c r="VTW3" s="0"/>
      <c r="VTX3" s="0"/>
      <c r="VTY3" s="0"/>
      <c r="VTZ3" s="0"/>
      <c r="VUA3" s="0"/>
      <c r="VUB3" s="0"/>
      <c r="VUC3" s="0"/>
      <c r="VUD3" s="0"/>
      <c r="VUE3" s="0"/>
      <c r="VUF3" s="0"/>
      <c r="VUG3" s="0"/>
      <c r="VUH3" s="0"/>
      <c r="VUI3" s="0"/>
      <c r="VUJ3" s="0"/>
      <c r="VUK3" s="0"/>
      <c r="VUL3" s="0"/>
      <c r="VUM3" s="0"/>
      <c r="VUN3" s="0"/>
      <c r="VUO3" s="0"/>
      <c r="VUP3" s="0"/>
      <c r="VUQ3" s="0"/>
      <c r="VUR3" s="0"/>
      <c r="VUS3" s="0"/>
      <c r="VUT3" s="0"/>
      <c r="VUU3" s="0"/>
      <c r="VUV3" s="0"/>
      <c r="VUW3" s="0"/>
      <c r="VUX3" s="0"/>
      <c r="VUY3" s="0"/>
      <c r="VUZ3" s="0"/>
      <c r="VVA3" s="0"/>
      <c r="VVB3" s="0"/>
      <c r="VVC3" s="0"/>
      <c r="VVD3" s="0"/>
      <c r="VVE3" s="0"/>
      <c r="VVF3" s="0"/>
      <c r="VVG3" s="0"/>
      <c r="VVH3" s="0"/>
      <c r="VVI3" s="0"/>
      <c r="VVJ3" s="0"/>
      <c r="VVK3" s="0"/>
      <c r="VVL3" s="0"/>
      <c r="VVM3" s="0"/>
      <c r="VVN3" s="0"/>
      <c r="VVO3" s="0"/>
      <c r="VVP3" s="0"/>
      <c r="VVQ3" s="0"/>
      <c r="VVR3" s="0"/>
      <c r="VVS3" s="0"/>
      <c r="VVT3" s="0"/>
      <c r="VVU3" s="0"/>
      <c r="VVV3" s="0"/>
      <c r="VVW3" s="0"/>
      <c r="VVX3" s="0"/>
      <c r="VVY3" s="0"/>
      <c r="VVZ3" s="0"/>
      <c r="VWA3" s="0"/>
      <c r="VWB3" s="0"/>
      <c r="VWC3" s="0"/>
      <c r="VWD3" s="0"/>
      <c r="VWE3" s="0"/>
      <c r="VWF3" s="0"/>
      <c r="VWG3" s="0"/>
      <c r="VWH3" s="0"/>
      <c r="VWI3" s="0"/>
      <c r="VWJ3" s="0"/>
      <c r="VWK3" s="0"/>
      <c r="VWL3" s="0"/>
      <c r="VWM3" s="0"/>
      <c r="VWN3" s="0"/>
      <c r="VWO3" s="0"/>
      <c r="VWP3" s="0"/>
      <c r="VWQ3" s="0"/>
      <c r="VWR3" s="0"/>
      <c r="VWS3" s="0"/>
      <c r="VWT3" s="0"/>
      <c r="VWU3" s="0"/>
      <c r="VWV3" s="0"/>
      <c r="VWW3" s="0"/>
      <c r="VWX3" s="0"/>
      <c r="VWY3" s="0"/>
      <c r="VWZ3" s="0"/>
      <c r="VXA3" s="0"/>
      <c r="VXB3" s="0"/>
      <c r="VXC3" s="0"/>
      <c r="VXD3" s="0"/>
      <c r="VXE3" s="0"/>
      <c r="VXF3" s="0"/>
      <c r="VXG3" s="0"/>
      <c r="VXH3" s="0"/>
      <c r="VXI3" s="0"/>
      <c r="VXJ3" s="0"/>
      <c r="VXK3" s="0"/>
      <c r="VXL3" s="0"/>
      <c r="VXM3" s="0"/>
      <c r="VXN3" s="0"/>
      <c r="VXO3" s="0"/>
      <c r="VXP3" s="0"/>
      <c r="VXQ3" s="0"/>
      <c r="VXR3" s="0"/>
      <c r="VXS3" s="0"/>
      <c r="VXT3" s="0"/>
      <c r="VXU3" s="0"/>
      <c r="VXV3" s="0"/>
      <c r="VXW3" s="0"/>
      <c r="VXX3" s="0"/>
      <c r="VXY3" s="0"/>
      <c r="VXZ3" s="0"/>
      <c r="VYA3" s="0"/>
      <c r="VYB3" s="0"/>
      <c r="VYC3" s="0"/>
      <c r="VYD3" s="0"/>
      <c r="VYE3" s="0"/>
      <c r="VYF3" s="0"/>
      <c r="VYG3" s="0"/>
      <c r="VYH3" s="0"/>
      <c r="VYI3" s="0"/>
      <c r="VYJ3" s="0"/>
      <c r="VYK3" s="0"/>
      <c r="VYL3" s="0"/>
      <c r="VYM3" s="0"/>
      <c r="VYN3" s="0"/>
      <c r="VYO3" s="0"/>
      <c r="VYP3" s="0"/>
      <c r="VYQ3" s="0"/>
      <c r="VYR3" s="0"/>
      <c r="VYS3" s="0"/>
      <c r="VYT3" s="0"/>
      <c r="VYU3" s="0"/>
      <c r="VYV3" s="0"/>
      <c r="VYW3" s="0"/>
      <c r="VYX3" s="0"/>
      <c r="VYY3" s="0"/>
      <c r="VYZ3" s="0"/>
      <c r="VZA3" s="0"/>
      <c r="VZB3" s="0"/>
      <c r="VZC3" s="0"/>
      <c r="VZD3" s="0"/>
      <c r="VZE3" s="0"/>
      <c r="VZF3" s="0"/>
      <c r="VZG3" s="0"/>
      <c r="VZH3" s="0"/>
      <c r="VZI3" s="0"/>
      <c r="VZJ3" s="0"/>
      <c r="VZK3" s="0"/>
      <c r="VZL3" s="0"/>
      <c r="VZM3" s="0"/>
      <c r="VZN3" s="0"/>
      <c r="VZO3" s="0"/>
      <c r="VZP3" s="0"/>
      <c r="VZQ3" s="0"/>
      <c r="VZR3" s="0"/>
      <c r="VZS3" s="0"/>
      <c r="VZT3" s="0"/>
      <c r="VZU3" s="0"/>
      <c r="VZV3" s="0"/>
      <c r="VZW3" s="0"/>
      <c r="VZX3" s="0"/>
      <c r="VZY3" s="0"/>
      <c r="VZZ3" s="0"/>
      <c r="WAA3" s="0"/>
      <c r="WAB3" s="0"/>
      <c r="WAC3" s="0"/>
      <c r="WAD3" s="0"/>
      <c r="WAE3" s="0"/>
      <c r="WAF3" s="0"/>
      <c r="WAG3" s="0"/>
      <c r="WAH3" s="0"/>
      <c r="WAI3" s="0"/>
      <c r="WAJ3" s="0"/>
      <c r="WAK3" s="0"/>
      <c r="WAL3" s="0"/>
      <c r="WAM3" s="0"/>
      <c r="WAN3" s="0"/>
      <c r="WAO3" s="0"/>
      <c r="WAP3" s="0"/>
      <c r="WAQ3" s="0"/>
      <c r="WAR3" s="0"/>
      <c r="WAS3" s="0"/>
      <c r="WAT3" s="0"/>
      <c r="WAU3" s="0"/>
      <c r="WAV3" s="0"/>
      <c r="WAW3" s="0"/>
      <c r="WAX3" s="0"/>
      <c r="WAY3" s="0"/>
      <c r="WAZ3" s="0"/>
      <c r="WBA3" s="0"/>
      <c r="WBB3" s="0"/>
      <c r="WBC3" s="0"/>
      <c r="WBD3" s="0"/>
      <c r="WBE3" s="0"/>
      <c r="WBF3" s="0"/>
      <c r="WBG3" s="0"/>
      <c r="WBH3" s="0"/>
      <c r="WBI3" s="0"/>
      <c r="WBJ3" s="0"/>
      <c r="WBK3" s="0"/>
      <c r="WBL3" s="0"/>
      <c r="WBM3" s="0"/>
      <c r="WBN3" s="0"/>
      <c r="WBO3" s="0"/>
      <c r="WBP3" s="0"/>
      <c r="WBQ3" s="0"/>
      <c r="WBR3" s="0"/>
      <c r="WBS3" s="0"/>
      <c r="WBT3" s="0"/>
      <c r="WBU3" s="0"/>
      <c r="WBV3" s="0"/>
      <c r="WBW3" s="0"/>
      <c r="WBX3" s="0"/>
      <c r="WBY3" s="0"/>
      <c r="WBZ3" s="0"/>
      <c r="WCA3" s="0"/>
      <c r="WCB3" s="0"/>
      <c r="WCC3" s="0"/>
      <c r="WCD3" s="0"/>
      <c r="WCE3" s="0"/>
      <c r="WCF3" s="0"/>
      <c r="WCG3" s="0"/>
      <c r="WCH3" s="0"/>
      <c r="WCI3" s="0"/>
      <c r="WCJ3" s="0"/>
      <c r="WCK3" s="0"/>
      <c r="WCL3" s="0"/>
      <c r="WCM3" s="0"/>
      <c r="WCN3" s="0"/>
      <c r="WCO3" s="0"/>
      <c r="WCP3" s="0"/>
      <c r="WCQ3" s="0"/>
      <c r="WCR3" s="0"/>
      <c r="WCS3" s="0"/>
      <c r="WCT3" s="0"/>
      <c r="WCU3" s="0"/>
      <c r="WCV3" s="0"/>
      <c r="WCW3" s="0"/>
      <c r="WCX3" s="0"/>
      <c r="WCY3" s="0"/>
      <c r="WCZ3" s="0"/>
      <c r="WDA3" s="0"/>
      <c r="WDB3" s="0"/>
      <c r="WDC3" s="0"/>
      <c r="WDD3" s="0"/>
      <c r="WDE3" s="0"/>
      <c r="WDF3" s="0"/>
      <c r="WDG3" s="0"/>
      <c r="WDH3" s="0"/>
      <c r="WDI3" s="0"/>
      <c r="WDJ3" s="0"/>
      <c r="WDK3" s="0"/>
      <c r="WDL3" s="0"/>
      <c r="WDM3" s="0"/>
      <c r="WDN3" s="0"/>
      <c r="WDO3" s="0"/>
      <c r="WDP3" s="0"/>
      <c r="WDQ3" s="0"/>
      <c r="WDR3" s="0"/>
      <c r="WDS3" s="0"/>
      <c r="WDT3" s="0"/>
      <c r="WDU3" s="0"/>
      <c r="WDV3" s="0"/>
      <c r="WDW3" s="0"/>
      <c r="WDX3" s="0"/>
      <c r="WDY3" s="0"/>
      <c r="WDZ3" s="0"/>
      <c r="WEA3" s="0"/>
      <c r="WEB3" s="0"/>
      <c r="WEC3" s="0"/>
      <c r="WED3" s="0"/>
      <c r="WEE3" s="0"/>
      <c r="WEF3" s="0"/>
      <c r="WEG3" s="0"/>
      <c r="WEH3" s="0"/>
      <c r="WEI3" s="0"/>
      <c r="WEJ3" s="0"/>
      <c r="WEK3" s="0"/>
      <c r="WEL3" s="0"/>
      <c r="WEM3" s="0"/>
      <c r="WEN3" s="0"/>
      <c r="WEO3" s="0"/>
      <c r="WEP3" s="0"/>
      <c r="WEQ3" s="0"/>
      <c r="WER3" s="0"/>
      <c r="WES3" s="0"/>
      <c r="WET3" s="0"/>
      <c r="WEU3" s="0"/>
      <c r="WEV3" s="0"/>
      <c r="WEW3" s="0"/>
      <c r="WEX3" s="0"/>
      <c r="WEY3" s="0"/>
      <c r="WEZ3" s="0"/>
      <c r="WFA3" s="0"/>
      <c r="WFB3" s="0"/>
      <c r="WFC3" s="0"/>
      <c r="WFD3" s="0"/>
      <c r="WFE3" s="0"/>
      <c r="WFF3" s="0"/>
      <c r="WFG3" s="0"/>
      <c r="WFH3" s="0"/>
      <c r="WFI3" s="0"/>
      <c r="WFJ3" s="0"/>
      <c r="WFK3" s="0"/>
      <c r="WFL3" s="0"/>
      <c r="WFM3" s="0"/>
      <c r="WFN3" s="0"/>
      <c r="WFO3" s="0"/>
      <c r="WFP3" s="0"/>
      <c r="WFQ3" s="0"/>
      <c r="WFR3" s="0"/>
      <c r="WFS3" s="0"/>
      <c r="WFT3" s="0"/>
      <c r="WFU3" s="0"/>
      <c r="WFV3" s="0"/>
      <c r="WFW3" s="0"/>
      <c r="WFX3" s="0"/>
      <c r="WFY3" s="0"/>
      <c r="WFZ3" s="0"/>
      <c r="WGA3" s="0"/>
      <c r="WGB3" s="0"/>
      <c r="WGC3" s="0"/>
      <c r="WGD3" s="0"/>
      <c r="WGE3" s="0"/>
      <c r="WGF3" s="0"/>
      <c r="WGG3" s="0"/>
      <c r="WGH3" s="0"/>
      <c r="WGI3" s="0"/>
      <c r="WGJ3" s="0"/>
      <c r="WGK3" s="0"/>
      <c r="WGL3" s="0"/>
      <c r="WGM3" s="0"/>
      <c r="WGN3" s="0"/>
      <c r="WGO3" s="0"/>
      <c r="WGP3" s="0"/>
      <c r="WGQ3" s="0"/>
      <c r="WGR3" s="0"/>
      <c r="WGS3" s="0"/>
      <c r="WGT3" s="0"/>
      <c r="WGU3" s="0"/>
      <c r="WGV3" s="0"/>
      <c r="WGW3" s="0"/>
      <c r="WGX3" s="0"/>
      <c r="WGY3" s="0"/>
      <c r="WGZ3" s="0"/>
      <c r="WHA3" s="0"/>
      <c r="WHB3" s="0"/>
      <c r="WHC3" s="0"/>
      <c r="WHD3" s="0"/>
      <c r="WHE3" s="0"/>
      <c r="WHF3" s="0"/>
      <c r="WHG3" s="0"/>
      <c r="WHH3" s="0"/>
      <c r="WHI3" s="0"/>
      <c r="WHJ3" s="0"/>
      <c r="WHK3" s="0"/>
      <c r="WHL3" s="0"/>
      <c r="WHM3" s="0"/>
      <c r="WHN3" s="0"/>
      <c r="WHO3" s="0"/>
      <c r="WHP3" s="0"/>
      <c r="WHQ3" s="0"/>
      <c r="WHR3" s="0"/>
      <c r="WHS3" s="0"/>
      <c r="WHT3" s="0"/>
      <c r="WHU3" s="0"/>
      <c r="WHV3" s="0"/>
      <c r="WHW3" s="0"/>
      <c r="WHX3" s="0"/>
      <c r="WHY3" s="0"/>
      <c r="WHZ3" s="0"/>
      <c r="WIA3" s="0"/>
      <c r="WIB3" s="0"/>
      <c r="WIC3" s="0"/>
      <c r="WID3" s="0"/>
      <c r="WIE3" s="0"/>
      <c r="WIF3" s="0"/>
      <c r="WIG3" s="0"/>
      <c r="WIH3" s="0"/>
      <c r="WII3" s="0"/>
      <c r="WIJ3" s="0"/>
      <c r="WIK3" s="0"/>
      <c r="WIL3" s="0"/>
      <c r="WIM3" s="0"/>
      <c r="WIN3" s="0"/>
      <c r="WIO3" s="0"/>
      <c r="WIP3" s="0"/>
      <c r="WIQ3" s="0"/>
      <c r="WIR3" s="0"/>
      <c r="WIS3" s="0"/>
      <c r="WIT3" s="0"/>
      <c r="WIU3" s="0"/>
      <c r="WIV3" s="0"/>
      <c r="WIW3" s="0"/>
      <c r="WIX3" s="0"/>
      <c r="WIY3" s="0"/>
      <c r="WIZ3" s="0"/>
      <c r="WJA3" s="0"/>
      <c r="WJB3" s="0"/>
      <c r="WJC3" s="0"/>
      <c r="WJD3" s="0"/>
      <c r="WJE3" s="0"/>
      <c r="WJF3" s="0"/>
      <c r="WJG3" s="0"/>
      <c r="WJH3" s="0"/>
      <c r="WJI3" s="0"/>
      <c r="WJJ3" s="0"/>
      <c r="WJK3" s="0"/>
      <c r="WJL3" s="0"/>
      <c r="WJM3" s="0"/>
      <c r="WJN3" s="0"/>
      <c r="WJO3" s="0"/>
      <c r="WJP3" s="0"/>
      <c r="WJQ3" s="0"/>
      <c r="WJR3" s="0"/>
      <c r="WJS3" s="0"/>
      <c r="WJT3" s="0"/>
      <c r="WJU3" s="0"/>
      <c r="WJV3" s="0"/>
      <c r="WJW3" s="0"/>
      <c r="WJX3" s="0"/>
      <c r="WJY3" s="0"/>
      <c r="WJZ3" s="0"/>
      <c r="WKA3" s="0"/>
      <c r="WKB3" s="0"/>
      <c r="WKC3" s="0"/>
      <c r="WKD3" s="0"/>
      <c r="WKE3" s="0"/>
      <c r="WKF3" s="0"/>
      <c r="WKG3" s="0"/>
      <c r="WKH3" s="0"/>
      <c r="WKI3" s="0"/>
      <c r="WKJ3" s="0"/>
      <c r="WKK3" s="0"/>
      <c r="WKL3" s="0"/>
      <c r="WKM3" s="0"/>
      <c r="WKN3" s="0"/>
      <c r="WKO3" s="0"/>
      <c r="WKP3" s="0"/>
      <c r="WKQ3" s="0"/>
      <c r="WKR3" s="0"/>
      <c r="WKS3" s="0"/>
      <c r="WKT3" s="0"/>
      <c r="WKU3" s="0"/>
      <c r="WKV3" s="0"/>
      <c r="WKW3" s="0"/>
      <c r="WKX3" s="0"/>
      <c r="WKY3" s="0"/>
      <c r="WKZ3" s="0"/>
      <c r="WLA3" s="0"/>
      <c r="WLB3" s="0"/>
      <c r="WLC3" s="0"/>
      <c r="WLD3" s="0"/>
      <c r="WLE3" s="0"/>
      <c r="WLF3" s="0"/>
      <c r="WLG3" s="0"/>
      <c r="WLH3" s="0"/>
      <c r="WLI3" s="0"/>
      <c r="WLJ3" s="0"/>
      <c r="WLK3" s="0"/>
      <c r="WLL3" s="0"/>
      <c r="WLM3" s="0"/>
      <c r="WLN3" s="0"/>
      <c r="WLO3" s="0"/>
      <c r="WLP3" s="0"/>
      <c r="WLQ3" s="0"/>
      <c r="WLR3" s="0"/>
      <c r="WLS3" s="0"/>
      <c r="WLT3" s="0"/>
      <c r="WLU3" s="0"/>
      <c r="WLV3" s="0"/>
      <c r="WLW3" s="0"/>
      <c r="WLX3" s="0"/>
      <c r="WLY3" s="0"/>
      <c r="WLZ3" s="0"/>
      <c r="WMA3" s="0"/>
      <c r="WMB3" s="0"/>
      <c r="WMC3" s="0"/>
      <c r="WMD3" s="0"/>
      <c r="WME3" s="0"/>
      <c r="WMF3" s="0"/>
      <c r="WMG3" s="0"/>
      <c r="WMH3" s="0"/>
      <c r="WMI3" s="0"/>
      <c r="WMJ3" s="0"/>
      <c r="WMK3" s="0"/>
      <c r="WML3" s="0"/>
      <c r="WMM3" s="0"/>
      <c r="WMN3" s="0"/>
      <c r="WMO3" s="0"/>
      <c r="WMP3" s="0"/>
      <c r="WMQ3" s="0"/>
      <c r="WMR3" s="0"/>
      <c r="WMS3" s="0"/>
      <c r="WMT3" s="0"/>
      <c r="WMU3" s="0"/>
      <c r="WMV3" s="0"/>
      <c r="WMW3" s="0"/>
      <c r="WMX3" s="0"/>
      <c r="WMY3" s="0"/>
      <c r="WMZ3" s="0"/>
      <c r="WNA3" s="0"/>
      <c r="WNB3" s="0"/>
      <c r="WNC3" s="0"/>
      <c r="WND3" s="0"/>
      <c r="WNE3" s="0"/>
      <c r="WNF3" s="0"/>
      <c r="WNG3" s="0"/>
      <c r="WNH3" s="0"/>
      <c r="WNI3" s="0"/>
      <c r="WNJ3" s="0"/>
      <c r="WNK3" s="0"/>
      <c r="WNL3" s="0"/>
      <c r="WNM3" s="0"/>
      <c r="WNN3" s="0"/>
      <c r="WNO3" s="0"/>
      <c r="WNP3" s="0"/>
      <c r="WNQ3" s="0"/>
      <c r="WNR3" s="0"/>
      <c r="WNS3" s="0"/>
      <c r="WNT3" s="0"/>
      <c r="WNU3" s="0"/>
      <c r="WNV3" s="0"/>
      <c r="WNW3" s="0"/>
      <c r="WNX3" s="0"/>
      <c r="WNY3" s="0"/>
      <c r="WNZ3" s="0"/>
      <c r="WOA3" s="0"/>
      <c r="WOB3" s="0"/>
      <c r="WOC3" s="0"/>
      <c r="WOD3" s="0"/>
      <c r="WOE3" s="0"/>
      <c r="WOF3" s="0"/>
      <c r="WOG3" s="0"/>
      <c r="WOH3" s="0"/>
      <c r="WOI3" s="0"/>
      <c r="WOJ3" s="0"/>
      <c r="WOK3" s="0"/>
      <c r="WOL3" s="0"/>
      <c r="WOM3" s="0"/>
      <c r="WON3" s="0"/>
      <c r="WOO3" s="0"/>
      <c r="WOP3" s="0"/>
      <c r="WOQ3" s="0"/>
      <c r="WOR3" s="0"/>
      <c r="WOS3" s="0"/>
      <c r="WOT3" s="0"/>
      <c r="WOU3" s="0"/>
      <c r="WOV3" s="0"/>
      <c r="WOW3" s="0"/>
      <c r="WOX3" s="0"/>
      <c r="WOY3" s="0"/>
      <c r="WOZ3" s="0"/>
      <c r="WPA3" s="0"/>
      <c r="WPB3" s="0"/>
      <c r="WPC3" s="0"/>
      <c r="WPD3" s="0"/>
      <c r="WPE3" s="0"/>
      <c r="WPF3" s="0"/>
      <c r="WPG3" s="0"/>
      <c r="WPH3" s="0"/>
      <c r="WPI3" s="0"/>
      <c r="WPJ3" s="0"/>
      <c r="WPK3" s="0"/>
      <c r="WPL3" s="0"/>
      <c r="WPM3" s="0"/>
      <c r="WPN3" s="0"/>
      <c r="WPO3" s="0"/>
      <c r="WPP3" s="0"/>
      <c r="WPQ3" s="0"/>
      <c r="WPR3" s="0"/>
      <c r="WPS3" s="0"/>
      <c r="WPT3" s="0"/>
      <c r="WPU3" s="0"/>
      <c r="WPV3" s="0"/>
      <c r="WPW3" s="0"/>
      <c r="WPX3" s="0"/>
      <c r="WPY3" s="0"/>
      <c r="WPZ3" s="0"/>
      <c r="WQA3" s="0"/>
      <c r="WQB3" s="0"/>
      <c r="WQC3" s="0"/>
      <c r="WQD3" s="0"/>
      <c r="WQE3" s="0"/>
      <c r="WQF3" s="0"/>
      <c r="WQG3" s="0"/>
      <c r="WQH3" s="0"/>
      <c r="WQI3" s="0"/>
      <c r="WQJ3" s="0"/>
      <c r="WQK3" s="0"/>
      <c r="WQL3" s="0"/>
      <c r="WQM3" s="0"/>
      <c r="WQN3" s="0"/>
      <c r="WQO3" s="0"/>
      <c r="WQP3" s="0"/>
      <c r="WQQ3" s="0"/>
      <c r="WQR3" s="0"/>
      <c r="WQS3" s="0"/>
      <c r="WQT3" s="0"/>
      <c r="WQU3" s="0"/>
      <c r="WQV3" s="0"/>
      <c r="WQW3" s="0"/>
      <c r="WQX3" s="0"/>
      <c r="WQY3" s="0"/>
      <c r="WQZ3" s="0"/>
      <c r="WRA3" s="0"/>
      <c r="WRB3" s="0"/>
      <c r="WRC3" s="0"/>
      <c r="WRD3" s="0"/>
      <c r="WRE3" s="0"/>
      <c r="WRF3" s="0"/>
      <c r="WRG3" s="0"/>
      <c r="WRH3" s="0"/>
      <c r="WRI3" s="0"/>
      <c r="WRJ3" s="0"/>
      <c r="WRK3" s="0"/>
      <c r="WRL3" s="0"/>
      <c r="WRM3" s="0"/>
      <c r="WRN3" s="0"/>
      <c r="WRO3" s="0"/>
      <c r="WRP3" s="0"/>
      <c r="WRQ3" s="0"/>
      <c r="WRR3" s="0"/>
      <c r="WRS3" s="0"/>
      <c r="WRT3" s="0"/>
      <c r="WRU3" s="0"/>
      <c r="WRV3" s="0"/>
      <c r="WRW3" s="0"/>
      <c r="WRX3" s="0"/>
      <c r="WRY3" s="0"/>
      <c r="WRZ3" s="0"/>
      <c r="WSA3" s="0"/>
      <c r="WSB3" s="0"/>
      <c r="WSC3" s="0"/>
      <c r="WSD3" s="0"/>
      <c r="WSE3" s="0"/>
      <c r="WSF3" s="0"/>
      <c r="WSG3" s="0"/>
      <c r="WSH3" s="0"/>
      <c r="WSI3" s="0"/>
      <c r="WSJ3" s="0"/>
      <c r="WSK3" s="0"/>
      <c r="WSL3" s="0"/>
      <c r="WSM3" s="0"/>
      <c r="WSN3" s="0"/>
      <c r="WSO3" s="0"/>
      <c r="WSP3" s="0"/>
      <c r="WSQ3" s="0"/>
      <c r="WSR3" s="0"/>
      <c r="WSS3" s="0"/>
      <c r="WST3" s="0"/>
      <c r="WSU3" s="0"/>
      <c r="WSV3" s="0"/>
      <c r="WSW3" s="0"/>
      <c r="WSX3" s="0"/>
      <c r="WSY3" s="0"/>
      <c r="WSZ3" s="0"/>
      <c r="WTA3" s="0"/>
      <c r="WTB3" s="0"/>
      <c r="WTC3" s="0"/>
      <c r="WTD3" s="0"/>
      <c r="WTE3" s="0"/>
      <c r="WTF3" s="0"/>
      <c r="WTG3" s="0"/>
      <c r="WTH3" s="0"/>
      <c r="WTI3" s="0"/>
      <c r="WTJ3" s="0"/>
      <c r="WTK3" s="0"/>
      <c r="WTL3" s="0"/>
      <c r="WTM3" s="0"/>
      <c r="WTN3" s="0"/>
      <c r="WTO3" s="0"/>
      <c r="WTP3" s="0"/>
      <c r="WTQ3" s="0"/>
      <c r="WTR3" s="0"/>
      <c r="WTS3" s="0"/>
      <c r="WTT3" s="0"/>
      <c r="WTU3" s="0"/>
      <c r="WTV3" s="0"/>
      <c r="WTW3" s="0"/>
      <c r="WTX3" s="0"/>
      <c r="WTY3" s="0"/>
      <c r="WTZ3" s="0"/>
      <c r="WUA3" s="0"/>
      <c r="WUB3" s="0"/>
      <c r="WUC3" s="0"/>
      <c r="WUD3" s="0"/>
      <c r="WUE3" s="0"/>
      <c r="WUF3" s="0"/>
      <c r="WUG3" s="0"/>
      <c r="WUH3" s="0"/>
      <c r="WUI3" s="0"/>
      <c r="WUJ3" s="0"/>
      <c r="WUK3" s="0"/>
      <c r="WUL3" s="0"/>
      <c r="WUM3" s="0"/>
      <c r="WUN3" s="0"/>
      <c r="WUO3" s="0"/>
      <c r="WUP3" s="0"/>
      <c r="WUQ3" s="0"/>
      <c r="WUR3" s="0"/>
      <c r="WUS3" s="0"/>
      <c r="WUT3" s="0"/>
      <c r="WUU3" s="0"/>
      <c r="WUV3" s="0"/>
      <c r="WUW3" s="0"/>
      <c r="WUX3" s="0"/>
      <c r="WUY3" s="0"/>
      <c r="WUZ3" s="0"/>
      <c r="WVA3" s="0"/>
      <c r="WVB3" s="0"/>
      <c r="WVC3" s="0"/>
      <c r="WVD3" s="0"/>
      <c r="WVE3" s="0"/>
      <c r="WVF3" s="0"/>
      <c r="WVG3" s="0"/>
      <c r="WVH3" s="0"/>
      <c r="WVI3" s="0"/>
      <c r="WVJ3" s="0"/>
      <c r="WVK3" s="0"/>
      <c r="WVL3" s="0"/>
      <c r="WVM3" s="0"/>
      <c r="WVN3" s="0"/>
      <c r="WVO3" s="0"/>
      <c r="WVP3" s="0"/>
      <c r="WVQ3" s="0"/>
      <c r="WVR3" s="0"/>
      <c r="WVS3" s="0"/>
      <c r="WVT3" s="0"/>
      <c r="WVU3" s="0"/>
      <c r="WVV3" s="0"/>
      <c r="WVW3" s="0"/>
      <c r="WVX3" s="0"/>
      <c r="WVY3" s="0"/>
      <c r="WVZ3" s="0"/>
      <c r="WWA3" s="0"/>
      <c r="WWB3" s="0"/>
      <c r="WWC3" s="0"/>
      <c r="WWD3" s="0"/>
      <c r="WWE3" s="0"/>
      <c r="WWF3" s="0"/>
      <c r="WWG3" s="0"/>
      <c r="WWH3" s="0"/>
      <c r="WWI3" s="0"/>
      <c r="WWJ3" s="0"/>
      <c r="WWK3" s="0"/>
      <c r="WWL3" s="0"/>
      <c r="WWM3" s="0"/>
      <c r="WWN3" s="0"/>
      <c r="WWO3" s="0"/>
      <c r="WWP3" s="0"/>
      <c r="WWQ3" s="0"/>
      <c r="WWR3" s="0"/>
      <c r="WWS3" s="0"/>
      <c r="WWT3" s="0"/>
      <c r="WWU3" s="0"/>
      <c r="WWV3" s="0"/>
      <c r="WWW3" s="0"/>
      <c r="WWX3" s="0"/>
      <c r="WWY3" s="0"/>
      <c r="WWZ3" s="0"/>
      <c r="WXA3" s="0"/>
      <c r="WXB3" s="0"/>
      <c r="WXC3" s="0"/>
      <c r="WXD3" s="0"/>
      <c r="WXE3" s="0"/>
      <c r="WXF3" s="0"/>
      <c r="WXG3" s="0"/>
      <c r="WXH3" s="0"/>
      <c r="WXI3" s="0"/>
      <c r="WXJ3" s="0"/>
      <c r="WXK3" s="0"/>
      <c r="WXL3" s="0"/>
      <c r="WXM3" s="0"/>
      <c r="WXN3" s="0"/>
      <c r="WXO3" s="0"/>
      <c r="WXP3" s="0"/>
      <c r="WXQ3" s="0"/>
      <c r="WXR3" s="0"/>
      <c r="WXS3" s="0"/>
      <c r="WXT3" s="0"/>
      <c r="WXU3" s="0"/>
      <c r="WXV3" s="0"/>
      <c r="WXW3" s="0"/>
      <c r="WXX3" s="0"/>
      <c r="WXY3" s="0"/>
      <c r="WXZ3" s="0"/>
      <c r="WYA3" s="0"/>
      <c r="WYB3" s="0"/>
      <c r="WYC3" s="0"/>
      <c r="WYD3" s="0"/>
      <c r="WYE3" s="0"/>
      <c r="WYF3" s="0"/>
      <c r="WYG3" s="0"/>
      <c r="WYH3" s="0"/>
      <c r="WYI3" s="0"/>
      <c r="WYJ3" s="0"/>
      <c r="WYK3" s="0"/>
      <c r="WYL3" s="0"/>
      <c r="WYM3" s="0"/>
      <c r="WYN3" s="0"/>
      <c r="WYO3" s="0"/>
      <c r="WYP3" s="0"/>
      <c r="WYQ3" s="0"/>
      <c r="WYR3" s="0"/>
      <c r="WYS3" s="0"/>
      <c r="WYT3" s="0"/>
      <c r="WYU3" s="0"/>
      <c r="WYV3" s="0"/>
      <c r="WYW3" s="0"/>
      <c r="WYX3" s="0"/>
      <c r="WYY3" s="0"/>
      <c r="WYZ3" s="0"/>
      <c r="WZA3" s="0"/>
      <c r="WZB3" s="0"/>
      <c r="WZC3" s="0"/>
      <c r="WZD3" s="0"/>
      <c r="WZE3" s="0"/>
      <c r="WZF3" s="0"/>
      <c r="WZG3" s="0"/>
      <c r="WZH3" s="0"/>
      <c r="WZI3" s="0"/>
      <c r="WZJ3" s="0"/>
      <c r="WZK3" s="0"/>
      <c r="WZL3" s="0"/>
      <c r="WZM3" s="0"/>
      <c r="WZN3" s="0"/>
      <c r="WZO3" s="0"/>
      <c r="WZP3" s="0"/>
      <c r="WZQ3" s="0"/>
      <c r="WZR3" s="0"/>
      <c r="WZS3" s="0"/>
      <c r="WZT3" s="0"/>
      <c r="WZU3" s="0"/>
      <c r="WZV3" s="0"/>
      <c r="WZW3" s="0"/>
      <c r="WZX3" s="0"/>
      <c r="WZY3" s="0"/>
      <c r="WZZ3" s="0"/>
      <c r="XAA3" s="0"/>
      <c r="XAB3" s="0"/>
      <c r="XAC3" s="0"/>
      <c r="XAD3" s="0"/>
      <c r="XAE3" s="0"/>
      <c r="XAF3" s="0"/>
      <c r="XAG3" s="0"/>
      <c r="XAH3" s="0"/>
      <c r="XAI3" s="0"/>
      <c r="XAJ3" s="0"/>
      <c r="XAK3" s="0"/>
      <c r="XAL3" s="0"/>
      <c r="XAM3" s="0"/>
      <c r="XAN3" s="0"/>
      <c r="XAO3" s="0"/>
      <c r="XAP3" s="0"/>
      <c r="XAQ3" s="0"/>
      <c r="XAR3" s="0"/>
      <c r="XAS3" s="0"/>
      <c r="XAT3" s="0"/>
      <c r="XAU3" s="0"/>
      <c r="XAV3" s="0"/>
      <c r="XAW3" s="0"/>
      <c r="XAX3" s="0"/>
      <c r="XAY3" s="0"/>
      <c r="XAZ3" s="0"/>
      <c r="XBA3" s="0"/>
      <c r="XBB3" s="0"/>
      <c r="XBC3" s="0"/>
      <c r="XBD3" s="0"/>
      <c r="XBE3" s="0"/>
      <c r="XBF3" s="0"/>
      <c r="XBG3" s="0"/>
      <c r="XBH3" s="0"/>
      <c r="XBI3" s="0"/>
      <c r="XBJ3" s="0"/>
      <c r="XBK3" s="0"/>
      <c r="XBL3" s="0"/>
      <c r="XBM3" s="0"/>
      <c r="XBN3" s="0"/>
      <c r="XBO3" s="0"/>
      <c r="XBP3" s="0"/>
      <c r="XBQ3" s="0"/>
      <c r="XBR3" s="0"/>
      <c r="XBS3" s="0"/>
      <c r="XBT3" s="0"/>
      <c r="XBU3" s="0"/>
      <c r="XBV3" s="0"/>
      <c r="XBW3" s="0"/>
      <c r="XBX3" s="0"/>
      <c r="XBY3" s="0"/>
      <c r="XBZ3" s="0"/>
      <c r="XCA3" s="0"/>
      <c r="XCB3" s="0"/>
      <c r="XCC3" s="0"/>
      <c r="XCD3" s="0"/>
      <c r="XCE3" s="0"/>
      <c r="XCF3" s="0"/>
      <c r="XCG3" s="0"/>
      <c r="XCH3" s="0"/>
      <c r="XCI3" s="0"/>
      <c r="XCJ3" s="0"/>
      <c r="XCK3" s="0"/>
      <c r="XCL3" s="0"/>
      <c r="XCM3" s="0"/>
      <c r="XCN3" s="0"/>
      <c r="XCO3" s="0"/>
      <c r="XCP3" s="0"/>
      <c r="XCQ3" s="0"/>
      <c r="XCR3" s="0"/>
      <c r="XCS3" s="0"/>
      <c r="XCT3" s="0"/>
      <c r="XCU3" s="0"/>
      <c r="XCV3" s="0"/>
      <c r="XCW3" s="0"/>
      <c r="XCX3" s="0"/>
      <c r="XCY3" s="0"/>
      <c r="XCZ3" s="0"/>
      <c r="XDA3" s="0"/>
      <c r="XDB3" s="0"/>
      <c r="XDC3" s="0"/>
      <c r="XDD3" s="0"/>
      <c r="XDE3" s="0"/>
      <c r="XDF3" s="0"/>
      <c r="XDG3" s="0"/>
      <c r="XDH3" s="0"/>
      <c r="XDI3" s="0"/>
      <c r="XDJ3" s="0"/>
      <c r="XDK3" s="0"/>
      <c r="XDL3" s="0"/>
      <c r="XDM3" s="0"/>
      <c r="XDN3" s="0"/>
      <c r="XDO3" s="0"/>
      <c r="XDP3" s="0"/>
      <c r="XDQ3" s="0"/>
      <c r="XDR3" s="0"/>
      <c r="XDS3" s="0"/>
      <c r="XDT3" s="0"/>
      <c r="XDU3" s="0"/>
      <c r="XDV3" s="0"/>
      <c r="XDW3" s="0"/>
      <c r="XDX3" s="0"/>
      <c r="XDY3" s="0"/>
      <c r="XDZ3" s="0"/>
      <c r="XEA3" s="0"/>
      <c r="XEB3" s="0"/>
      <c r="XEC3" s="0"/>
      <c r="XED3" s="0"/>
      <c r="XEE3" s="0"/>
      <c r="XEF3" s="0"/>
      <c r="XEG3" s="0"/>
      <c r="XEH3" s="0"/>
      <c r="XEI3" s="0"/>
      <c r="XEJ3" s="0"/>
      <c r="XEK3" s="0"/>
      <c r="XEL3" s="0"/>
      <c r="XEM3" s="0"/>
      <c r="XEN3" s="0"/>
      <c r="XEO3" s="0"/>
      <c r="XEP3" s="0"/>
      <c r="XEQ3" s="0"/>
      <c r="XER3" s="0"/>
      <c r="XES3" s="0"/>
      <c r="XET3" s="0"/>
      <c r="XEU3" s="0"/>
      <c r="XEV3" s="0"/>
      <c r="XEW3" s="0"/>
      <c r="XEX3" s="0"/>
      <c r="XEY3" s="0"/>
      <c r="XEZ3" s="0"/>
      <c r="XFA3" s="0"/>
      <c r="XFB3" s="0"/>
      <c r="XFC3" s="0"/>
      <c r="XFD3" s="0"/>
    </row>
    <row r="4" s="23" customFormat="true" ht="16.4" hidden="false" customHeight="false" outlineLevel="0" collapsed="false">
      <c r="A4" s="23" t="n">
        <v>1129</v>
      </c>
      <c r="C4" s="41" t="s">
        <v>486</v>
      </c>
      <c r="D4" s="41" t="s">
        <v>487</v>
      </c>
      <c r="E4" s="41" t="s">
        <v>488</v>
      </c>
      <c r="F4" s="41" t="n">
        <v>2015</v>
      </c>
      <c r="G4" s="42" t="s">
        <v>489</v>
      </c>
      <c r="H4" s="23" t="n">
        <v>1</v>
      </c>
      <c r="I4" s="23" t="s">
        <v>32</v>
      </c>
      <c r="J4" s="23" t="s">
        <v>33</v>
      </c>
      <c r="K4" s="27"/>
      <c r="L4" s="23" t="n">
        <v>360</v>
      </c>
      <c r="M4" s="23" t="n">
        <v>1</v>
      </c>
      <c r="N4" s="24" t="n">
        <v>21</v>
      </c>
      <c r="O4" s="24" t="n">
        <f aca="false">L4*M4*N4</f>
        <v>7560</v>
      </c>
      <c r="Q4" s="23" t="n">
        <v>1</v>
      </c>
      <c r="R4" s="23" t="n">
        <v>1</v>
      </c>
      <c r="S4" s="23" t="n">
        <v>6</v>
      </c>
      <c r="T4" s="23" t="n">
        <v>6</v>
      </c>
      <c r="U4" s="23" t="n">
        <v>2</v>
      </c>
      <c r="V4" s="23" t="n">
        <v>92</v>
      </c>
      <c r="W4" s="23" t="n">
        <v>1.4</v>
      </c>
      <c r="X4" s="23" t="n">
        <v>8</v>
      </c>
      <c r="Y4" s="23" t="n">
        <v>8</v>
      </c>
      <c r="Z4" s="26" t="n">
        <f aca="false">W4*(SQRT(Y4))</f>
        <v>3.95979797464467</v>
      </c>
      <c r="AB4" s="23" t="n">
        <v>76</v>
      </c>
      <c r="AC4" s="23" t="n">
        <v>4.6</v>
      </c>
      <c r="AD4" s="23" t="n">
        <v>8</v>
      </c>
      <c r="AE4" s="23" t="n">
        <v>8</v>
      </c>
      <c r="AF4" s="26" t="n">
        <f aca="false">AC4*(SQRT(AE4))</f>
        <v>13.0107647738325</v>
      </c>
    </row>
    <row r="5" s="13" customFormat="true" ht="15" hidden="false" customHeight="false" outlineLevel="0" collapsed="false">
      <c r="A5" s="23" t="n">
        <v>1287</v>
      </c>
      <c r="B5" s="23"/>
      <c r="C5" s="23" t="s">
        <v>37</v>
      </c>
      <c r="D5" s="23" t="s">
        <v>38</v>
      </c>
      <c r="E5" s="23" t="s">
        <v>39</v>
      </c>
      <c r="F5" s="23" t="n">
        <v>2024</v>
      </c>
      <c r="G5" s="23" t="s">
        <v>40</v>
      </c>
      <c r="H5" s="23" t="n">
        <v>1</v>
      </c>
      <c r="I5" s="23" t="s">
        <v>32</v>
      </c>
      <c r="J5" s="23" t="s">
        <v>33</v>
      </c>
      <c r="K5" s="27" t="s">
        <v>41</v>
      </c>
      <c r="L5" s="23" t="n">
        <v>300</v>
      </c>
      <c r="M5" s="23" t="n">
        <v>1</v>
      </c>
      <c r="N5" s="24" t="n">
        <v>21</v>
      </c>
      <c r="O5" s="24" t="n">
        <f aca="false">L5*M5*N5</f>
        <v>6300</v>
      </c>
      <c r="P5" s="23"/>
      <c r="Q5" s="23" t="n">
        <v>1</v>
      </c>
      <c r="R5" s="23" t="n">
        <v>2</v>
      </c>
      <c r="S5" s="46"/>
      <c r="T5" s="46"/>
      <c r="U5" s="23" t="n">
        <v>2</v>
      </c>
      <c r="V5" s="23" t="n">
        <v>93</v>
      </c>
      <c r="W5" s="23" t="n">
        <v>5</v>
      </c>
      <c r="X5" s="23" t="n">
        <v>8</v>
      </c>
      <c r="Y5" s="23" t="n">
        <v>8</v>
      </c>
      <c r="Z5" s="26" t="n">
        <f aca="false">W5*(SQRT(Y5))</f>
        <v>14.142135623731</v>
      </c>
      <c r="AA5" s="23"/>
      <c r="AB5" s="23" t="n">
        <v>59</v>
      </c>
      <c r="AC5" s="23" t="n">
        <v>16</v>
      </c>
      <c r="AD5" s="23" t="n">
        <v>8</v>
      </c>
      <c r="AE5" s="23" t="n">
        <v>8</v>
      </c>
      <c r="AF5" s="26" t="n">
        <f aca="false">AC5*(SQRT(AE5))</f>
        <v>45.254833995939</v>
      </c>
      <c r="AG5" s="23"/>
    </row>
    <row r="6" customFormat="false" ht="15" hidden="false" customHeight="false" outlineLevel="0" collapsed="false">
      <c r="A6" s="23" t="n">
        <v>1422</v>
      </c>
      <c r="B6" s="23" t="n">
        <v>35727683</v>
      </c>
      <c r="C6" s="23" t="s">
        <v>490</v>
      </c>
      <c r="D6" s="23" t="s">
        <v>491</v>
      </c>
      <c r="E6" s="23" t="s">
        <v>492</v>
      </c>
      <c r="F6" s="23" t="n">
        <v>2022</v>
      </c>
      <c r="G6" s="23" t="s">
        <v>493</v>
      </c>
      <c r="H6" s="23" t="n">
        <v>1</v>
      </c>
      <c r="I6" s="23" t="s">
        <v>32</v>
      </c>
      <c r="J6" s="23" t="s">
        <v>33</v>
      </c>
      <c r="L6" s="23" t="n">
        <v>360</v>
      </c>
      <c r="M6" s="23" t="n">
        <v>1</v>
      </c>
      <c r="N6" s="24" t="s">
        <v>41</v>
      </c>
      <c r="Q6" s="23" t="n">
        <v>1</v>
      </c>
      <c r="R6" s="23" t="n">
        <v>1</v>
      </c>
      <c r="S6" s="23" t="n">
        <v>24</v>
      </c>
      <c r="T6" s="23" t="n">
        <v>24</v>
      </c>
      <c r="U6" s="51" t="s">
        <v>59</v>
      </c>
      <c r="V6" s="23" t="n">
        <v>72</v>
      </c>
      <c r="W6" s="23" t="s">
        <v>71</v>
      </c>
      <c r="X6" s="23" t="n">
        <v>10</v>
      </c>
      <c r="Y6" s="23"/>
      <c r="Z6" s="23" t="n">
        <v>1.5</v>
      </c>
      <c r="AA6" s="23"/>
      <c r="AB6" s="23" t="n">
        <v>46</v>
      </c>
      <c r="AC6" s="23" t="s">
        <v>71</v>
      </c>
      <c r="AD6" s="23" t="n">
        <v>10</v>
      </c>
      <c r="AE6" s="23"/>
      <c r="AF6" s="23" t="n">
        <v>2.5</v>
      </c>
    </row>
    <row r="7" customFormat="false" ht="15" hidden="false" customHeight="false" outlineLevel="0" collapsed="false">
      <c r="A7" s="23" t="n">
        <v>1764</v>
      </c>
      <c r="B7" s="23" t="n">
        <v>30740068</v>
      </c>
      <c r="C7" s="23" t="s">
        <v>62</v>
      </c>
      <c r="D7" s="23" t="s">
        <v>63</v>
      </c>
      <c r="E7" s="23" t="s">
        <v>64</v>
      </c>
      <c r="F7" s="23" t="n">
        <v>2019</v>
      </c>
      <c r="G7" s="23" t="s">
        <v>65</v>
      </c>
      <c r="H7" s="23" t="n">
        <v>1</v>
      </c>
      <c r="I7" s="23" t="s">
        <v>32</v>
      </c>
      <c r="J7" s="23" t="s">
        <v>33</v>
      </c>
      <c r="K7" s="27" t="s">
        <v>36</v>
      </c>
      <c r="L7" s="23" t="n">
        <v>240</v>
      </c>
      <c r="M7" s="23" t="n">
        <v>1</v>
      </c>
      <c r="N7" s="24" t="n">
        <v>21</v>
      </c>
      <c r="O7" s="24" t="n">
        <f aca="false">N7*L7</f>
        <v>5040</v>
      </c>
      <c r="Q7" s="23" t="n">
        <v>48</v>
      </c>
      <c r="R7" s="23" t="n">
        <v>1</v>
      </c>
      <c r="S7" s="46"/>
      <c r="T7" s="46"/>
      <c r="U7" s="51" t="s">
        <v>216</v>
      </c>
      <c r="V7" s="23" t="n">
        <v>76</v>
      </c>
      <c r="W7" s="23" t="n">
        <v>3.9</v>
      </c>
      <c r="X7" s="27" t="s">
        <v>78</v>
      </c>
      <c r="Y7" s="23" t="n">
        <v>10</v>
      </c>
      <c r="Z7" s="26" t="n">
        <f aca="false">W7*(SQRT(Y7))</f>
        <v>12.3328828746567</v>
      </c>
      <c r="AA7" s="23"/>
      <c r="AB7" s="23" t="n">
        <v>57</v>
      </c>
      <c r="AC7" s="23" t="n">
        <v>4.5</v>
      </c>
      <c r="AD7" s="27" t="s">
        <v>78</v>
      </c>
      <c r="AE7" s="23" t="n">
        <v>10</v>
      </c>
      <c r="AF7" s="26" t="n">
        <f aca="false">AC7*(SQRT(AE7))</f>
        <v>14.2302494707577</v>
      </c>
    </row>
    <row r="8" customFormat="false" ht="15" hidden="false" customHeight="false" outlineLevel="0" collapsed="false">
      <c r="A8" s="23" t="n">
        <v>1796</v>
      </c>
      <c r="B8" s="23" t="n">
        <v>25446675</v>
      </c>
      <c r="C8" s="23" t="s">
        <v>66</v>
      </c>
      <c r="D8" s="23" t="s">
        <v>67</v>
      </c>
      <c r="E8" s="23" t="s">
        <v>68</v>
      </c>
      <c r="F8" s="23" t="n">
        <v>2015</v>
      </c>
      <c r="G8" s="23" t="s">
        <v>69</v>
      </c>
      <c r="H8" s="23" t="n">
        <v>1</v>
      </c>
      <c r="I8" s="23" t="s">
        <v>32</v>
      </c>
      <c r="J8" s="23" t="s">
        <v>33</v>
      </c>
      <c r="K8" s="27" t="s">
        <v>36</v>
      </c>
      <c r="L8" s="23" t="n">
        <v>240</v>
      </c>
      <c r="M8" s="23" t="n">
        <v>1</v>
      </c>
      <c r="N8" s="24" t="n">
        <v>10</v>
      </c>
      <c r="O8" s="24" t="n">
        <f aca="false">N8*L8</f>
        <v>2400</v>
      </c>
      <c r="Q8" s="23" t="n">
        <v>4</v>
      </c>
      <c r="R8" s="23" t="n">
        <v>1</v>
      </c>
      <c r="S8" s="46"/>
      <c r="T8" s="46"/>
      <c r="U8" s="51" t="s">
        <v>35</v>
      </c>
      <c r="V8" s="23" t="n">
        <v>87</v>
      </c>
      <c r="W8" s="23" t="s">
        <v>71</v>
      </c>
      <c r="X8" s="23" t="n">
        <v>7</v>
      </c>
      <c r="Z8" s="23" t="n">
        <v>3.8</v>
      </c>
      <c r="AA8" s="23"/>
      <c r="AB8" s="23" t="n">
        <v>66</v>
      </c>
      <c r="AC8" s="23" t="s">
        <v>71</v>
      </c>
      <c r="AD8" s="23" t="n">
        <v>7</v>
      </c>
      <c r="AE8" s="23"/>
      <c r="AF8" s="23" t="n">
        <v>6</v>
      </c>
    </row>
    <row r="9" customFormat="false" ht="15" hidden="false" customHeight="false" outlineLevel="0" collapsed="false">
      <c r="A9" s="23" t="n">
        <v>2075</v>
      </c>
      <c r="B9" s="23" t="n">
        <v>35814204</v>
      </c>
      <c r="C9" s="23" t="s">
        <v>80</v>
      </c>
      <c r="D9" s="23" t="s">
        <v>81</v>
      </c>
      <c r="E9" s="23" t="s">
        <v>82</v>
      </c>
      <c r="F9" s="23" t="n">
        <v>2022</v>
      </c>
      <c r="G9" s="23" t="s">
        <v>83</v>
      </c>
      <c r="H9" s="23" t="n">
        <v>1</v>
      </c>
      <c r="I9" s="23" t="s">
        <v>32</v>
      </c>
      <c r="J9" s="23" t="s">
        <v>33</v>
      </c>
      <c r="K9" s="27" t="s">
        <v>36</v>
      </c>
      <c r="L9" s="23" t="n">
        <v>180</v>
      </c>
      <c r="M9" s="23" t="n">
        <v>1</v>
      </c>
      <c r="N9" s="24" t="n">
        <v>21</v>
      </c>
      <c r="O9" s="24" t="n">
        <f aca="false">N9*L9</f>
        <v>3780</v>
      </c>
      <c r="Q9" s="23" t="n">
        <v>1</v>
      </c>
      <c r="R9" s="23" t="n">
        <v>1</v>
      </c>
      <c r="S9" s="23" t="n">
        <v>24</v>
      </c>
      <c r="T9" s="23" t="n">
        <v>24</v>
      </c>
      <c r="U9" s="51" t="s">
        <v>494</v>
      </c>
      <c r="V9" s="23" t="n">
        <v>75</v>
      </c>
      <c r="W9" s="23" t="n">
        <v>2</v>
      </c>
      <c r="X9" s="23" t="n">
        <v>12</v>
      </c>
      <c r="Y9" s="23" t="n">
        <v>12</v>
      </c>
      <c r="Z9" s="26" t="n">
        <f aca="false">W9*(SQRT(Y9))</f>
        <v>6.92820323027551</v>
      </c>
      <c r="AA9" s="23"/>
      <c r="AB9" s="23" t="n">
        <v>51</v>
      </c>
      <c r="AC9" s="23" t="n">
        <v>3</v>
      </c>
      <c r="AD9" s="23" t="n">
        <v>12</v>
      </c>
      <c r="AE9" s="23" t="n">
        <v>12</v>
      </c>
      <c r="AF9" s="26" t="n">
        <f aca="false">AC9*(SQRT(AE9))</f>
        <v>10.3923048454133</v>
      </c>
    </row>
    <row r="10" s="23" customFormat="true" ht="15" hidden="false" customHeight="false" outlineLevel="0" collapsed="false">
      <c r="A10" s="23" t="n">
        <v>2165</v>
      </c>
      <c r="C10" s="23" t="s">
        <v>495</v>
      </c>
      <c r="D10" s="23" t="s">
        <v>496</v>
      </c>
      <c r="E10" s="23" t="s">
        <v>497</v>
      </c>
      <c r="F10" s="23" t="n">
        <v>2020</v>
      </c>
      <c r="G10" s="23" t="s">
        <v>498</v>
      </c>
      <c r="H10" s="23" t="n">
        <v>1</v>
      </c>
      <c r="I10" s="23" t="s">
        <v>32</v>
      </c>
      <c r="J10" s="23" t="s">
        <v>33</v>
      </c>
      <c r="K10" s="27" t="s">
        <v>79</v>
      </c>
      <c r="L10" s="23" t="n">
        <v>360</v>
      </c>
      <c r="M10" s="23" t="n">
        <v>1</v>
      </c>
      <c r="N10" s="24" t="n">
        <v>21</v>
      </c>
      <c r="O10" s="24" t="n">
        <f aca="false">L10*M10*N10</f>
        <v>7560</v>
      </c>
      <c r="Q10" s="23" t="n">
        <v>1</v>
      </c>
      <c r="R10" s="23" t="n">
        <v>1</v>
      </c>
      <c r="S10" s="23" t="n">
        <v>24</v>
      </c>
      <c r="T10" s="23" t="n">
        <v>24</v>
      </c>
      <c r="U10" s="23" t="n">
        <v>2</v>
      </c>
      <c r="V10" s="23" t="n">
        <v>82</v>
      </c>
      <c r="W10" s="23" t="s">
        <v>71</v>
      </c>
      <c r="X10" s="23" t="n">
        <v>10</v>
      </c>
      <c r="Z10" s="23" t="n">
        <v>8</v>
      </c>
      <c r="AB10" s="23" t="n">
        <v>60</v>
      </c>
      <c r="AC10" s="23" t="s">
        <v>71</v>
      </c>
      <c r="AD10" s="23" t="n">
        <v>10</v>
      </c>
      <c r="AF10" s="23" t="n">
        <v>10</v>
      </c>
    </row>
    <row r="11" customFormat="false" ht="15" hidden="false" customHeight="false" outlineLevel="0" collapsed="false">
      <c r="A11" s="23" t="n">
        <v>2186</v>
      </c>
      <c r="B11" s="23" t="n">
        <v>39295891</v>
      </c>
      <c r="C11" s="23" t="s">
        <v>499</v>
      </c>
      <c r="D11" s="23" t="s">
        <v>500</v>
      </c>
      <c r="E11" s="23" t="s">
        <v>355</v>
      </c>
      <c r="F11" s="23" t="n">
        <v>2020</v>
      </c>
      <c r="G11" s="23" t="s">
        <v>501</v>
      </c>
      <c r="H11" s="23" t="n">
        <v>1</v>
      </c>
      <c r="I11" s="23" t="s">
        <v>51</v>
      </c>
      <c r="J11" s="23" t="s">
        <v>33</v>
      </c>
      <c r="K11" s="27" t="n">
        <v>9</v>
      </c>
      <c r="L11" s="23" t="n">
        <v>180</v>
      </c>
      <c r="M11" s="23" t="n">
        <v>1</v>
      </c>
      <c r="N11" s="24" t="n">
        <v>28</v>
      </c>
      <c r="O11" s="24" t="n">
        <f aca="false">N11*L11</f>
        <v>5040</v>
      </c>
      <c r="Q11" s="23" t="n">
        <v>1</v>
      </c>
      <c r="R11" s="23" t="n">
        <v>1</v>
      </c>
      <c r="S11" s="23" t="n">
        <v>24</v>
      </c>
      <c r="T11" s="23" t="n">
        <v>24</v>
      </c>
      <c r="U11" s="51" t="s">
        <v>124</v>
      </c>
      <c r="V11" s="23" t="n">
        <v>52</v>
      </c>
      <c r="W11" s="23" t="s">
        <v>71</v>
      </c>
      <c r="X11" s="23" t="n">
        <v>10</v>
      </c>
      <c r="Y11" s="23"/>
      <c r="Z11" s="23" t="n">
        <v>21</v>
      </c>
      <c r="AA11" s="23"/>
      <c r="AB11" s="23" t="n">
        <v>30</v>
      </c>
      <c r="AC11" s="23" t="s">
        <v>71</v>
      </c>
      <c r="AD11" s="23" t="n">
        <v>10</v>
      </c>
      <c r="AF11" s="23" t="n">
        <v>17</v>
      </c>
    </row>
    <row r="12" customFormat="false" ht="15" hidden="false" customHeight="false" outlineLevel="0" collapsed="false">
      <c r="A12" s="37" t="n">
        <v>2300</v>
      </c>
      <c r="B12" s="37" t="n">
        <v>29561292</v>
      </c>
      <c r="C12" s="37" t="s">
        <v>85</v>
      </c>
      <c r="D12" s="37" t="s">
        <v>86</v>
      </c>
      <c r="E12" s="37" t="s">
        <v>87</v>
      </c>
      <c r="F12" s="37" t="n">
        <v>2018</v>
      </c>
      <c r="G12" s="37" t="s">
        <v>88</v>
      </c>
      <c r="H12" s="37" t="n">
        <v>1</v>
      </c>
      <c r="I12" s="23" t="s">
        <v>51</v>
      </c>
      <c r="J12" s="23" t="s">
        <v>33</v>
      </c>
      <c r="L12" s="23" t="n">
        <v>360</v>
      </c>
      <c r="M12" s="23" t="n">
        <v>1</v>
      </c>
      <c r="N12" s="45" t="n">
        <v>7</v>
      </c>
      <c r="O12" s="24" t="n">
        <f aca="false">N12*L12</f>
        <v>2520</v>
      </c>
      <c r="Q12" s="23" t="n">
        <v>24</v>
      </c>
      <c r="R12" s="23" t="n">
        <v>1</v>
      </c>
      <c r="S12" s="23" t="n">
        <v>0</v>
      </c>
      <c r="T12" s="23" t="n">
        <v>0</v>
      </c>
      <c r="U12" s="51" t="n">
        <v>2</v>
      </c>
      <c r="V12" s="23" t="n">
        <v>90</v>
      </c>
      <c r="W12" s="23" t="n">
        <v>2.6</v>
      </c>
      <c r="X12" s="23" t="n">
        <v>8</v>
      </c>
      <c r="Y12" s="23" t="n">
        <v>8</v>
      </c>
      <c r="Z12" s="26" t="n">
        <f aca="false">W12*(SQRT(Y12))</f>
        <v>7.3539105243401</v>
      </c>
      <c r="AA12" s="23"/>
      <c r="AB12" s="23" t="n">
        <v>78</v>
      </c>
      <c r="AC12" s="23" t="n">
        <v>6.2</v>
      </c>
      <c r="AD12" s="23" t="n">
        <v>8</v>
      </c>
      <c r="AE12" s="23" t="n">
        <v>8</v>
      </c>
      <c r="AF12" s="26" t="n">
        <f aca="false">AC12*(SQRT(AE12))</f>
        <v>17.5362481734264</v>
      </c>
    </row>
    <row r="13" customFormat="false" ht="15" hidden="false" customHeight="false" outlineLevel="0" collapsed="false">
      <c r="A13" s="37" t="n">
        <v>2300</v>
      </c>
      <c r="B13" s="37" t="n">
        <v>29561292</v>
      </c>
      <c r="C13" s="37" t="s">
        <v>85</v>
      </c>
      <c r="D13" s="37" t="s">
        <v>86</v>
      </c>
      <c r="E13" s="37" t="s">
        <v>87</v>
      </c>
      <c r="F13" s="37" t="n">
        <v>2018</v>
      </c>
      <c r="G13" s="37" t="s">
        <v>88</v>
      </c>
      <c r="H13" s="37" t="n">
        <v>1</v>
      </c>
      <c r="I13" s="23" t="s">
        <v>51</v>
      </c>
      <c r="J13" s="23" t="s">
        <v>33</v>
      </c>
      <c r="L13" s="23" t="n">
        <v>360</v>
      </c>
      <c r="M13" s="23" t="n">
        <v>1</v>
      </c>
      <c r="N13" s="45" t="n">
        <v>14</v>
      </c>
      <c r="O13" s="24" t="n">
        <f aca="false">N13*L13</f>
        <v>5040</v>
      </c>
      <c r="Q13" s="23" t="n">
        <v>24</v>
      </c>
      <c r="R13" s="23" t="n">
        <v>1</v>
      </c>
      <c r="S13" s="23" t="n">
        <v>0</v>
      </c>
      <c r="T13" s="23" t="n">
        <v>0</v>
      </c>
      <c r="U13" s="51" t="n">
        <v>2</v>
      </c>
      <c r="V13" s="23" t="n">
        <v>90</v>
      </c>
      <c r="W13" s="23" t="n">
        <v>2.6</v>
      </c>
      <c r="X13" s="23" t="n">
        <v>8</v>
      </c>
      <c r="Y13" s="23" t="n">
        <v>8</v>
      </c>
      <c r="Z13" s="26" t="n">
        <f aca="false">W13*(SQRT(Y13))</f>
        <v>7.3539105243401</v>
      </c>
      <c r="AA13" s="23"/>
      <c r="AB13" s="23" t="n">
        <v>61</v>
      </c>
      <c r="AC13" s="23" t="n">
        <v>6.2</v>
      </c>
      <c r="AD13" s="23" t="n">
        <v>8</v>
      </c>
      <c r="AE13" s="23" t="n">
        <v>8</v>
      </c>
      <c r="AF13" s="26" t="n">
        <f aca="false">AC13*(SQRT(AE13))</f>
        <v>17.5362481734264</v>
      </c>
    </row>
    <row r="14" customFormat="false" ht="15" hidden="false" customHeight="false" outlineLevel="0" collapsed="false">
      <c r="A14" s="37" t="n">
        <v>2300</v>
      </c>
      <c r="B14" s="37" t="n">
        <v>29561292</v>
      </c>
      <c r="C14" s="37" t="s">
        <v>85</v>
      </c>
      <c r="D14" s="37" t="s">
        <v>86</v>
      </c>
      <c r="E14" s="37" t="s">
        <v>87</v>
      </c>
      <c r="F14" s="37" t="n">
        <v>2018</v>
      </c>
      <c r="G14" s="37" t="s">
        <v>88</v>
      </c>
      <c r="H14" s="37" t="n">
        <v>1</v>
      </c>
      <c r="I14" s="23" t="s">
        <v>51</v>
      </c>
      <c r="J14" s="23" t="s">
        <v>33</v>
      </c>
      <c r="L14" s="23" t="n">
        <v>360</v>
      </c>
      <c r="M14" s="23" t="n">
        <v>1</v>
      </c>
      <c r="N14" s="45" t="n">
        <v>21</v>
      </c>
      <c r="O14" s="24" t="n">
        <f aca="false">N14*L14</f>
        <v>7560</v>
      </c>
      <c r="Q14" s="23" t="n">
        <v>24</v>
      </c>
      <c r="R14" s="23" t="n">
        <v>1</v>
      </c>
      <c r="S14" s="23" t="n">
        <v>0</v>
      </c>
      <c r="T14" s="23" t="n">
        <v>0</v>
      </c>
      <c r="U14" s="51" t="n">
        <v>2</v>
      </c>
      <c r="V14" s="23" t="n">
        <v>90</v>
      </c>
      <c r="W14" s="23" t="n">
        <v>2.6</v>
      </c>
      <c r="X14" s="23" t="n">
        <v>8</v>
      </c>
      <c r="Y14" s="23" t="n">
        <v>8</v>
      </c>
      <c r="Z14" s="26" t="n">
        <f aca="false">W14*(SQRT(Y14))</f>
        <v>7.3539105243401</v>
      </c>
      <c r="AA14" s="23"/>
      <c r="AB14" s="23" t="n">
        <v>63</v>
      </c>
      <c r="AC14" s="23" t="n">
        <v>6.5</v>
      </c>
      <c r="AD14" s="23" t="n">
        <v>8</v>
      </c>
      <c r="AE14" s="23" t="n">
        <v>8</v>
      </c>
      <c r="AF14" s="26" t="n">
        <f aca="false">AC14*(SQRT(AE14))</f>
        <v>18.3847763108502</v>
      </c>
    </row>
    <row r="15" customFormat="false" ht="15" hidden="false" customHeight="true" outlineLevel="0" collapsed="false">
      <c r="A15" s="37" t="n">
        <v>2300</v>
      </c>
      <c r="B15" s="37" t="n">
        <v>29561292</v>
      </c>
      <c r="C15" s="37" t="s">
        <v>85</v>
      </c>
      <c r="D15" s="37" t="s">
        <v>86</v>
      </c>
      <c r="E15" s="37" t="s">
        <v>87</v>
      </c>
      <c r="F15" s="37" t="n">
        <v>2018</v>
      </c>
      <c r="G15" s="37" t="s">
        <v>88</v>
      </c>
      <c r="H15" s="37" t="n">
        <v>1</v>
      </c>
      <c r="I15" s="23" t="s">
        <v>51</v>
      </c>
      <c r="J15" s="23" t="s">
        <v>33</v>
      </c>
      <c r="L15" s="23" t="n">
        <v>360</v>
      </c>
      <c r="M15" s="23" t="n">
        <v>1</v>
      </c>
      <c r="N15" s="45" t="n">
        <v>28</v>
      </c>
      <c r="O15" s="24" t="n">
        <f aca="false">N15*L15</f>
        <v>10080</v>
      </c>
      <c r="Q15" s="23" t="n">
        <v>24</v>
      </c>
      <c r="R15" s="23" t="n">
        <v>1</v>
      </c>
      <c r="S15" s="23" t="n">
        <v>0</v>
      </c>
      <c r="T15" s="23" t="n">
        <v>0</v>
      </c>
      <c r="U15" s="51" t="n">
        <v>2</v>
      </c>
      <c r="V15" s="23" t="n">
        <v>90</v>
      </c>
      <c r="W15" s="23" t="n">
        <v>2.6</v>
      </c>
      <c r="X15" s="23" t="n">
        <v>8</v>
      </c>
      <c r="Y15" s="23" t="n">
        <v>8</v>
      </c>
      <c r="Z15" s="26" t="n">
        <f aca="false">W15*(SQRT(Y15))</f>
        <v>7.3539105243401</v>
      </c>
      <c r="AA15" s="23"/>
      <c r="AB15" s="23" t="n">
        <v>61</v>
      </c>
      <c r="AC15" s="23" t="n">
        <v>4.3</v>
      </c>
      <c r="AD15" s="23" t="n">
        <v>8</v>
      </c>
      <c r="AE15" s="23" t="n">
        <v>8</v>
      </c>
      <c r="AF15" s="26" t="n">
        <f aca="false">AC15*(SQRT(AE15))</f>
        <v>12.1622366364086</v>
      </c>
    </row>
    <row r="16" s="23" customFormat="true" ht="15" hidden="false" customHeight="false" outlineLevel="0" collapsed="false">
      <c r="A16" s="23" t="n">
        <v>2504</v>
      </c>
      <c r="B16" s="23" t="n">
        <v>36162616</v>
      </c>
      <c r="C16" s="23" t="s">
        <v>99</v>
      </c>
      <c r="D16" s="23" t="s">
        <v>100</v>
      </c>
      <c r="E16" s="23" t="s">
        <v>101</v>
      </c>
      <c r="F16" s="23" t="n">
        <v>2022</v>
      </c>
      <c r="G16" s="23" t="s">
        <v>102</v>
      </c>
      <c r="H16" s="23" t="n">
        <v>1</v>
      </c>
      <c r="I16" s="23" t="s">
        <v>51</v>
      </c>
      <c r="J16" s="23" t="s">
        <v>33</v>
      </c>
      <c r="K16" s="27"/>
      <c r="L16" s="23" t="n">
        <v>360</v>
      </c>
      <c r="M16" s="23" t="n">
        <v>1</v>
      </c>
      <c r="N16" s="24" t="n">
        <v>21</v>
      </c>
      <c r="O16" s="24" t="n">
        <f aca="false">N16*L16</f>
        <v>7560</v>
      </c>
      <c r="Q16" s="23" t="n">
        <v>12</v>
      </c>
      <c r="R16" s="23" t="n">
        <v>1</v>
      </c>
      <c r="S16" s="23" t="n">
        <v>12</v>
      </c>
      <c r="T16" s="23" t="n">
        <v>12</v>
      </c>
      <c r="U16" s="51" t="s">
        <v>494</v>
      </c>
      <c r="V16" s="23" t="n">
        <v>80</v>
      </c>
      <c r="W16" s="23" t="s">
        <v>71</v>
      </c>
      <c r="X16" s="23" t="n">
        <v>12</v>
      </c>
      <c r="Z16" s="23" t="n">
        <v>8</v>
      </c>
      <c r="AB16" s="23" t="n">
        <v>55</v>
      </c>
      <c r="AC16" s="23" t="s">
        <v>71</v>
      </c>
      <c r="AD16" s="23" t="n">
        <v>12</v>
      </c>
      <c r="AF16" s="23" t="n">
        <v>8</v>
      </c>
      <c r="AG16" s="24"/>
    </row>
    <row r="17" customFormat="false" ht="15" hidden="false" customHeight="false" outlineLevel="0" collapsed="false">
      <c r="A17" s="23" t="n">
        <v>2714</v>
      </c>
      <c r="B17" s="23" t="n">
        <v>36746244</v>
      </c>
      <c r="C17" s="23" t="s">
        <v>108</v>
      </c>
      <c r="D17" s="23" t="s">
        <v>109</v>
      </c>
      <c r="E17" s="23" t="s">
        <v>110</v>
      </c>
      <c r="F17" s="23" t="n">
        <v>2023</v>
      </c>
      <c r="G17" s="23" t="s">
        <v>111</v>
      </c>
      <c r="H17" s="23" t="n">
        <v>1</v>
      </c>
      <c r="I17" s="23" t="s">
        <v>32</v>
      </c>
      <c r="J17" s="23" t="s">
        <v>41</v>
      </c>
      <c r="L17" s="23" t="n">
        <v>360</v>
      </c>
      <c r="M17" s="23" t="n">
        <v>1</v>
      </c>
      <c r="N17" s="24" t="n">
        <v>28</v>
      </c>
      <c r="O17" s="24" t="n">
        <f aca="false">N17*L17</f>
        <v>10080</v>
      </c>
      <c r="Q17" s="23" t="n">
        <v>1</v>
      </c>
      <c r="R17" s="23" t="n">
        <v>1</v>
      </c>
      <c r="S17" s="23" t="n">
        <v>23</v>
      </c>
      <c r="T17" s="23" t="n">
        <v>23</v>
      </c>
      <c r="U17" s="51" t="s">
        <v>502</v>
      </c>
      <c r="V17" s="23" t="n">
        <v>79</v>
      </c>
      <c r="W17" s="23" t="n">
        <v>4</v>
      </c>
      <c r="X17" s="23" t="n">
        <v>10</v>
      </c>
      <c r="Y17" s="23" t="n">
        <v>10</v>
      </c>
      <c r="Z17" s="26" t="n">
        <f aca="false">W17*(SQRT(Y17))</f>
        <v>12.6491106406735</v>
      </c>
      <c r="AA17" s="23"/>
      <c r="AB17" s="23" t="n">
        <v>67</v>
      </c>
      <c r="AC17" s="23" t="n">
        <v>2.7</v>
      </c>
      <c r="AD17" s="23" t="n">
        <v>10</v>
      </c>
      <c r="AE17" s="23" t="n">
        <v>10</v>
      </c>
      <c r="AF17" s="26" t="n">
        <f aca="false">AC17*(SQRT(AE17))</f>
        <v>8.53814968245463</v>
      </c>
    </row>
    <row r="18" s="23" customFormat="true" ht="15" hidden="false" customHeight="false" outlineLevel="0" collapsed="false">
      <c r="A18" s="23" t="n">
        <v>2744</v>
      </c>
      <c r="B18" s="23" t="n">
        <v>37259443</v>
      </c>
      <c r="C18" s="23" t="s">
        <v>113</v>
      </c>
      <c r="D18" s="23" t="s">
        <v>114</v>
      </c>
      <c r="E18" s="23" t="s">
        <v>115</v>
      </c>
      <c r="F18" s="23" t="n">
        <v>2023</v>
      </c>
      <c r="G18" s="23" t="s">
        <v>116</v>
      </c>
      <c r="H18" s="23" t="n">
        <v>1</v>
      </c>
      <c r="I18" s="23" t="s">
        <v>51</v>
      </c>
      <c r="J18" s="23" t="s">
        <v>33</v>
      </c>
      <c r="K18" s="27"/>
      <c r="L18" s="23" t="n">
        <v>360</v>
      </c>
      <c r="M18" s="23" t="n">
        <v>1</v>
      </c>
      <c r="N18" s="24" t="n">
        <v>21</v>
      </c>
      <c r="O18" s="24" t="n">
        <f aca="false">N18*L18</f>
        <v>7560</v>
      </c>
      <c r="Q18" s="46"/>
      <c r="R18" s="23" t="n">
        <v>1</v>
      </c>
      <c r="S18" s="23" t="n">
        <v>16</v>
      </c>
      <c r="T18" s="46"/>
      <c r="U18" s="51" t="s">
        <v>243</v>
      </c>
      <c r="V18" s="23" t="n">
        <v>81</v>
      </c>
      <c r="W18" s="23" t="s">
        <v>71</v>
      </c>
      <c r="X18" s="23" t="n">
        <v>10</v>
      </c>
      <c r="Z18" s="23" t="n">
        <v>6</v>
      </c>
      <c r="AB18" s="23" t="n">
        <v>45</v>
      </c>
      <c r="AC18" s="23" t="s">
        <v>71</v>
      </c>
      <c r="AD18" s="23" t="n">
        <v>10</v>
      </c>
      <c r="AF18" s="23" t="n">
        <v>9</v>
      </c>
      <c r="AG18" s="24"/>
    </row>
    <row r="19" s="23" customFormat="true" ht="15" hidden="false" customHeight="false" outlineLevel="0" collapsed="false">
      <c r="A19" s="23" t="n">
        <v>2795</v>
      </c>
      <c r="C19" s="23" t="s">
        <v>119</v>
      </c>
      <c r="D19" s="23" t="s">
        <v>120</v>
      </c>
      <c r="E19" s="23" t="s">
        <v>121</v>
      </c>
      <c r="F19" s="23" t="n">
        <v>2022</v>
      </c>
      <c r="G19" s="23" t="s">
        <v>122</v>
      </c>
      <c r="H19" s="23" t="n">
        <v>1</v>
      </c>
      <c r="I19" s="23" t="s">
        <v>123</v>
      </c>
      <c r="J19" s="23" t="s">
        <v>33</v>
      </c>
      <c r="K19" s="27"/>
      <c r="L19" s="23" t="n">
        <v>360</v>
      </c>
      <c r="M19" s="23" t="n">
        <v>1</v>
      </c>
      <c r="N19" s="24" t="n">
        <v>28</v>
      </c>
      <c r="O19" s="24" t="n">
        <f aca="false">L19*M19*N19</f>
        <v>10080</v>
      </c>
      <c r="Q19" s="23" t="n">
        <v>1</v>
      </c>
      <c r="R19" s="23" t="n">
        <v>24</v>
      </c>
      <c r="S19" s="46"/>
      <c r="T19" s="46"/>
      <c r="U19" s="23" t="s">
        <v>35</v>
      </c>
      <c r="V19" s="23" t="n">
        <v>94</v>
      </c>
      <c r="W19" s="23" t="n">
        <v>5</v>
      </c>
      <c r="X19" s="23" t="n">
        <v>8</v>
      </c>
      <c r="Y19" s="23" t="n">
        <v>8</v>
      </c>
      <c r="Z19" s="26" t="n">
        <f aca="false">W19*(SQRT(Y19))</f>
        <v>14.142135623731</v>
      </c>
      <c r="AB19" s="23" t="n">
        <v>74</v>
      </c>
      <c r="AC19" s="23" t="n">
        <v>9</v>
      </c>
      <c r="AD19" s="23" t="n">
        <v>10</v>
      </c>
      <c r="AE19" s="23" t="n">
        <v>10</v>
      </c>
      <c r="AF19" s="26" t="n">
        <f aca="false">AC19*(SQRT(AE19))</f>
        <v>28.4604989415154</v>
      </c>
    </row>
    <row r="20" customFormat="false" ht="15" hidden="false" customHeight="false" outlineLevel="0" collapsed="false">
      <c r="A20" s="23" t="n">
        <v>3077</v>
      </c>
      <c r="B20" s="23" t="n">
        <v>28763303</v>
      </c>
      <c r="C20" s="23" t="s">
        <v>130</v>
      </c>
      <c r="D20" s="23" t="s">
        <v>131</v>
      </c>
      <c r="E20" s="23" t="s">
        <v>87</v>
      </c>
      <c r="F20" s="23" t="n">
        <v>2018</v>
      </c>
      <c r="G20" s="23" t="s">
        <v>132</v>
      </c>
      <c r="H20" s="23" t="n">
        <v>1</v>
      </c>
      <c r="I20" s="23" t="s">
        <v>51</v>
      </c>
      <c r="J20" s="23" t="s">
        <v>33</v>
      </c>
      <c r="L20" s="23" t="n">
        <v>360</v>
      </c>
      <c r="M20" s="23" t="n">
        <v>1</v>
      </c>
      <c r="N20" s="24" t="n">
        <v>28</v>
      </c>
      <c r="O20" s="24" t="n">
        <f aca="false">N20*L20</f>
        <v>10080</v>
      </c>
      <c r="Q20" s="23" t="n">
        <v>2</v>
      </c>
      <c r="R20" s="23" t="n">
        <v>1</v>
      </c>
      <c r="S20" s="23" t="n">
        <v>24</v>
      </c>
      <c r="T20" s="23" t="n">
        <v>24</v>
      </c>
      <c r="U20" s="51" t="n">
        <v>2</v>
      </c>
      <c r="V20" s="23" t="n">
        <v>77</v>
      </c>
      <c r="W20" s="34" t="n">
        <v>3.8</v>
      </c>
      <c r="X20" s="23" t="n">
        <v>12</v>
      </c>
      <c r="Y20" s="23" t="n">
        <v>12</v>
      </c>
      <c r="Z20" s="26" t="n">
        <f aca="false">W20*(SQRT(Y20))</f>
        <v>13.1635861375235</v>
      </c>
      <c r="AA20" s="23"/>
      <c r="AB20" s="23" t="n">
        <v>54</v>
      </c>
      <c r="AC20" s="23" t="n">
        <v>2.3</v>
      </c>
      <c r="AD20" s="23" t="n">
        <v>12</v>
      </c>
      <c r="AE20" s="23" t="n">
        <v>12</v>
      </c>
      <c r="AF20" s="26" t="n">
        <f aca="false">AC20*(SQRT(AE20))</f>
        <v>7.96743371481684</v>
      </c>
    </row>
    <row r="21" s="23" customFormat="true" ht="15" hidden="false" customHeight="false" outlineLevel="0" collapsed="false">
      <c r="A21" s="23" t="n">
        <v>3482</v>
      </c>
      <c r="C21" s="23" t="s">
        <v>503</v>
      </c>
      <c r="D21" s="23" t="s">
        <v>504</v>
      </c>
      <c r="E21" s="23" t="s">
        <v>505</v>
      </c>
      <c r="F21" s="23" t="n">
        <v>2024</v>
      </c>
      <c r="G21" s="23" t="s">
        <v>506</v>
      </c>
      <c r="H21" s="23" t="n">
        <v>1</v>
      </c>
      <c r="I21" s="23" t="s">
        <v>32</v>
      </c>
      <c r="J21" s="23" t="s">
        <v>33</v>
      </c>
      <c r="K21" s="27"/>
      <c r="L21" s="23" t="n">
        <v>120</v>
      </c>
      <c r="M21" s="23" t="n">
        <v>1</v>
      </c>
      <c r="N21" s="24" t="n">
        <v>14</v>
      </c>
      <c r="O21" s="24" t="n">
        <f aca="false">L21*M21*N21</f>
        <v>1680</v>
      </c>
      <c r="Q21" s="23" t="n">
        <v>1</v>
      </c>
      <c r="R21" s="23" t="n">
        <v>1</v>
      </c>
      <c r="S21" s="23" t="n">
        <v>12</v>
      </c>
      <c r="T21" s="46"/>
      <c r="U21" s="23" t="s">
        <v>124</v>
      </c>
      <c r="V21" s="46"/>
      <c r="W21" s="46"/>
      <c r="X21" s="46"/>
      <c r="Y21" s="46"/>
      <c r="Z21" s="46"/>
      <c r="AB21" s="46"/>
      <c r="AC21" s="46"/>
      <c r="AD21" s="46"/>
      <c r="AE21" s="46"/>
      <c r="AF21" s="46"/>
    </row>
    <row r="22" s="23" customFormat="true" ht="15" hidden="false" customHeight="false" outlineLevel="0" collapsed="false">
      <c r="A22" s="23" t="n">
        <v>3670</v>
      </c>
      <c r="C22" s="23" t="s">
        <v>154</v>
      </c>
      <c r="D22" s="23" t="s">
        <v>155</v>
      </c>
      <c r="E22" s="23" t="s">
        <v>156</v>
      </c>
      <c r="F22" s="23" t="n">
        <v>2021</v>
      </c>
      <c r="G22" s="23" t="s">
        <v>157</v>
      </c>
      <c r="H22" s="23" t="n">
        <v>1</v>
      </c>
      <c r="I22" s="23" t="s">
        <v>51</v>
      </c>
      <c r="J22" s="23" t="s">
        <v>33</v>
      </c>
      <c r="K22" s="27" t="s">
        <v>36</v>
      </c>
      <c r="L22" s="23" t="n">
        <v>360</v>
      </c>
      <c r="M22" s="23" t="n">
        <v>1</v>
      </c>
      <c r="N22" s="24" t="n">
        <v>28</v>
      </c>
      <c r="O22" s="24" t="n">
        <f aca="false">L22*M22*N22</f>
        <v>10080</v>
      </c>
      <c r="Q22" s="23" t="n">
        <v>1</v>
      </c>
      <c r="R22" s="23" t="n">
        <v>1</v>
      </c>
      <c r="S22" s="23" t="n">
        <v>23</v>
      </c>
      <c r="T22" s="23" t="n">
        <v>23</v>
      </c>
      <c r="U22" s="23" t="s">
        <v>507</v>
      </c>
      <c r="V22" s="23" t="n">
        <v>71</v>
      </c>
      <c r="W22" s="23" t="n">
        <v>5</v>
      </c>
      <c r="X22" s="27" t="s">
        <v>158</v>
      </c>
      <c r="Y22" s="23" t="n">
        <v>8</v>
      </c>
      <c r="Z22" s="26" t="n">
        <f aca="false">W22*(SQRT(Y22))</f>
        <v>14.142135623731</v>
      </c>
      <c r="AB22" s="23" t="n">
        <v>74</v>
      </c>
      <c r="AC22" s="23" t="n">
        <v>8</v>
      </c>
      <c r="AD22" s="27" t="s">
        <v>158</v>
      </c>
      <c r="AE22" s="23" t="n">
        <v>8</v>
      </c>
      <c r="AF22" s="26" t="n">
        <f aca="false">AC22*(SQRT(AE22))</f>
        <v>22.6274169979695</v>
      </c>
    </row>
    <row r="23" customFormat="false" ht="15" hidden="false" customHeight="false" outlineLevel="0" collapsed="false">
      <c r="A23" s="23" t="n">
        <v>3676</v>
      </c>
      <c r="B23" s="23" t="n">
        <v>38992775</v>
      </c>
      <c r="C23" s="23" t="s">
        <v>159</v>
      </c>
      <c r="D23" s="23" t="s">
        <v>160</v>
      </c>
      <c r="E23" s="23" t="s">
        <v>161</v>
      </c>
      <c r="F23" s="23" t="n">
        <v>2024</v>
      </c>
      <c r="G23" s="23" t="s">
        <v>162</v>
      </c>
      <c r="H23" s="23" t="n">
        <v>1</v>
      </c>
      <c r="I23" s="23" t="s">
        <v>32</v>
      </c>
      <c r="J23" s="23" t="s">
        <v>33</v>
      </c>
      <c r="K23" s="27" t="n">
        <v>4</v>
      </c>
      <c r="L23" s="23" t="n">
        <v>120</v>
      </c>
      <c r="M23" s="23" t="n">
        <v>1</v>
      </c>
      <c r="N23" s="24" t="n">
        <v>14</v>
      </c>
      <c r="O23" s="24" t="n">
        <f aca="false">N23*L23</f>
        <v>1680</v>
      </c>
      <c r="Q23" s="23" t="n">
        <v>6</v>
      </c>
      <c r="R23" s="59" t="s">
        <v>508</v>
      </c>
      <c r="S23" s="23" t="n">
        <v>12</v>
      </c>
      <c r="T23" s="23" t="n">
        <v>12</v>
      </c>
      <c r="U23" s="51" t="s">
        <v>509</v>
      </c>
      <c r="V23" s="23" t="n">
        <v>73</v>
      </c>
      <c r="W23" s="23" t="n">
        <v>3.1</v>
      </c>
      <c r="X23" s="23" t="n">
        <v>10</v>
      </c>
      <c r="Y23" s="23" t="n">
        <v>10</v>
      </c>
      <c r="Z23" s="26" t="n">
        <f aca="false">W23*(SQRT(Y23))</f>
        <v>9.80306074652198</v>
      </c>
      <c r="AA23" s="23"/>
      <c r="AB23" s="23" t="n">
        <v>51</v>
      </c>
      <c r="AC23" s="23" t="n">
        <v>3.8</v>
      </c>
      <c r="AD23" s="23" t="n">
        <v>10</v>
      </c>
      <c r="AE23" s="23" t="n">
        <v>10</v>
      </c>
      <c r="AF23" s="26" t="n">
        <f aca="false">AC23*(SQRT(AE23))</f>
        <v>12.0166551086398</v>
      </c>
    </row>
    <row r="24" s="23" customFormat="true" ht="15" hidden="false" customHeight="false" outlineLevel="0" collapsed="false">
      <c r="A24" s="37" t="n">
        <v>3926</v>
      </c>
      <c r="B24" s="37"/>
      <c r="C24" s="37" t="s">
        <v>164</v>
      </c>
      <c r="D24" s="37" t="s">
        <v>165</v>
      </c>
      <c r="E24" s="37" t="s">
        <v>166</v>
      </c>
      <c r="F24" s="37" t="n">
        <v>2023</v>
      </c>
      <c r="G24" s="37" t="s">
        <v>167</v>
      </c>
      <c r="H24" s="37" t="n">
        <v>1</v>
      </c>
      <c r="I24" s="23" t="s">
        <v>32</v>
      </c>
      <c r="J24" s="37" t="s">
        <v>33</v>
      </c>
      <c r="K24" s="27" t="s">
        <v>34</v>
      </c>
      <c r="L24" s="23" t="n">
        <v>240</v>
      </c>
      <c r="M24" s="23" t="n">
        <v>1</v>
      </c>
      <c r="N24" s="24" t="n">
        <v>21</v>
      </c>
      <c r="O24" s="24" t="n">
        <f aca="false">L24*M24*N24</f>
        <v>5040</v>
      </c>
      <c r="Q24" s="23" t="n">
        <v>2</v>
      </c>
      <c r="R24" s="23" t="n">
        <v>1</v>
      </c>
      <c r="S24" s="23" t="n">
        <v>24</v>
      </c>
      <c r="T24" s="46"/>
      <c r="U24" s="23" t="s">
        <v>112</v>
      </c>
      <c r="V24" s="23" t="n">
        <v>78</v>
      </c>
      <c r="W24" s="23" t="n">
        <v>5</v>
      </c>
      <c r="X24" s="23" t="n">
        <v>6</v>
      </c>
      <c r="Y24" s="23" t="n">
        <v>6</v>
      </c>
      <c r="Z24" s="26" t="n">
        <f aca="false">W24*(SQRT(Y24))</f>
        <v>12.2474487139159</v>
      </c>
      <c r="AB24" s="23" t="n">
        <v>66</v>
      </c>
      <c r="AC24" s="23" t="n">
        <v>9</v>
      </c>
      <c r="AD24" s="23" t="n">
        <v>6</v>
      </c>
      <c r="AE24" s="23" t="n">
        <v>6</v>
      </c>
      <c r="AF24" s="26" t="n">
        <f aca="false">AC24*(SQRT(AE24))</f>
        <v>22.0454076850486</v>
      </c>
    </row>
    <row r="25" s="23" customFormat="true" ht="15" hidden="false" customHeight="false" outlineLevel="0" collapsed="false">
      <c r="A25" s="37" t="n">
        <v>3926</v>
      </c>
      <c r="B25" s="37"/>
      <c r="C25" s="37" t="s">
        <v>164</v>
      </c>
      <c r="D25" s="37" t="s">
        <v>165</v>
      </c>
      <c r="E25" s="37" t="s">
        <v>166</v>
      </c>
      <c r="F25" s="37" t="n">
        <v>2023</v>
      </c>
      <c r="G25" s="37" t="s">
        <v>167</v>
      </c>
      <c r="H25" s="37" t="n">
        <v>1</v>
      </c>
      <c r="I25" s="23" t="s">
        <v>32</v>
      </c>
      <c r="J25" s="37" t="s">
        <v>97</v>
      </c>
      <c r="K25" s="27" t="s">
        <v>34</v>
      </c>
      <c r="L25" s="23" t="n">
        <v>240</v>
      </c>
      <c r="M25" s="23" t="n">
        <v>1</v>
      </c>
      <c r="N25" s="24" t="n">
        <v>21</v>
      </c>
      <c r="O25" s="24" t="n">
        <f aca="false">L25*M25*N25</f>
        <v>5040</v>
      </c>
      <c r="Q25" s="23" t="s">
        <v>153</v>
      </c>
      <c r="U25" s="43"/>
      <c r="V25" s="43"/>
      <c r="W25" s="43"/>
      <c r="X25" s="43"/>
      <c r="Y25" s="43"/>
      <c r="Z25" s="43"/>
      <c r="AB25" s="43"/>
      <c r="AC25" s="43"/>
      <c r="AD25" s="43"/>
      <c r="AE25" s="43"/>
      <c r="AF25" s="43"/>
    </row>
    <row r="26" customFormat="false" ht="15" hidden="false" customHeight="false" outlineLevel="0" collapsed="false">
      <c r="A26" s="23" t="n">
        <v>4002</v>
      </c>
      <c r="B26" s="23" t="n">
        <v>28420875</v>
      </c>
      <c r="C26" s="23" t="s">
        <v>169</v>
      </c>
      <c r="D26" s="23" t="s">
        <v>170</v>
      </c>
      <c r="E26" s="23" t="s">
        <v>171</v>
      </c>
      <c r="F26" s="23" t="n">
        <v>2017</v>
      </c>
      <c r="G26" s="23" t="s">
        <v>172</v>
      </c>
      <c r="H26" s="23" t="n">
        <v>1</v>
      </c>
      <c r="I26" s="23" t="s">
        <v>32</v>
      </c>
      <c r="J26" s="23" t="s">
        <v>33</v>
      </c>
      <c r="L26" s="23" t="n">
        <v>120</v>
      </c>
      <c r="M26" s="23" t="n">
        <v>1</v>
      </c>
      <c r="N26" s="24" t="n">
        <v>14</v>
      </c>
      <c r="O26" s="24" t="n">
        <f aca="false">N26*L26</f>
        <v>1680</v>
      </c>
      <c r="P26" s="23" t="s">
        <v>510</v>
      </c>
      <c r="Q26" s="23" t="n">
        <v>1</v>
      </c>
      <c r="R26" s="23" t="n">
        <v>1</v>
      </c>
      <c r="S26" s="23" t="n">
        <v>12</v>
      </c>
      <c r="T26" s="23" t="n">
        <v>12</v>
      </c>
      <c r="U26" s="51" t="s">
        <v>511</v>
      </c>
      <c r="V26" s="23" t="n">
        <v>85</v>
      </c>
      <c r="W26" s="23" t="n">
        <v>2.4</v>
      </c>
      <c r="X26" s="23" t="n">
        <v>20</v>
      </c>
      <c r="Y26" s="23" t="n">
        <v>20</v>
      </c>
      <c r="Z26" s="26" t="n">
        <f aca="false">W26*(SQRT(Y26))</f>
        <v>10.733126291999</v>
      </c>
      <c r="AA26" s="23"/>
      <c r="AB26" s="23" t="n">
        <v>62</v>
      </c>
      <c r="AC26" s="23" t="n">
        <v>6</v>
      </c>
      <c r="AD26" s="23" t="n">
        <v>20</v>
      </c>
      <c r="AE26" s="23" t="n">
        <v>20</v>
      </c>
      <c r="AF26" s="26" t="n">
        <f aca="false">AC26*(SQRT(AE26))</f>
        <v>26.8328157299975</v>
      </c>
    </row>
    <row r="27" customFormat="false" ht="15" hidden="false" customHeight="false" outlineLevel="0" collapsed="false">
      <c r="A27" s="23" t="n">
        <v>4025</v>
      </c>
      <c r="B27" s="23" t="n">
        <v>33291797</v>
      </c>
      <c r="C27" s="23" t="s">
        <v>175</v>
      </c>
      <c r="D27" s="23" t="s">
        <v>176</v>
      </c>
      <c r="E27" s="23" t="s">
        <v>177</v>
      </c>
      <c r="F27" s="23" t="n">
        <v>2020</v>
      </c>
      <c r="G27" s="23" t="s">
        <v>178</v>
      </c>
      <c r="H27" s="23" t="n">
        <v>1</v>
      </c>
      <c r="I27" s="23" t="s">
        <v>32</v>
      </c>
      <c r="J27" s="23" t="s">
        <v>33</v>
      </c>
      <c r="K27" s="27" t="n">
        <v>6</v>
      </c>
      <c r="L27" s="23" t="n">
        <v>120</v>
      </c>
      <c r="M27" s="23" t="n">
        <v>1</v>
      </c>
      <c r="N27" s="24" t="n">
        <v>21</v>
      </c>
      <c r="O27" s="24" t="n">
        <f aca="false">N27*L27</f>
        <v>2520</v>
      </c>
      <c r="Q27" s="23" t="n">
        <v>24</v>
      </c>
      <c r="R27" s="23" t="n">
        <v>1</v>
      </c>
      <c r="S27" s="46"/>
      <c r="T27" s="46"/>
      <c r="U27" s="51" t="s">
        <v>35</v>
      </c>
      <c r="V27" s="23" t="n">
        <v>90</v>
      </c>
      <c r="W27" s="23" t="n">
        <v>0.3</v>
      </c>
      <c r="X27" s="24" t="s">
        <v>512</v>
      </c>
      <c r="Y27" s="23" t="n">
        <v>9</v>
      </c>
      <c r="Z27" s="26" t="n">
        <f aca="false">W27*(SQRT(Y27))</f>
        <v>0.9</v>
      </c>
      <c r="AA27" s="23"/>
      <c r="AB27" s="23" t="n">
        <v>70</v>
      </c>
      <c r="AC27" s="34" t="n">
        <v>1.9</v>
      </c>
      <c r="AD27" s="24" t="s">
        <v>512</v>
      </c>
      <c r="AE27" s="23" t="n">
        <v>9</v>
      </c>
      <c r="AF27" s="26" t="n">
        <f aca="false">AC27*(SQRT(AE27))</f>
        <v>5.7</v>
      </c>
    </row>
    <row r="28" s="23" customFormat="true" ht="15" hidden="false" customHeight="true" outlineLevel="0" collapsed="false">
      <c r="A28" s="23" t="n">
        <v>4070</v>
      </c>
      <c r="B28" s="23" t="n">
        <v>29317595</v>
      </c>
      <c r="C28" s="23" t="s">
        <v>190</v>
      </c>
      <c r="D28" s="23" t="s">
        <v>191</v>
      </c>
      <c r="E28" s="23" t="s">
        <v>192</v>
      </c>
      <c r="F28" s="23" t="n">
        <v>2018</v>
      </c>
      <c r="G28" s="23" t="s">
        <v>193</v>
      </c>
      <c r="H28" s="23" t="n">
        <v>1</v>
      </c>
      <c r="I28" s="23" t="s">
        <v>32</v>
      </c>
      <c r="J28" s="23" t="s">
        <v>33</v>
      </c>
      <c r="K28" s="27"/>
      <c r="L28" s="23" t="n">
        <v>360</v>
      </c>
      <c r="M28" s="23" t="n">
        <v>1</v>
      </c>
      <c r="N28" s="24" t="n">
        <v>21</v>
      </c>
      <c r="O28" s="24" t="n">
        <f aca="false">N28*L28</f>
        <v>7560</v>
      </c>
      <c r="Q28" s="23" t="n">
        <v>1</v>
      </c>
      <c r="R28" s="46"/>
      <c r="S28" s="46"/>
      <c r="T28" s="46"/>
      <c r="U28" s="51" t="s">
        <v>513</v>
      </c>
      <c r="X28" s="46"/>
      <c r="Y28" s="46"/>
      <c r="Z28" s="26"/>
      <c r="AD28" s="46"/>
      <c r="AE28" s="46"/>
      <c r="AF28" s="26"/>
      <c r="AG28" s="24"/>
    </row>
    <row r="29" s="23" customFormat="true" ht="15" hidden="false" customHeight="false" outlineLevel="0" collapsed="false">
      <c r="A29" s="23" t="n">
        <v>4745</v>
      </c>
      <c r="B29" s="23" t="n">
        <v>28388904</v>
      </c>
      <c r="C29" s="23" t="s">
        <v>514</v>
      </c>
      <c r="D29" s="23" t="s">
        <v>515</v>
      </c>
      <c r="E29" s="23" t="s">
        <v>516</v>
      </c>
      <c r="F29" s="23" t="n">
        <v>2017</v>
      </c>
      <c r="G29" s="23" t="s">
        <v>517</v>
      </c>
      <c r="H29" s="23" t="n">
        <v>1</v>
      </c>
      <c r="I29" s="23" t="s">
        <v>32</v>
      </c>
      <c r="J29" s="23" t="s">
        <v>33</v>
      </c>
      <c r="K29" s="27"/>
      <c r="L29" s="23" t="n">
        <v>360</v>
      </c>
      <c r="M29" s="23" t="n">
        <v>1</v>
      </c>
      <c r="N29" s="24" t="n">
        <v>63</v>
      </c>
      <c r="O29" s="24" t="n">
        <f aca="false">N29*L29</f>
        <v>22680</v>
      </c>
      <c r="Q29" s="23" t="n">
        <v>1</v>
      </c>
      <c r="R29" s="23" t="n">
        <v>1</v>
      </c>
      <c r="S29" s="23" t="n">
        <v>24</v>
      </c>
      <c r="T29" s="23" t="n">
        <v>24</v>
      </c>
      <c r="U29" s="51" t="s">
        <v>118</v>
      </c>
      <c r="V29" s="23" t="n">
        <v>78</v>
      </c>
      <c r="W29" s="23" t="s">
        <v>71</v>
      </c>
      <c r="X29" s="23" t="n">
        <v>10</v>
      </c>
      <c r="Z29" s="23" t="n">
        <v>9</v>
      </c>
      <c r="AB29" s="23" t="n">
        <v>49</v>
      </c>
      <c r="AC29" s="23" t="s">
        <v>71</v>
      </c>
      <c r="AD29" s="23" t="n">
        <v>10</v>
      </c>
      <c r="AF29" s="23" t="n">
        <v>17</v>
      </c>
      <c r="AG29" s="24"/>
    </row>
    <row r="30" customFormat="false" ht="15" hidden="false" customHeight="false" outlineLevel="0" collapsed="false">
      <c r="A30" s="23" t="n">
        <v>4794</v>
      </c>
      <c r="B30" s="23" t="n">
        <v>35780963</v>
      </c>
      <c r="C30" s="23" t="s">
        <v>518</v>
      </c>
      <c r="D30" s="23" t="s">
        <v>519</v>
      </c>
      <c r="E30" s="23" t="s">
        <v>110</v>
      </c>
      <c r="F30" s="23" t="n">
        <v>2022</v>
      </c>
      <c r="G30" s="23" t="s">
        <v>520</v>
      </c>
      <c r="H30" s="23" t="n">
        <v>1</v>
      </c>
      <c r="I30" s="23" t="s">
        <v>32</v>
      </c>
      <c r="J30" s="23" t="s">
        <v>33</v>
      </c>
      <c r="L30" s="23" t="n">
        <v>360</v>
      </c>
      <c r="M30" s="23" t="n">
        <v>1</v>
      </c>
      <c r="N30" s="24" t="n">
        <v>21</v>
      </c>
      <c r="O30" s="24" t="n">
        <f aca="false">N30*L30</f>
        <v>7560</v>
      </c>
      <c r="Q30" s="23" t="n">
        <v>48</v>
      </c>
      <c r="R30" s="23" t="n">
        <v>1</v>
      </c>
      <c r="S30" s="23" t="n">
        <v>6</v>
      </c>
      <c r="T30" s="23" t="n">
        <v>6</v>
      </c>
      <c r="U30" s="51" t="s">
        <v>494</v>
      </c>
      <c r="V30" s="23" t="n">
        <v>80</v>
      </c>
      <c r="W30" s="23" t="n">
        <v>3</v>
      </c>
      <c r="X30" s="23" t="n">
        <v>10</v>
      </c>
      <c r="Y30" s="23" t="n">
        <v>10</v>
      </c>
      <c r="Z30" s="26" t="n">
        <f aca="false">W30*(SQRT(Y30))</f>
        <v>9.48683298050514</v>
      </c>
      <c r="AA30" s="23"/>
      <c r="AB30" s="23" t="n">
        <v>61</v>
      </c>
      <c r="AC30" s="23" t="n">
        <v>8</v>
      </c>
      <c r="AD30" s="23" t="n">
        <v>10</v>
      </c>
      <c r="AE30" s="23" t="n">
        <v>10</v>
      </c>
      <c r="AF30" s="26" t="n">
        <f aca="false">AC30*(SQRT(AE30))</f>
        <v>25.298221281347</v>
      </c>
    </row>
    <row r="31" customFormat="false" ht="15" hidden="false" customHeight="true" outlineLevel="0" collapsed="false">
      <c r="A31" s="37" t="n">
        <v>4887</v>
      </c>
      <c r="B31" s="37" t="n">
        <v>36921909</v>
      </c>
      <c r="C31" s="37" t="s">
        <v>521</v>
      </c>
      <c r="D31" s="37" t="s">
        <v>522</v>
      </c>
      <c r="E31" s="37" t="s">
        <v>523</v>
      </c>
      <c r="F31" s="37" t="n">
        <v>2023</v>
      </c>
      <c r="G31" s="37" t="s">
        <v>524</v>
      </c>
      <c r="H31" s="37" t="n">
        <v>1</v>
      </c>
      <c r="I31" s="23" t="s">
        <v>51</v>
      </c>
      <c r="J31" s="37" t="s">
        <v>33</v>
      </c>
      <c r="L31" s="23" t="n">
        <v>360</v>
      </c>
      <c r="M31" s="23" t="n">
        <v>1</v>
      </c>
      <c r="N31" s="45" t="n">
        <v>11</v>
      </c>
      <c r="O31" s="24" t="n">
        <f aca="false">N31*L31</f>
        <v>3960</v>
      </c>
      <c r="Q31" s="23" t="n">
        <v>16</v>
      </c>
      <c r="R31" s="23" t="n">
        <v>1</v>
      </c>
      <c r="S31" s="23" t="n">
        <v>6</v>
      </c>
      <c r="T31" s="23" t="n">
        <v>6</v>
      </c>
      <c r="U31" s="60"/>
      <c r="V31" s="46"/>
      <c r="W31" s="46"/>
      <c r="X31" s="46"/>
      <c r="Y31" s="46"/>
      <c r="Z31" s="46"/>
      <c r="AA31" s="23"/>
      <c r="AB31" s="46"/>
      <c r="AC31" s="46"/>
      <c r="AD31" s="46"/>
      <c r="AE31" s="46"/>
      <c r="AF31" s="46"/>
    </row>
    <row r="32" customFormat="false" ht="15" hidden="false" customHeight="false" outlineLevel="0" collapsed="false">
      <c r="A32" s="37" t="n">
        <v>4887</v>
      </c>
      <c r="B32" s="37" t="n">
        <v>36921909</v>
      </c>
      <c r="C32" s="37" t="s">
        <v>521</v>
      </c>
      <c r="D32" s="37" t="s">
        <v>522</v>
      </c>
      <c r="E32" s="37" t="s">
        <v>523</v>
      </c>
      <c r="F32" s="37" t="n">
        <v>2023</v>
      </c>
      <c r="G32" s="37" t="s">
        <v>524</v>
      </c>
      <c r="H32" s="37" t="n">
        <v>1</v>
      </c>
      <c r="I32" s="23" t="s">
        <v>51</v>
      </c>
      <c r="J32" s="37" t="s">
        <v>97</v>
      </c>
      <c r="L32" s="23" t="n">
        <v>360</v>
      </c>
      <c r="M32" s="23" t="n">
        <v>1</v>
      </c>
      <c r="N32" s="45" t="n">
        <v>11</v>
      </c>
      <c r="O32" s="24" t="n">
        <f aca="false">N32*L32</f>
        <v>3960</v>
      </c>
      <c r="Q32" s="23" t="n">
        <v>16</v>
      </c>
      <c r="R32" s="23" t="n">
        <v>1</v>
      </c>
      <c r="S32" s="23" t="n">
        <v>6</v>
      </c>
      <c r="T32" s="23" t="n">
        <v>6</v>
      </c>
      <c r="U32" s="60"/>
      <c r="V32" s="46"/>
      <c r="W32" s="46"/>
      <c r="X32" s="46"/>
      <c r="Y32" s="46"/>
      <c r="Z32" s="46"/>
      <c r="AA32" s="23"/>
      <c r="AB32" s="46"/>
      <c r="AC32" s="46"/>
      <c r="AD32" s="46"/>
      <c r="AE32" s="46"/>
      <c r="AF32" s="46"/>
    </row>
    <row r="33" customFormat="false" ht="15" hidden="false" customHeight="false" outlineLevel="0" collapsed="false">
      <c r="A33" s="37" t="n">
        <v>4887</v>
      </c>
      <c r="B33" s="37" t="n">
        <v>36921909</v>
      </c>
      <c r="C33" s="37" t="s">
        <v>521</v>
      </c>
      <c r="D33" s="37" t="s">
        <v>522</v>
      </c>
      <c r="E33" s="37" t="s">
        <v>523</v>
      </c>
      <c r="F33" s="37" t="n">
        <v>2023</v>
      </c>
      <c r="G33" s="37" t="s">
        <v>524</v>
      </c>
      <c r="H33" s="37" t="n">
        <v>1</v>
      </c>
      <c r="I33" s="23" t="s">
        <v>51</v>
      </c>
      <c r="J33" s="37" t="s">
        <v>33</v>
      </c>
      <c r="L33" s="23" t="n">
        <v>360</v>
      </c>
      <c r="M33" s="23" t="n">
        <v>1</v>
      </c>
      <c r="N33" s="45" t="n">
        <v>22</v>
      </c>
      <c r="O33" s="24" t="n">
        <f aca="false">N33*L33</f>
        <v>7920</v>
      </c>
      <c r="Q33" s="23" t="n">
        <v>16</v>
      </c>
      <c r="R33" s="23" t="n">
        <v>1</v>
      </c>
      <c r="S33" s="23" t="n">
        <v>6</v>
      </c>
      <c r="T33" s="23" t="n">
        <v>6</v>
      </c>
      <c r="U33" s="60"/>
      <c r="V33" s="46"/>
      <c r="W33" s="46"/>
      <c r="X33" s="46"/>
      <c r="Y33" s="46"/>
      <c r="Z33" s="46"/>
      <c r="AA33" s="23"/>
      <c r="AB33" s="46"/>
      <c r="AC33" s="46"/>
      <c r="AD33" s="46"/>
      <c r="AE33" s="46"/>
      <c r="AF33" s="46"/>
    </row>
    <row r="34" customFormat="false" ht="15" hidden="false" customHeight="false" outlineLevel="0" collapsed="false">
      <c r="A34" s="37" t="n">
        <v>4887</v>
      </c>
      <c r="B34" s="37" t="n">
        <v>36921909</v>
      </c>
      <c r="C34" s="37" t="s">
        <v>521</v>
      </c>
      <c r="D34" s="37" t="s">
        <v>522</v>
      </c>
      <c r="E34" s="37" t="s">
        <v>523</v>
      </c>
      <c r="F34" s="37" t="n">
        <v>2023</v>
      </c>
      <c r="G34" s="37" t="s">
        <v>524</v>
      </c>
      <c r="H34" s="37" t="n">
        <v>1</v>
      </c>
      <c r="I34" s="23" t="s">
        <v>51</v>
      </c>
      <c r="J34" s="37" t="s">
        <v>97</v>
      </c>
      <c r="L34" s="23" t="n">
        <v>360</v>
      </c>
      <c r="M34" s="23" t="n">
        <v>1</v>
      </c>
      <c r="N34" s="45" t="n">
        <v>22</v>
      </c>
      <c r="O34" s="24" t="n">
        <f aca="false">N34*L34</f>
        <v>7920</v>
      </c>
      <c r="Q34" s="23" t="n">
        <v>16</v>
      </c>
      <c r="R34" s="23" t="n">
        <v>1</v>
      </c>
      <c r="S34" s="23" t="n">
        <v>6</v>
      </c>
      <c r="T34" s="23" t="n">
        <v>6</v>
      </c>
      <c r="U34" s="60"/>
      <c r="V34" s="46"/>
      <c r="W34" s="46"/>
      <c r="X34" s="46"/>
      <c r="Y34" s="46"/>
      <c r="Z34" s="46"/>
      <c r="AA34" s="23"/>
      <c r="AB34" s="46"/>
      <c r="AC34" s="46"/>
      <c r="AD34" s="46"/>
      <c r="AE34" s="46"/>
      <c r="AF34" s="46"/>
    </row>
    <row r="35" s="23" customFormat="true" ht="15" hidden="false" customHeight="false" outlineLevel="0" collapsed="false">
      <c r="A35" s="37" t="n">
        <v>4911</v>
      </c>
      <c r="B35" s="37" t="n">
        <v>39432823</v>
      </c>
      <c r="C35" s="37" t="s">
        <v>207</v>
      </c>
      <c r="D35" s="37" t="s">
        <v>208</v>
      </c>
      <c r="E35" s="37" t="s">
        <v>209</v>
      </c>
      <c r="F35" s="37" t="n">
        <v>2024</v>
      </c>
      <c r="G35" s="37" t="s">
        <v>210</v>
      </c>
      <c r="H35" s="37" t="n">
        <v>1</v>
      </c>
      <c r="I35" s="23" t="s">
        <v>32</v>
      </c>
      <c r="J35" s="23" t="s">
        <v>33</v>
      </c>
      <c r="K35" s="27" t="s">
        <v>168</v>
      </c>
      <c r="L35" s="23" t="n">
        <v>480</v>
      </c>
      <c r="M35" s="23" t="n">
        <v>1</v>
      </c>
      <c r="N35" s="24" t="n">
        <v>28</v>
      </c>
      <c r="O35" s="24" t="n">
        <f aca="false">N35*L35</f>
        <v>13440</v>
      </c>
      <c r="P35" s="23" t="s">
        <v>525</v>
      </c>
      <c r="Q35" s="23" t="n">
        <v>48</v>
      </c>
      <c r="R35" s="23" t="n">
        <v>0.1</v>
      </c>
      <c r="S35" s="46"/>
      <c r="T35" s="46"/>
      <c r="U35" s="51" t="s">
        <v>35</v>
      </c>
      <c r="V35" s="23" t="n">
        <v>81</v>
      </c>
      <c r="W35" s="23" t="s">
        <v>71</v>
      </c>
      <c r="Z35" s="26" t="n">
        <v>3.4</v>
      </c>
      <c r="AA35" s="24"/>
      <c r="AB35" s="23" t="n">
        <v>55</v>
      </c>
      <c r="AC35" s="23" t="s">
        <v>71</v>
      </c>
      <c r="AF35" s="26" t="n">
        <v>5</v>
      </c>
      <c r="AG35" s="24"/>
    </row>
    <row r="36" s="23" customFormat="true" ht="15" hidden="false" customHeight="false" outlineLevel="0" collapsed="false">
      <c r="A36" s="37" t="n">
        <v>4911</v>
      </c>
      <c r="B36" s="37" t="n">
        <v>39432823</v>
      </c>
      <c r="C36" s="37" t="s">
        <v>207</v>
      </c>
      <c r="D36" s="37" t="s">
        <v>208</v>
      </c>
      <c r="E36" s="37" t="s">
        <v>209</v>
      </c>
      <c r="F36" s="37" t="n">
        <v>2024</v>
      </c>
      <c r="G36" s="37" t="s">
        <v>210</v>
      </c>
      <c r="H36" s="37" t="n">
        <v>1</v>
      </c>
      <c r="I36" s="23" t="s">
        <v>32</v>
      </c>
      <c r="J36" s="23" t="s">
        <v>33</v>
      </c>
      <c r="K36" s="27" t="s">
        <v>168</v>
      </c>
      <c r="L36" s="23" t="n">
        <v>480</v>
      </c>
      <c r="M36" s="23" t="n">
        <v>1</v>
      </c>
      <c r="N36" s="24" t="n">
        <v>28</v>
      </c>
      <c r="O36" s="24" t="n">
        <f aca="false">N36*L36</f>
        <v>13440</v>
      </c>
      <c r="P36" s="23" t="s">
        <v>526</v>
      </c>
      <c r="Q36" s="23" t="n">
        <v>48</v>
      </c>
      <c r="R36" s="23" t="n">
        <v>0.1</v>
      </c>
      <c r="S36" s="46"/>
      <c r="T36" s="46"/>
      <c r="U36" s="51" t="s">
        <v>35</v>
      </c>
      <c r="V36" s="23" t="n">
        <v>81</v>
      </c>
      <c r="W36" s="23" t="s">
        <v>71</v>
      </c>
      <c r="Z36" s="26" t="n">
        <v>3.4</v>
      </c>
      <c r="AA36" s="24"/>
      <c r="AB36" s="23" t="n">
        <v>59</v>
      </c>
      <c r="AC36" s="23" t="s">
        <v>71</v>
      </c>
      <c r="AF36" s="26" t="n">
        <v>4.6</v>
      </c>
      <c r="AG36" s="24"/>
    </row>
    <row r="37" s="23" customFormat="true" ht="16.4" hidden="false" customHeight="false" outlineLevel="0" collapsed="false">
      <c r="A37" s="23" t="n">
        <v>4973</v>
      </c>
      <c r="C37" s="41" t="s">
        <v>217</v>
      </c>
      <c r="D37" s="41" t="s">
        <v>218</v>
      </c>
      <c r="E37" s="41" t="s">
        <v>219</v>
      </c>
      <c r="F37" s="41" t="n">
        <v>2022</v>
      </c>
      <c r="G37" s="42" t="s">
        <v>220</v>
      </c>
      <c r="H37" s="23" t="n">
        <v>1</v>
      </c>
      <c r="I37" s="23" t="s">
        <v>32</v>
      </c>
      <c r="J37" s="23" t="s">
        <v>33</v>
      </c>
      <c r="K37" s="27"/>
      <c r="L37" s="23" t="n">
        <v>150</v>
      </c>
      <c r="M37" s="23" t="n">
        <v>1</v>
      </c>
      <c r="N37" s="24" t="n">
        <v>13</v>
      </c>
      <c r="O37" s="24" t="n">
        <f aca="false">L37*M37*N37</f>
        <v>1950</v>
      </c>
      <c r="Q37" s="23" t="n">
        <v>24</v>
      </c>
      <c r="R37" s="23" t="n">
        <v>1</v>
      </c>
      <c r="S37" s="46"/>
      <c r="T37" s="46"/>
      <c r="U37" s="60"/>
      <c r="V37" s="46"/>
      <c r="W37" s="46"/>
      <c r="X37" s="46"/>
      <c r="Y37" s="46"/>
      <c r="Z37" s="46"/>
      <c r="AB37" s="46"/>
      <c r="AC37" s="46"/>
      <c r="AD37" s="46"/>
      <c r="AE37" s="46"/>
      <c r="AF37" s="46"/>
    </row>
    <row r="38" s="23" customFormat="true" ht="15" hidden="false" customHeight="false" outlineLevel="0" collapsed="false">
      <c r="A38" s="23" t="n">
        <v>5014</v>
      </c>
      <c r="B38" s="23" t="n">
        <v>38703343</v>
      </c>
      <c r="C38" s="23" t="s">
        <v>221</v>
      </c>
      <c r="D38" s="23" t="s">
        <v>222</v>
      </c>
      <c r="E38" s="23" t="s">
        <v>223</v>
      </c>
      <c r="F38" s="23" t="n">
        <v>2024</v>
      </c>
      <c r="G38" s="23" t="s">
        <v>224</v>
      </c>
      <c r="H38" s="23" t="n">
        <v>1</v>
      </c>
      <c r="I38" s="23" t="s">
        <v>51</v>
      </c>
      <c r="J38" s="23" t="s">
        <v>33</v>
      </c>
      <c r="K38" s="27" t="s">
        <v>94</v>
      </c>
      <c r="L38" s="23" t="n">
        <v>360</v>
      </c>
      <c r="M38" s="23" t="n">
        <v>1</v>
      </c>
      <c r="N38" s="24" t="n">
        <v>21</v>
      </c>
      <c r="O38" s="24" t="n">
        <f aca="false">N38*L38</f>
        <v>7560</v>
      </c>
      <c r="Q38" s="23" t="n">
        <v>4</v>
      </c>
      <c r="R38" s="23" t="n">
        <v>2</v>
      </c>
      <c r="S38" s="23" t="n">
        <v>16</v>
      </c>
      <c r="T38" s="46"/>
      <c r="U38" s="51" t="s">
        <v>527</v>
      </c>
      <c r="V38" s="23" t="n">
        <v>71</v>
      </c>
      <c r="W38" s="23" t="s">
        <v>71</v>
      </c>
      <c r="X38" s="46"/>
      <c r="Z38" s="23" t="n">
        <v>19</v>
      </c>
      <c r="AB38" s="23" t="n">
        <v>32</v>
      </c>
      <c r="AC38" s="23" t="s">
        <v>71</v>
      </c>
      <c r="AD38" s="46"/>
      <c r="AF38" s="23" t="n">
        <v>22</v>
      </c>
      <c r="AG38" s="24"/>
    </row>
    <row r="39" s="23" customFormat="true" ht="16.4" hidden="false" customHeight="false" outlineLevel="0" collapsed="false">
      <c r="A39" s="23" t="n">
        <v>5437</v>
      </c>
      <c r="B39" s="23" t="n">
        <v>40596094</v>
      </c>
      <c r="C39" s="23" t="s">
        <v>259</v>
      </c>
      <c r="D39" s="23" t="s">
        <v>260</v>
      </c>
      <c r="E39" s="23" t="s">
        <v>171</v>
      </c>
      <c r="F39" s="23" t="n">
        <v>2025</v>
      </c>
      <c r="G39" s="23" t="s">
        <v>261</v>
      </c>
      <c r="H39" s="23" t="n">
        <v>1</v>
      </c>
      <c r="I39" s="23" t="s">
        <v>32</v>
      </c>
      <c r="J39" s="23" t="s">
        <v>33</v>
      </c>
      <c r="K39" s="27" t="s">
        <v>262</v>
      </c>
      <c r="L39" s="23" t="n">
        <v>150</v>
      </c>
      <c r="M39" s="23" t="n">
        <v>1</v>
      </c>
      <c r="N39" s="24" t="n">
        <v>35</v>
      </c>
      <c r="O39" s="24" t="n">
        <f aca="false">L39*M39*N39</f>
        <v>5250</v>
      </c>
      <c r="P39" s="23" t="s">
        <v>263</v>
      </c>
      <c r="Q39" s="23" t="n">
        <v>1</v>
      </c>
      <c r="R39" s="23" t="n">
        <v>20</v>
      </c>
      <c r="S39" s="46"/>
      <c r="T39" s="46"/>
      <c r="U39" s="23" t="n">
        <v>3</v>
      </c>
      <c r="V39" s="23" t="n">
        <v>80</v>
      </c>
      <c r="W39" s="23" t="n">
        <v>2.6</v>
      </c>
      <c r="X39" s="23" t="n">
        <v>3</v>
      </c>
      <c r="Y39" s="23" t="n">
        <v>3</v>
      </c>
      <c r="Z39" s="26" t="n">
        <f aca="false">W39*(SQRT(Y39))</f>
        <v>4.50333209967908</v>
      </c>
      <c r="AB39" s="23" t="n">
        <v>41</v>
      </c>
      <c r="AC39" s="23" t="n">
        <v>19</v>
      </c>
      <c r="AD39" s="23" t="n">
        <v>3</v>
      </c>
      <c r="AE39" s="23" t="n">
        <v>3</v>
      </c>
      <c r="AF39" s="26" t="n">
        <f aca="false">AC39*(SQRT(AE39))</f>
        <v>32.9089653438087</v>
      </c>
    </row>
    <row r="40" s="23" customFormat="true" ht="15" hidden="false" customHeight="false" outlineLevel="0" collapsed="false">
      <c r="A40" s="23" t="n">
        <v>5446</v>
      </c>
      <c r="C40" s="23" t="s">
        <v>264</v>
      </c>
      <c r="D40" s="23" t="s">
        <v>265</v>
      </c>
      <c r="E40" s="23" t="s">
        <v>266</v>
      </c>
      <c r="F40" s="23" t="n">
        <v>2022</v>
      </c>
      <c r="G40" s="23" t="s">
        <v>267</v>
      </c>
      <c r="H40" s="23" t="n">
        <v>1</v>
      </c>
      <c r="I40" s="23" t="s">
        <v>51</v>
      </c>
      <c r="J40" s="23" t="s">
        <v>33</v>
      </c>
      <c r="K40" s="27" t="s">
        <v>34</v>
      </c>
      <c r="L40" s="23" t="n">
        <v>360</v>
      </c>
      <c r="M40" s="23" t="n">
        <v>1</v>
      </c>
      <c r="N40" s="24" t="n">
        <v>28</v>
      </c>
      <c r="O40" s="24" t="n">
        <f aca="false">L40*M40*N40</f>
        <v>10080</v>
      </c>
      <c r="Q40" s="23" t="n">
        <v>24</v>
      </c>
      <c r="R40" s="23" t="n">
        <v>1</v>
      </c>
      <c r="S40" s="46"/>
      <c r="T40" s="46"/>
      <c r="U40" s="23" t="s">
        <v>70</v>
      </c>
      <c r="V40" s="23" t="n">
        <v>98</v>
      </c>
      <c r="W40" s="23" t="s">
        <v>71</v>
      </c>
      <c r="X40" s="23" t="n">
        <v>15</v>
      </c>
      <c r="Z40" s="23" t="n">
        <v>2</v>
      </c>
      <c r="AB40" s="23" t="n">
        <v>71</v>
      </c>
      <c r="AC40" s="23" t="s">
        <v>71</v>
      </c>
      <c r="AD40" s="23" t="n">
        <v>15</v>
      </c>
      <c r="AF40" s="23" t="n">
        <v>10</v>
      </c>
    </row>
    <row r="41" s="23" customFormat="true" ht="16.4" hidden="false" customHeight="false" outlineLevel="0" collapsed="false">
      <c r="A41" s="23" t="n">
        <v>5610</v>
      </c>
      <c r="C41" s="41" t="s">
        <v>269</v>
      </c>
      <c r="D41" s="41" t="s">
        <v>528</v>
      </c>
      <c r="E41" s="41" t="s">
        <v>271</v>
      </c>
      <c r="F41" s="41" t="n">
        <v>2025</v>
      </c>
      <c r="G41" s="42" t="s">
        <v>272</v>
      </c>
      <c r="H41" s="23" t="n">
        <v>1</v>
      </c>
      <c r="I41" s="23" t="s">
        <v>51</v>
      </c>
      <c r="J41" s="23" t="s">
        <v>33</v>
      </c>
      <c r="K41" s="27"/>
      <c r="L41" s="23" t="n">
        <v>480</v>
      </c>
      <c r="M41" s="23" t="n">
        <v>1</v>
      </c>
      <c r="N41" s="24" t="n">
        <v>14</v>
      </c>
      <c r="O41" s="24" t="n">
        <f aca="false">L41*M41*N41</f>
        <v>6720</v>
      </c>
      <c r="Q41" s="23" t="n">
        <v>16</v>
      </c>
      <c r="R41" s="23" t="n">
        <v>1.2</v>
      </c>
      <c r="S41" s="46"/>
      <c r="T41" s="46"/>
      <c r="U41" s="23" t="s">
        <v>52</v>
      </c>
      <c r="V41" s="23" t="n">
        <v>99.6</v>
      </c>
      <c r="W41" s="23" t="n">
        <v>1.7</v>
      </c>
      <c r="X41" s="23" t="n">
        <v>4</v>
      </c>
      <c r="Y41" s="23" t="n">
        <v>4</v>
      </c>
      <c r="Z41" s="26" t="n">
        <f aca="false">W41*(SQRT(Y41))</f>
        <v>3.4</v>
      </c>
      <c r="AB41" s="23" t="n">
        <v>93.7</v>
      </c>
      <c r="AC41" s="23" t="n">
        <v>1.5</v>
      </c>
      <c r="AD41" s="23" t="n">
        <v>4</v>
      </c>
      <c r="AE41" s="23" t="n">
        <v>4</v>
      </c>
      <c r="AF41" s="26" t="n">
        <f aca="false">AC41*(SQRT(AE41))</f>
        <v>3</v>
      </c>
    </row>
    <row r="42" customFormat="false" ht="15" hidden="false" customHeight="false" outlineLevel="0" collapsed="false">
      <c r="A42" s="23" t="n">
        <v>5623</v>
      </c>
      <c r="B42" s="23" t="n">
        <v>36100011</v>
      </c>
      <c r="C42" s="23" t="s">
        <v>274</v>
      </c>
      <c r="D42" s="23" t="s">
        <v>275</v>
      </c>
      <c r="E42" s="23" t="s">
        <v>276</v>
      </c>
      <c r="F42" s="23" t="n">
        <v>2023</v>
      </c>
      <c r="G42" s="23" t="s">
        <v>277</v>
      </c>
      <c r="H42" s="23" t="n">
        <v>1</v>
      </c>
      <c r="I42" s="23" t="s">
        <v>32</v>
      </c>
      <c r="J42" s="23" t="s">
        <v>33</v>
      </c>
      <c r="K42" s="27" t="n">
        <v>6</v>
      </c>
      <c r="L42" s="23" t="n">
        <v>360</v>
      </c>
      <c r="M42" s="23" t="n">
        <v>1</v>
      </c>
      <c r="N42" s="24" t="n">
        <v>21</v>
      </c>
      <c r="O42" s="24" t="n">
        <f aca="false">N42*L42</f>
        <v>7560</v>
      </c>
      <c r="Q42" s="23" t="n">
        <v>24</v>
      </c>
      <c r="R42" s="23" t="n">
        <v>2</v>
      </c>
      <c r="S42" s="23" t="n">
        <v>24</v>
      </c>
      <c r="T42" s="23" t="n">
        <v>24</v>
      </c>
      <c r="U42" s="51" t="s">
        <v>118</v>
      </c>
      <c r="V42" s="23" t="n">
        <v>90</v>
      </c>
      <c r="W42" s="46"/>
      <c r="X42" s="27" t="s">
        <v>529</v>
      </c>
      <c r="Y42" s="23" t="n">
        <v>6</v>
      </c>
      <c r="Z42" s="46"/>
      <c r="AA42" s="23"/>
      <c r="AB42" s="23" t="n">
        <v>89</v>
      </c>
      <c r="AC42" s="34" t="n">
        <v>0.7</v>
      </c>
      <c r="AD42" s="27" t="s">
        <v>529</v>
      </c>
      <c r="AE42" s="23" t="n">
        <v>6</v>
      </c>
      <c r="AF42" s="26" t="n">
        <f aca="false">AC42*(SQRT(AE42))</f>
        <v>1.71464281994822</v>
      </c>
    </row>
    <row r="43" s="23" customFormat="true" ht="15" hidden="false" customHeight="false" outlineLevel="0" collapsed="false">
      <c r="A43" s="23" t="n">
        <v>5627</v>
      </c>
      <c r="C43" s="23" t="s">
        <v>279</v>
      </c>
      <c r="D43" s="23" t="s">
        <v>280</v>
      </c>
      <c r="E43" s="23" t="s">
        <v>281</v>
      </c>
      <c r="F43" s="23" t="n">
        <v>2019</v>
      </c>
      <c r="G43" s="23" t="s">
        <v>282</v>
      </c>
      <c r="H43" s="23" t="n">
        <v>1</v>
      </c>
      <c r="I43" s="23" t="s">
        <v>51</v>
      </c>
      <c r="J43" s="23" t="s">
        <v>33</v>
      </c>
      <c r="K43" s="27" t="s">
        <v>36</v>
      </c>
      <c r="L43" s="23" t="n">
        <v>360</v>
      </c>
      <c r="M43" s="23" t="n">
        <v>1</v>
      </c>
      <c r="N43" s="24" t="n">
        <v>21</v>
      </c>
      <c r="O43" s="24" t="n">
        <f aca="false">L43*M43*N43</f>
        <v>7560</v>
      </c>
      <c r="Q43" s="23" t="n">
        <v>12</v>
      </c>
      <c r="R43" s="23" t="n">
        <v>1</v>
      </c>
      <c r="S43" s="46"/>
      <c r="T43" s="46"/>
      <c r="U43" s="23" t="s">
        <v>530</v>
      </c>
      <c r="V43" s="23" t="n">
        <v>86</v>
      </c>
      <c r="W43" s="23" t="n">
        <v>4</v>
      </c>
      <c r="X43" s="23" t="n">
        <v>12</v>
      </c>
      <c r="Y43" s="23" t="n">
        <v>12</v>
      </c>
      <c r="Z43" s="26" t="n">
        <f aca="false">W43*(SQRT(Y43))</f>
        <v>13.856406460551</v>
      </c>
      <c r="AB43" s="23" t="n">
        <v>44</v>
      </c>
      <c r="AC43" s="23" t="n">
        <v>10</v>
      </c>
      <c r="AD43" s="23" t="n">
        <v>12</v>
      </c>
      <c r="AE43" s="23" t="n">
        <v>12</v>
      </c>
      <c r="AF43" s="26" t="n">
        <f aca="false">AC43*(SQRT(AE43))</f>
        <v>34.6410161513775</v>
      </c>
    </row>
    <row r="44" s="23" customFormat="true" ht="15" hidden="false" customHeight="false" outlineLevel="0" collapsed="false">
      <c r="A44" s="61" t="n">
        <v>5638</v>
      </c>
      <c r="B44" s="37" t="n">
        <v>38655362</v>
      </c>
      <c r="C44" s="37" t="s">
        <v>531</v>
      </c>
      <c r="D44" s="37" t="s">
        <v>532</v>
      </c>
      <c r="E44" s="37" t="s">
        <v>533</v>
      </c>
      <c r="F44" s="37" t="n">
        <v>2024</v>
      </c>
      <c r="G44" s="37" t="s">
        <v>534</v>
      </c>
      <c r="H44" s="37" t="n">
        <v>1</v>
      </c>
      <c r="I44" s="23" t="s">
        <v>32</v>
      </c>
      <c r="J44" s="23" t="s">
        <v>33</v>
      </c>
      <c r="K44" s="27"/>
      <c r="L44" s="23" t="n">
        <v>360</v>
      </c>
      <c r="M44" s="23" t="n">
        <v>1</v>
      </c>
      <c r="N44" s="45" t="n">
        <v>7</v>
      </c>
      <c r="O44" s="24" t="n">
        <f aca="false">N44*L44</f>
        <v>2520</v>
      </c>
      <c r="Q44" s="23" t="n">
        <v>24</v>
      </c>
      <c r="R44" s="23" t="n">
        <v>1</v>
      </c>
      <c r="S44" s="23" t="n">
        <v>24</v>
      </c>
      <c r="T44" s="23" t="n">
        <v>24</v>
      </c>
      <c r="U44" s="51" t="s">
        <v>118</v>
      </c>
      <c r="V44" s="23" t="n">
        <v>64</v>
      </c>
      <c r="W44" s="23" t="s">
        <v>71</v>
      </c>
      <c r="X44" s="23" t="n">
        <v>11</v>
      </c>
      <c r="Z44" s="23" t="n">
        <v>5.2</v>
      </c>
      <c r="AB44" s="23" t="n">
        <v>68</v>
      </c>
      <c r="AC44" s="23" t="s">
        <v>71</v>
      </c>
      <c r="AD44" s="23" t="n">
        <v>11</v>
      </c>
      <c r="AF44" s="23" t="n">
        <v>8</v>
      </c>
      <c r="AG44" s="24"/>
    </row>
    <row r="45" s="23" customFormat="true" ht="15" hidden="false" customHeight="true" outlineLevel="0" collapsed="false">
      <c r="A45" s="61" t="n">
        <v>5638</v>
      </c>
      <c r="B45" s="37" t="n">
        <v>38655362</v>
      </c>
      <c r="C45" s="37" t="s">
        <v>531</v>
      </c>
      <c r="D45" s="37" t="s">
        <v>532</v>
      </c>
      <c r="E45" s="37" t="s">
        <v>533</v>
      </c>
      <c r="F45" s="37" t="n">
        <v>2024</v>
      </c>
      <c r="G45" s="37" t="s">
        <v>534</v>
      </c>
      <c r="H45" s="37" t="n">
        <v>1</v>
      </c>
      <c r="I45" s="23" t="s">
        <v>32</v>
      </c>
      <c r="J45" s="23" t="s">
        <v>33</v>
      </c>
      <c r="K45" s="27"/>
      <c r="L45" s="23" t="n">
        <v>360</v>
      </c>
      <c r="M45" s="23" t="n">
        <v>1</v>
      </c>
      <c r="N45" s="45" t="n">
        <v>14</v>
      </c>
      <c r="O45" s="24" t="n">
        <f aca="false">N45*L45</f>
        <v>5040</v>
      </c>
      <c r="Q45" s="23" t="n">
        <v>24</v>
      </c>
      <c r="R45" s="23" t="n">
        <v>1</v>
      </c>
      <c r="S45" s="23" t="n">
        <v>24</v>
      </c>
      <c r="T45" s="23" t="n">
        <v>24</v>
      </c>
      <c r="U45" s="51" t="s">
        <v>118</v>
      </c>
      <c r="V45" s="23" t="n">
        <v>64</v>
      </c>
      <c r="W45" s="23" t="s">
        <v>71</v>
      </c>
      <c r="X45" s="23" t="n">
        <v>11</v>
      </c>
      <c r="Z45" s="23" t="n">
        <v>5.2</v>
      </c>
      <c r="AB45" s="23" t="n">
        <v>70</v>
      </c>
      <c r="AC45" s="23" t="s">
        <v>71</v>
      </c>
      <c r="AD45" s="23" t="n">
        <v>11</v>
      </c>
      <c r="AF45" s="23" t="n">
        <v>6.2</v>
      </c>
      <c r="AG45" s="24"/>
    </row>
    <row r="46" s="23" customFormat="true" ht="15" hidden="false" customHeight="false" outlineLevel="0" collapsed="false">
      <c r="A46" s="61" t="n">
        <v>5638</v>
      </c>
      <c r="B46" s="37" t="n">
        <v>38655362</v>
      </c>
      <c r="C46" s="37" t="s">
        <v>531</v>
      </c>
      <c r="D46" s="37" t="s">
        <v>532</v>
      </c>
      <c r="E46" s="37" t="s">
        <v>533</v>
      </c>
      <c r="F46" s="37" t="n">
        <v>2024</v>
      </c>
      <c r="G46" s="37" t="s">
        <v>534</v>
      </c>
      <c r="H46" s="37" t="n">
        <v>1</v>
      </c>
      <c r="I46" s="23" t="s">
        <v>32</v>
      </c>
      <c r="J46" s="23" t="s">
        <v>33</v>
      </c>
      <c r="K46" s="27"/>
      <c r="L46" s="23" t="n">
        <v>360</v>
      </c>
      <c r="M46" s="23" t="n">
        <v>1</v>
      </c>
      <c r="N46" s="45" t="n">
        <v>21</v>
      </c>
      <c r="O46" s="24" t="n">
        <f aca="false">N46*L46</f>
        <v>7560</v>
      </c>
      <c r="Q46" s="23" t="n">
        <v>24</v>
      </c>
      <c r="R46" s="23" t="n">
        <v>1</v>
      </c>
      <c r="S46" s="23" t="n">
        <v>24</v>
      </c>
      <c r="T46" s="23" t="n">
        <v>24</v>
      </c>
      <c r="U46" s="51" t="s">
        <v>118</v>
      </c>
      <c r="V46" s="23" t="n">
        <v>64</v>
      </c>
      <c r="W46" s="23" t="s">
        <v>71</v>
      </c>
      <c r="X46" s="23" t="n">
        <v>11</v>
      </c>
      <c r="Z46" s="23" t="n">
        <v>5.2</v>
      </c>
      <c r="AB46" s="23" t="n">
        <v>58</v>
      </c>
      <c r="AC46" s="23" t="s">
        <v>71</v>
      </c>
      <c r="AD46" s="23" t="n">
        <v>11</v>
      </c>
      <c r="AF46" s="23" t="n">
        <v>8</v>
      </c>
      <c r="AG46" s="24"/>
    </row>
    <row r="47" s="23" customFormat="true" ht="15" hidden="false" customHeight="false" outlineLevel="0" collapsed="false">
      <c r="A47" s="23" t="n">
        <v>5687</v>
      </c>
      <c r="C47" s="23" t="s">
        <v>284</v>
      </c>
      <c r="D47" s="23" t="s">
        <v>285</v>
      </c>
      <c r="E47" s="23" t="s">
        <v>286</v>
      </c>
      <c r="F47" s="23" t="n">
        <v>2022</v>
      </c>
      <c r="G47" s="23" t="s">
        <v>287</v>
      </c>
      <c r="H47" s="23" t="n">
        <v>1</v>
      </c>
      <c r="I47" s="23" t="s">
        <v>32</v>
      </c>
      <c r="J47" s="23" t="s">
        <v>97</v>
      </c>
      <c r="K47" s="27" t="s">
        <v>84</v>
      </c>
      <c r="L47" s="23" t="n">
        <v>450</v>
      </c>
      <c r="M47" s="23" t="n">
        <v>1</v>
      </c>
      <c r="N47" s="24" t="n">
        <v>21</v>
      </c>
      <c r="O47" s="24" t="n">
        <f aca="false">L47*M47*N47</f>
        <v>9450</v>
      </c>
      <c r="P47" s="23" t="s">
        <v>288</v>
      </c>
      <c r="Q47" s="23" t="n">
        <v>24</v>
      </c>
      <c r="R47" s="23" t="n">
        <v>1</v>
      </c>
      <c r="S47" s="23" t="n">
        <v>24</v>
      </c>
      <c r="T47" s="23" t="n">
        <v>24</v>
      </c>
      <c r="U47" s="23" t="s">
        <v>124</v>
      </c>
      <c r="V47" s="46"/>
      <c r="W47" s="46"/>
      <c r="X47" s="46"/>
      <c r="Y47" s="46"/>
      <c r="Z47" s="46"/>
      <c r="AB47" s="46"/>
      <c r="AC47" s="46"/>
      <c r="AD47" s="46"/>
      <c r="AE47" s="46"/>
      <c r="AF47" s="46"/>
    </row>
    <row r="48" customFormat="false" ht="15" hidden="false" customHeight="false" outlineLevel="0" collapsed="false">
      <c r="A48" s="37" t="n">
        <v>5699</v>
      </c>
      <c r="B48" s="37" t="n">
        <v>29175030</v>
      </c>
      <c r="C48" s="37" t="s">
        <v>289</v>
      </c>
      <c r="D48" s="37" t="s">
        <v>290</v>
      </c>
      <c r="E48" s="37" t="s">
        <v>291</v>
      </c>
      <c r="F48" s="37" t="n">
        <v>2018</v>
      </c>
      <c r="G48" s="37" t="s">
        <v>292</v>
      </c>
      <c r="H48" s="37" t="n">
        <v>1</v>
      </c>
      <c r="I48" s="23" t="s">
        <v>51</v>
      </c>
      <c r="J48" s="23" t="s">
        <v>33</v>
      </c>
      <c r="L48" s="23" t="n">
        <v>360</v>
      </c>
      <c r="M48" s="23" t="n">
        <v>1</v>
      </c>
      <c r="N48" s="45" t="n">
        <v>7</v>
      </c>
      <c r="O48" s="24" t="n">
        <f aca="false">N48*L48</f>
        <v>2520</v>
      </c>
      <c r="Q48" s="23" t="n">
        <v>1</v>
      </c>
      <c r="R48" s="23" t="n">
        <v>1</v>
      </c>
      <c r="S48" s="23" t="n">
        <v>23</v>
      </c>
      <c r="T48" s="23" t="n">
        <v>23</v>
      </c>
      <c r="U48" s="51" t="s">
        <v>118</v>
      </c>
      <c r="V48" s="23" t="n">
        <v>83</v>
      </c>
      <c r="W48" s="23" t="s">
        <v>71</v>
      </c>
      <c r="X48" s="23" t="n">
        <v>10</v>
      </c>
      <c r="Y48" s="23"/>
      <c r="Z48" s="23" t="n">
        <v>4</v>
      </c>
      <c r="AA48" s="23"/>
      <c r="AB48" s="23" t="n">
        <v>79</v>
      </c>
      <c r="AC48" s="23" t="s">
        <v>71</v>
      </c>
      <c r="AD48" s="23" t="n">
        <v>10</v>
      </c>
      <c r="AF48" s="23" t="n">
        <v>4</v>
      </c>
    </row>
    <row r="49" customFormat="false" ht="15" hidden="false" customHeight="false" outlineLevel="0" collapsed="false">
      <c r="A49" s="37" t="n">
        <v>5699</v>
      </c>
      <c r="B49" s="37" t="n">
        <v>29175030</v>
      </c>
      <c r="C49" s="37" t="s">
        <v>289</v>
      </c>
      <c r="D49" s="37" t="s">
        <v>290</v>
      </c>
      <c r="E49" s="37" t="s">
        <v>291</v>
      </c>
      <c r="F49" s="37" t="n">
        <v>2018</v>
      </c>
      <c r="G49" s="37" t="s">
        <v>292</v>
      </c>
      <c r="H49" s="37" t="n">
        <v>1</v>
      </c>
      <c r="I49" s="23" t="s">
        <v>51</v>
      </c>
      <c r="J49" s="23" t="s">
        <v>33</v>
      </c>
      <c r="L49" s="23" t="n">
        <v>360</v>
      </c>
      <c r="M49" s="23" t="n">
        <v>1</v>
      </c>
      <c r="N49" s="45" t="n">
        <v>14</v>
      </c>
      <c r="O49" s="24" t="n">
        <f aca="false">N49*L49</f>
        <v>5040</v>
      </c>
      <c r="Q49" s="23" t="n">
        <v>1</v>
      </c>
      <c r="R49" s="23" t="n">
        <v>1</v>
      </c>
      <c r="S49" s="23" t="n">
        <v>23</v>
      </c>
      <c r="T49" s="23" t="n">
        <v>23</v>
      </c>
      <c r="U49" s="51" t="s">
        <v>118</v>
      </c>
      <c r="V49" s="23" t="n">
        <v>83</v>
      </c>
      <c r="W49" s="23" t="s">
        <v>71</v>
      </c>
      <c r="X49" s="23" t="n">
        <v>10</v>
      </c>
      <c r="Y49" s="23"/>
      <c r="Z49" s="23" t="n">
        <v>4</v>
      </c>
      <c r="AA49" s="23"/>
      <c r="AB49" s="23" t="n">
        <v>62</v>
      </c>
      <c r="AC49" s="23" t="s">
        <v>71</v>
      </c>
      <c r="AD49" s="23" t="n">
        <v>10</v>
      </c>
      <c r="AF49" s="23" t="n">
        <v>2.5</v>
      </c>
    </row>
    <row r="50" customFormat="false" ht="15" hidden="false" customHeight="false" outlineLevel="0" collapsed="false">
      <c r="A50" s="37" t="n">
        <v>5699</v>
      </c>
      <c r="B50" s="37" t="n">
        <v>29175030</v>
      </c>
      <c r="C50" s="37" t="s">
        <v>289</v>
      </c>
      <c r="D50" s="37" t="s">
        <v>290</v>
      </c>
      <c r="E50" s="37" t="s">
        <v>291</v>
      </c>
      <c r="F50" s="37" t="n">
        <v>2018</v>
      </c>
      <c r="G50" s="37" t="s">
        <v>292</v>
      </c>
      <c r="H50" s="37" t="n">
        <v>1</v>
      </c>
      <c r="I50" s="23" t="s">
        <v>51</v>
      </c>
      <c r="J50" s="23" t="s">
        <v>33</v>
      </c>
      <c r="L50" s="23" t="n">
        <v>360</v>
      </c>
      <c r="M50" s="23" t="n">
        <v>1</v>
      </c>
      <c r="N50" s="45" t="n">
        <v>21</v>
      </c>
      <c r="O50" s="24" t="n">
        <f aca="false">N50*L50</f>
        <v>7560</v>
      </c>
      <c r="Q50" s="23" t="n">
        <v>1</v>
      </c>
      <c r="R50" s="23" t="n">
        <v>1</v>
      </c>
      <c r="S50" s="23" t="n">
        <v>23</v>
      </c>
      <c r="T50" s="23" t="n">
        <v>23</v>
      </c>
      <c r="U50" s="51" t="s">
        <v>118</v>
      </c>
      <c r="V50" s="23" t="n">
        <v>83</v>
      </c>
      <c r="W50" s="23" t="s">
        <v>71</v>
      </c>
      <c r="X50" s="23" t="n">
        <v>10</v>
      </c>
      <c r="Y50" s="23"/>
      <c r="Z50" s="23" t="n">
        <v>4</v>
      </c>
      <c r="AA50" s="23"/>
      <c r="AB50" s="23" t="n">
        <v>78</v>
      </c>
      <c r="AC50" s="23" t="s">
        <v>71</v>
      </c>
      <c r="AD50" s="23" t="n">
        <v>10</v>
      </c>
      <c r="AF50" s="23" t="n">
        <v>5</v>
      </c>
    </row>
    <row r="51" customFormat="false" ht="15" hidden="false" customHeight="false" outlineLevel="0" collapsed="false">
      <c r="A51" s="37" t="n">
        <v>5699</v>
      </c>
      <c r="B51" s="37" t="n">
        <v>29175030</v>
      </c>
      <c r="C51" s="37" t="s">
        <v>289</v>
      </c>
      <c r="D51" s="37" t="s">
        <v>290</v>
      </c>
      <c r="E51" s="37" t="s">
        <v>291</v>
      </c>
      <c r="F51" s="37" t="n">
        <v>2018</v>
      </c>
      <c r="G51" s="37" t="s">
        <v>292</v>
      </c>
      <c r="H51" s="37" t="n">
        <v>1</v>
      </c>
      <c r="I51" s="23" t="s">
        <v>51</v>
      </c>
      <c r="J51" s="23" t="s">
        <v>33</v>
      </c>
      <c r="L51" s="23" t="n">
        <v>360</v>
      </c>
      <c r="M51" s="23" t="n">
        <v>1</v>
      </c>
      <c r="N51" s="45" t="n">
        <v>28</v>
      </c>
      <c r="O51" s="24" t="n">
        <f aca="false">N51*L51</f>
        <v>10080</v>
      </c>
      <c r="Q51" s="23" t="n">
        <v>1</v>
      </c>
      <c r="R51" s="23" t="n">
        <v>1</v>
      </c>
      <c r="S51" s="23" t="n">
        <v>23</v>
      </c>
      <c r="T51" s="23" t="n">
        <v>23</v>
      </c>
      <c r="U51" s="51" t="s">
        <v>118</v>
      </c>
      <c r="V51" s="23" t="n">
        <v>83</v>
      </c>
      <c r="W51" s="23" t="s">
        <v>71</v>
      </c>
      <c r="X51" s="23" t="n">
        <v>10</v>
      </c>
      <c r="Y51" s="23"/>
      <c r="Z51" s="23" t="n">
        <v>4</v>
      </c>
      <c r="AA51" s="23"/>
      <c r="AB51" s="23" t="n">
        <v>80</v>
      </c>
      <c r="AC51" s="23" t="s">
        <v>71</v>
      </c>
      <c r="AD51" s="23" t="n">
        <v>10</v>
      </c>
      <c r="AF51" s="23" t="n">
        <v>4</v>
      </c>
    </row>
    <row r="52" customFormat="false" ht="15" hidden="false" customHeight="false" outlineLevel="0" collapsed="false">
      <c r="A52" s="37" t="n">
        <v>5699</v>
      </c>
      <c r="B52" s="37" t="n">
        <v>29175030</v>
      </c>
      <c r="C52" s="37" t="s">
        <v>289</v>
      </c>
      <c r="D52" s="37" t="s">
        <v>290</v>
      </c>
      <c r="E52" s="37" t="s">
        <v>291</v>
      </c>
      <c r="F52" s="37" t="n">
        <v>2018</v>
      </c>
      <c r="G52" s="37" t="s">
        <v>292</v>
      </c>
      <c r="H52" s="37" t="n">
        <v>1</v>
      </c>
      <c r="I52" s="23" t="s">
        <v>51</v>
      </c>
      <c r="J52" s="23" t="s">
        <v>33</v>
      </c>
      <c r="L52" s="23" t="n">
        <v>360</v>
      </c>
      <c r="M52" s="23" t="n">
        <v>1</v>
      </c>
      <c r="N52" s="45" t="n">
        <v>35</v>
      </c>
      <c r="O52" s="24" t="n">
        <f aca="false">N52*L52</f>
        <v>12600</v>
      </c>
      <c r="Q52" s="23" t="n">
        <v>1</v>
      </c>
      <c r="R52" s="23" t="n">
        <v>1</v>
      </c>
      <c r="S52" s="23" t="n">
        <v>23</v>
      </c>
      <c r="T52" s="23" t="n">
        <v>23</v>
      </c>
      <c r="U52" s="51" t="s">
        <v>118</v>
      </c>
      <c r="V52" s="23" t="n">
        <v>83</v>
      </c>
      <c r="W52" s="23" t="s">
        <v>71</v>
      </c>
      <c r="X52" s="23" t="n">
        <v>10</v>
      </c>
      <c r="Y52" s="23"/>
      <c r="Z52" s="23" t="n">
        <v>4</v>
      </c>
      <c r="AA52" s="23"/>
      <c r="AB52" s="23" t="n">
        <v>81</v>
      </c>
      <c r="AC52" s="23" t="s">
        <v>71</v>
      </c>
      <c r="AD52" s="23" t="n">
        <v>10</v>
      </c>
      <c r="AF52" s="23" t="n">
        <v>4</v>
      </c>
    </row>
    <row r="53" s="23" customFormat="true" ht="15" hidden="false" customHeight="false" outlineLevel="0" collapsed="false">
      <c r="A53" s="23" t="n">
        <v>5748</v>
      </c>
      <c r="C53" s="23" t="s">
        <v>293</v>
      </c>
      <c r="D53" s="23" t="s">
        <v>294</v>
      </c>
      <c r="E53" s="23" t="s">
        <v>295</v>
      </c>
      <c r="F53" s="23" t="n">
        <v>2021</v>
      </c>
      <c r="G53" s="23" t="s">
        <v>296</v>
      </c>
      <c r="H53" s="23" t="n">
        <v>1</v>
      </c>
      <c r="I53" s="23" t="s">
        <v>51</v>
      </c>
      <c r="J53" s="23" t="s">
        <v>33</v>
      </c>
      <c r="K53" s="27"/>
      <c r="L53" s="23" t="n">
        <v>360</v>
      </c>
      <c r="M53" s="23" t="n">
        <v>1</v>
      </c>
      <c r="N53" s="24" t="n">
        <v>21</v>
      </c>
      <c r="O53" s="24" t="n">
        <f aca="false">L53*M53*N53</f>
        <v>7560</v>
      </c>
      <c r="Q53" s="23" t="n">
        <v>24</v>
      </c>
      <c r="R53" s="23" t="n">
        <v>2</v>
      </c>
      <c r="S53" s="46"/>
      <c r="T53" s="46"/>
      <c r="U53" s="23" t="s">
        <v>535</v>
      </c>
      <c r="V53" s="23" t="n">
        <v>87</v>
      </c>
      <c r="W53" s="23" t="n">
        <v>3</v>
      </c>
      <c r="X53" s="23" t="n">
        <v>5</v>
      </c>
      <c r="Y53" s="23" t="n">
        <v>5</v>
      </c>
      <c r="Z53" s="26" t="n">
        <f aca="false">W53*(SQRT(Y53))</f>
        <v>6.70820393249937</v>
      </c>
      <c r="AB53" s="23" t="n">
        <v>56</v>
      </c>
      <c r="AC53" s="23" t="n">
        <v>6</v>
      </c>
      <c r="AD53" s="23" t="n">
        <v>5</v>
      </c>
      <c r="AE53" s="23" t="n">
        <v>5</v>
      </c>
      <c r="AF53" s="26" t="n">
        <f aca="false">AC53*(SQRT(AE53))</f>
        <v>13.4164078649987</v>
      </c>
    </row>
    <row r="54" customFormat="false" ht="15" hidden="false" customHeight="false" outlineLevel="0" collapsed="false">
      <c r="A54" s="61" t="n">
        <v>5881</v>
      </c>
      <c r="B54" s="37" t="n">
        <v>37917302</v>
      </c>
      <c r="C54" s="37" t="s">
        <v>536</v>
      </c>
      <c r="D54" s="37" t="s">
        <v>537</v>
      </c>
      <c r="E54" s="37" t="s">
        <v>223</v>
      </c>
      <c r="F54" s="37" t="n">
        <v>2024</v>
      </c>
      <c r="G54" s="37" t="s">
        <v>538</v>
      </c>
      <c r="H54" s="37" t="n">
        <v>1</v>
      </c>
      <c r="I54" s="23" t="s">
        <v>32</v>
      </c>
      <c r="J54" s="23" t="s">
        <v>33</v>
      </c>
      <c r="L54" s="23" t="n">
        <v>360</v>
      </c>
      <c r="M54" s="23" t="n">
        <v>1</v>
      </c>
      <c r="N54" s="45" t="n">
        <v>7</v>
      </c>
      <c r="O54" s="24" t="n">
        <f aca="false">N54*L54</f>
        <v>2520</v>
      </c>
      <c r="Q54" s="23" t="n">
        <v>1</v>
      </c>
      <c r="R54" s="23" t="n">
        <v>1</v>
      </c>
      <c r="S54" s="23" t="n">
        <v>23</v>
      </c>
      <c r="T54" s="23" t="n">
        <v>23</v>
      </c>
      <c r="U54" s="51" t="s">
        <v>118</v>
      </c>
      <c r="V54" s="23" t="n">
        <v>72</v>
      </c>
      <c r="W54" s="23" t="n">
        <v>3</v>
      </c>
      <c r="X54" s="23" t="n">
        <v>11</v>
      </c>
      <c r="Y54" s="23" t="n">
        <v>11</v>
      </c>
      <c r="Z54" s="26" t="n">
        <f aca="false">W54*(SQRT(Y54))</f>
        <v>9.9498743710662</v>
      </c>
      <c r="AA54" s="23"/>
      <c r="AB54" s="23" t="n">
        <v>43</v>
      </c>
      <c r="AC54" s="23" t="n">
        <v>6</v>
      </c>
      <c r="AD54" s="23" t="n">
        <v>11</v>
      </c>
      <c r="AE54" s="23" t="n">
        <v>11</v>
      </c>
      <c r="AF54" s="26" t="n">
        <f aca="false">AC54*(SQRT(AE54))</f>
        <v>19.8997487421324</v>
      </c>
    </row>
    <row r="55" customFormat="false" ht="15" hidden="false" customHeight="false" outlineLevel="0" collapsed="false">
      <c r="A55" s="61" t="n">
        <v>5881</v>
      </c>
      <c r="B55" s="37" t="n">
        <v>37917302</v>
      </c>
      <c r="C55" s="37" t="s">
        <v>536</v>
      </c>
      <c r="D55" s="37" t="s">
        <v>537</v>
      </c>
      <c r="E55" s="37" t="s">
        <v>223</v>
      </c>
      <c r="F55" s="37" t="n">
        <v>2024</v>
      </c>
      <c r="G55" s="37" t="s">
        <v>538</v>
      </c>
      <c r="H55" s="37" t="n">
        <v>1</v>
      </c>
      <c r="I55" s="23" t="s">
        <v>32</v>
      </c>
      <c r="J55" s="23" t="s">
        <v>33</v>
      </c>
      <c r="L55" s="23" t="n">
        <v>360</v>
      </c>
      <c r="M55" s="23" t="n">
        <v>1</v>
      </c>
      <c r="N55" s="45" t="n">
        <v>14</v>
      </c>
      <c r="O55" s="24" t="n">
        <f aca="false">N55*L55</f>
        <v>5040</v>
      </c>
      <c r="Q55" s="23" t="n">
        <v>1</v>
      </c>
      <c r="R55" s="23" t="n">
        <v>1</v>
      </c>
      <c r="S55" s="23" t="n">
        <v>23</v>
      </c>
      <c r="T55" s="23" t="n">
        <v>23</v>
      </c>
      <c r="U55" s="51" t="s">
        <v>118</v>
      </c>
      <c r="V55" s="23" t="n">
        <v>74</v>
      </c>
      <c r="W55" s="23" t="n">
        <v>2</v>
      </c>
      <c r="X55" s="23" t="n">
        <v>11</v>
      </c>
      <c r="Y55" s="23" t="n">
        <v>11</v>
      </c>
      <c r="Z55" s="26" t="n">
        <f aca="false">W55*(SQRT(Y55))</f>
        <v>6.6332495807108</v>
      </c>
      <c r="AA55" s="23"/>
      <c r="AB55" s="23" t="n">
        <v>37</v>
      </c>
      <c r="AC55" s="23" t="n">
        <v>8</v>
      </c>
      <c r="AD55" s="23" t="n">
        <v>11</v>
      </c>
      <c r="AE55" s="23" t="n">
        <v>11</v>
      </c>
      <c r="AF55" s="26" t="n">
        <f aca="false">AC55*(SQRT(AE55))</f>
        <v>26.5329983228432</v>
      </c>
    </row>
    <row r="56" customFormat="false" ht="15" hidden="false" customHeight="false" outlineLevel="0" collapsed="false">
      <c r="A56" s="61" t="n">
        <v>5881</v>
      </c>
      <c r="B56" s="37" t="n">
        <v>37917302</v>
      </c>
      <c r="C56" s="37" t="s">
        <v>536</v>
      </c>
      <c r="D56" s="37" t="s">
        <v>537</v>
      </c>
      <c r="E56" s="37" t="s">
        <v>223</v>
      </c>
      <c r="F56" s="37" t="n">
        <v>2024</v>
      </c>
      <c r="G56" s="37" t="s">
        <v>538</v>
      </c>
      <c r="H56" s="37" t="n">
        <v>1</v>
      </c>
      <c r="I56" s="23" t="s">
        <v>32</v>
      </c>
      <c r="J56" s="23" t="s">
        <v>33</v>
      </c>
      <c r="L56" s="23" t="n">
        <v>360</v>
      </c>
      <c r="M56" s="23" t="n">
        <v>1</v>
      </c>
      <c r="N56" s="45" t="n">
        <v>21</v>
      </c>
      <c r="O56" s="24" t="n">
        <f aca="false">N56*L56</f>
        <v>7560</v>
      </c>
      <c r="Q56" s="23" t="n">
        <v>1</v>
      </c>
      <c r="R56" s="23" t="n">
        <v>1</v>
      </c>
      <c r="S56" s="23" t="n">
        <v>23</v>
      </c>
      <c r="T56" s="23" t="n">
        <v>23</v>
      </c>
      <c r="U56" s="51" t="s">
        <v>118</v>
      </c>
      <c r="V56" s="23" t="n">
        <v>70</v>
      </c>
      <c r="W56" s="23" t="n">
        <v>3</v>
      </c>
      <c r="X56" s="23" t="n">
        <v>11</v>
      </c>
      <c r="Y56" s="23" t="n">
        <v>11</v>
      </c>
      <c r="Z56" s="26" t="n">
        <f aca="false">W56*(SQRT(Y56))</f>
        <v>9.9498743710662</v>
      </c>
      <c r="AA56" s="23"/>
      <c r="AB56" s="23" t="n">
        <v>35</v>
      </c>
      <c r="AC56" s="23" t="n">
        <v>5</v>
      </c>
      <c r="AD56" s="23" t="n">
        <v>11</v>
      </c>
      <c r="AE56" s="23" t="n">
        <v>11</v>
      </c>
      <c r="AF56" s="26" t="n">
        <f aca="false">AC56*(SQRT(AE56))</f>
        <v>16.583123951777</v>
      </c>
    </row>
    <row r="57" s="23" customFormat="true" ht="15" hidden="false" customHeight="false" outlineLevel="0" collapsed="false">
      <c r="A57" s="37" t="n">
        <v>5993</v>
      </c>
      <c r="B57" s="37" t="n">
        <v>41113223</v>
      </c>
      <c r="C57" s="37" t="s">
        <v>302</v>
      </c>
      <c r="D57" s="37" t="s">
        <v>303</v>
      </c>
      <c r="E57" s="37" t="s">
        <v>304</v>
      </c>
      <c r="F57" s="37" t="n">
        <v>2025</v>
      </c>
      <c r="G57" s="37" t="s">
        <v>305</v>
      </c>
      <c r="H57" s="37" t="n">
        <v>1</v>
      </c>
      <c r="I57" s="23" t="s">
        <v>51</v>
      </c>
      <c r="J57" s="23" t="s">
        <v>33</v>
      </c>
      <c r="K57" s="27" t="s">
        <v>61</v>
      </c>
      <c r="L57" s="23" t="n">
        <v>180</v>
      </c>
      <c r="M57" s="23" t="n">
        <v>1</v>
      </c>
      <c r="N57" s="24" t="n">
        <v>7</v>
      </c>
      <c r="O57" s="24" t="n">
        <f aca="false">L57*M57*N57</f>
        <v>1260</v>
      </c>
      <c r="Q57" s="23" t="n">
        <v>3</v>
      </c>
      <c r="R57" s="23" t="n">
        <v>1</v>
      </c>
      <c r="S57" s="46"/>
      <c r="T57" s="46"/>
      <c r="U57" s="23" t="n">
        <v>4</v>
      </c>
      <c r="V57" s="23" t="n">
        <v>68</v>
      </c>
      <c r="W57" s="23" t="n">
        <v>4</v>
      </c>
      <c r="X57" s="23" t="n">
        <v>10</v>
      </c>
      <c r="Y57" s="23" t="n">
        <v>10</v>
      </c>
      <c r="Z57" s="26" t="n">
        <f aca="false">W57*(SQRT(Y57))</f>
        <v>12.6491106406735</v>
      </c>
      <c r="AB57" s="23" t="n">
        <v>80</v>
      </c>
      <c r="AC57" s="23" t="n">
        <v>2</v>
      </c>
      <c r="AD57" s="23" t="n">
        <v>10</v>
      </c>
      <c r="AE57" s="23" t="n">
        <v>10</v>
      </c>
      <c r="AF57" s="26" t="n">
        <f aca="false">AC57*(SQRT(AE57))</f>
        <v>6.32455532033676</v>
      </c>
      <c r="AG57" s="26"/>
    </row>
    <row r="58" s="23" customFormat="true" ht="15" hidden="false" customHeight="false" outlineLevel="0" collapsed="false">
      <c r="A58" s="37" t="n">
        <v>5993</v>
      </c>
      <c r="B58" s="37" t="n">
        <v>41113223</v>
      </c>
      <c r="C58" s="37" t="s">
        <v>302</v>
      </c>
      <c r="D58" s="37" t="s">
        <v>303</v>
      </c>
      <c r="E58" s="37" t="s">
        <v>304</v>
      </c>
      <c r="F58" s="37" t="n">
        <v>2025</v>
      </c>
      <c r="G58" s="37" t="s">
        <v>305</v>
      </c>
      <c r="H58" s="37" t="n">
        <v>1</v>
      </c>
      <c r="I58" s="23" t="s">
        <v>51</v>
      </c>
      <c r="J58" s="23" t="s">
        <v>33</v>
      </c>
      <c r="K58" s="27" t="s">
        <v>61</v>
      </c>
      <c r="L58" s="23" t="n">
        <v>180</v>
      </c>
      <c r="M58" s="23" t="n">
        <v>1</v>
      </c>
      <c r="N58" s="24" t="n">
        <v>14</v>
      </c>
      <c r="O58" s="24" t="n">
        <f aca="false">L58*M58*N58</f>
        <v>2520</v>
      </c>
      <c r="Q58" s="23" t="n">
        <v>3</v>
      </c>
      <c r="R58" s="23" t="n">
        <v>1</v>
      </c>
      <c r="S58" s="46"/>
      <c r="T58" s="46"/>
      <c r="U58" s="23" t="n">
        <v>4</v>
      </c>
      <c r="V58" s="23" t="n">
        <v>68</v>
      </c>
      <c r="W58" s="23" t="n">
        <v>4</v>
      </c>
      <c r="X58" s="23" t="n">
        <v>10</v>
      </c>
      <c r="Y58" s="23" t="n">
        <v>10</v>
      </c>
      <c r="Z58" s="26" t="n">
        <f aca="false">W58*(SQRT(Y58))</f>
        <v>12.6491106406735</v>
      </c>
      <c r="AB58" s="23" t="n">
        <v>75</v>
      </c>
      <c r="AC58" s="23" t="n">
        <v>2</v>
      </c>
      <c r="AD58" s="23" t="n">
        <v>10</v>
      </c>
      <c r="AE58" s="23" t="n">
        <v>10</v>
      </c>
      <c r="AF58" s="26" t="n">
        <f aca="false">AC58*(SQRT(AE58))</f>
        <v>6.32455532033676</v>
      </c>
      <c r="AG58" s="26"/>
    </row>
    <row r="59" s="23" customFormat="true" ht="15" hidden="false" customHeight="false" outlineLevel="0" collapsed="false">
      <c r="A59" s="37" t="n">
        <v>5993</v>
      </c>
      <c r="B59" s="37" t="n">
        <v>41113223</v>
      </c>
      <c r="C59" s="37" t="s">
        <v>302</v>
      </c>
      <c r="D59" s="37" t="s">
        <v>303</v>
      </c>
      <c r="E59" s="37" t="s">
        <v>304</v>
      </c>
      <c r="F59" s="37" t="n">
        <v>2025</v>
      </c>
      <c r="G59" s="37" t="s">
        <v>305</v>
      </c>
      <c r="H59" s="37" t="n">
        <v>1</v>
      </c>
      <c r="I59" s="23" t="s">
        <v>51</v>
      </c>
      <c r="J59" s="23" t="s">
        <v>33</v>
      </c>
      <c r="K59" s="27" t="s">
        <v>61</v>
      </c>
      <c r="L59" s="23" t="n">
        <v>180</v>
      </c>
      <c r="M59" s="23" t="n">
        <v>1</v>
      </c>
      <c r="N59" s="24" t="n">
        <v>28</v>
      </c>
      <c r="O59" s="24" t="n">
        <f aca="false">L59*M59*N59</f>
        <v>5040</v>
      </c>
      <c r="Q59" s="23" t="n">
        <v>3</v>
      </c>
      <c r="R59" s="23" t="n">
        <v>1</v>
      </c>
      <c r="S59" s="46"/>
      <c r="T59" s="46"/>
      <c r="U59" s="23" t="n">
        <v>4</v>
      </c>
      <c r="V59" s="23" t="n">
        <v>68</v>
      </c>
      <c r="W59" s="23" t="n">
        <v>4</v>
      </c>
      <c r="X59" s="23" t="n">
        <v>10</v>
      </c>
      <c r="Y59" s="23" t="n">
        <v>10</v>
      </c>
      <c r="Z59" s="26" t="n">
        <f aca="false">W59*(SQRT(Y59))</f>
        <v>12.6491106406735</v>
      </c>
      <c r="AB59" s="23" t="n">
        <v>72</v>
      </c>
      <c r="AC59" s="23" t="n">
        <v>3</v>
      </c>
      <c r="AD59" s="23" t="n">
        <v>10</v>
      </c>
      <c r="AE59" s="23" t="n">
        <v>10</v>
      </c>
      <c r="AF59" s="26" t="n">
        <f aca="false">AC59*(SQRT(AE59))</f>
        <v>9.48683298050514</v>
      </c>
      <c r="AG59" s="26"/>
    </row>
    <row r="60" s="23" customFormat="true" ht="15" hidden="false" customHeight="false" outlineLevel="0" collapsed="false">
      <c r="A60" s="23" t="n">
        <v>6184</v>
      </c>
      <c r="B60" s="23" t="n">
        <v>35230663</v>
      </c>
      <c r="C60" s="23" t="s">
        <v>310</v>
      </c>
      <c r="D60" s="23" t="s">
        <v>311</v>
      </c>
      <c r="E60" s="23" t="s">
        <v>223</v>
      </c>
      <c r="F60" s="23" t="n">
        <v>2022</v>
      </c>
      <c r="G60" s="23" t="s">
        <v>312</v>
      </c>
      <c r="H60" s="23" t="n">
        <v>1</v>
      </c>
      <c r="I60" s="23" t="s">
        <v>32</v>
      </c>
      <c r="J60" s="23" t="s">
        <v>33</v>
      </c>
      <c r="K60" s="27"/>
      <c r="L60" s="23" t="n">
        <v>240</v>
      </c>
      <c r="M60" s="23" t="n">
        <v>1</v>
      </c>
      <c r="N60" s="24" t="n">
        <v>28</v>
      </c>
      <c r="O60" s="24" t="n">
        <f aca="false">N60*L60</f>
        <v>6720</v>
      </c>
      <c r="Q60" s="23" t="n">
        <v>24</v>
      </c>
      <c r="R60" s="23" t="n">
        <v>1</v>
      </c>
      <c r="S60" s="46"/>
      <c r="T60" s="46"/>
      <c r="U60" s="51" t="s">
        <v>70</v>
      </c>
      <c r="V60" s="23" t="n">
        <v>82</v>
      </c>
      <c r="W60" s="23" t="s">
        <v>71</v>
      </c>
      <c r="X60" s="46"/>
      <c r="Z60" s="23" t="n">
        <v>1.9</v>
      </c>
      <c r="AB60" s="23" t="n">
        <v>50</v>
      </c>
      <c r="AC60" s="23" t="s">
        <v>71</v>
      </c>
      <c r="AD60" s="46"/>
      <c r="AF60" s="23" t="n">
        <v>6.5</v>
      </c>
      <c r="AG60" s="24"/>
    </row>
    <row r="61" customFormat="false" ht="15" hidden="false" customHeight="false" outlineLevel="0" collapsed="false">
      <c r="A61" s="37" t="n">
        <v>6184</v>
      </c>
      <c r="B61" s="37" t="n">
        <v>35252485</v>
      </c>
      <c r="C61" s="37" t="s">
        <v>539</v>
      </c>
      <c r="D61" s="37" t="s">
        <v>540</v>
      </c>
      <c r="E61" s="37" t="s">
        <v>541</v>
      </c>
      <c r="F61" s="37" t="n">
        <v>2022</v>
      </c>
      <c r="G61" s="37" t="s">
        <v>542</v>
      </c>
      <c r="H61" s="37" t="n">
        <v>1</v>
      </c>
      <c r="I61" s="23" t="s">
        <v>51</v>
      </c>
      <c r="J61" s="37" t="s">
        <v>33</v>
      </c>
      <c r="L61" s="23" t="n">
        <v>150</v>
      </c>
      <c r="M61" s="23" t="n">
        <v>1</v>
      </c>
      <c r="N61" s="24" t="n">
        <v>14</v>
      </c>
      <c r="O61" s="24" t="n">
        <f aca="false">N61*L61</f>
        <v>2100</v>
      </c>
      <c r="Q61" s="46"/>
      <c r="R61" s="23" t="n">
        <v>1</v>
      </c>
      <c r="S61" s="46"/>
      <c r="T61" s="46"/>
      <c r="U61" s="51" t="s">
        <v>118</v>
      </c>
      <c r="V61" s="34" t="n">
        <v>77</v>
      </c>
      <c r="W61" s="34" t="n">
        <v>7</v>
      </c>
      <c r="X61" s="23" t="n">
        <v>9</v>
      </c>
      <c r="Y61" s="23" t="n">
        <v>9</v>
      </c>
      <c r="Z61" s="26" t="n">
        <f aca="false">W61*(SQRT(Y61))</f>
        <v>21</v>
      </c>
      <c r="AA61" s="23"/>
      <c r="AB61" s="34" t="n">
        <v>31</v>
      </c>
      <c r="AC61" s="23" t="n">
        <v>11</v>
      </c>
      <c r="AD61" s="23" t="n">
        <v>9</v>
      </c>
      <c r="AE61" s="23" t="n">
        <v>9</v>
      </c>
      <c r="AF61" s="26" t="n">
        <f aca="false">AC61*(SQRT(AE61))</f>
        <v>33</v>
      </c>
    </row>
    <row r="62" customFormat="false" ht="15" hidden="false" customHeight="false" outlineLevel="0" collapsed="false">
      <c r="A62" s="37" t="n">
        <v>6184</v>
      </c>
      <c r="B62" s="37" t="n">
        <v>35252485</v>
      </c>
      <c r="C62" s="37" t="s">
        <v>539</v>
      </c>
      <c r="D62" s="37" t="s">
        <v>540</v>
      </c>
      <c r="E62" s="37" t="s">
        <v>541</v>
      </c>
      <c r="F62" s="37" t="n">
        <v>2022</v>
      </c>
      <c r="G62" s="37" t="s">
        <v>542</v>
      </c>
      <c r="H62" s="37" t="n">
        <v>1</v>
      </c>
      <c r="I62" s="23" t="s">
        <v>51</v>
      </c>
      <c r="J62" s="37" t="s">
        <v>97</v>
      </c>
      <c r="L62" s="23" t="n">
        <v>150</v>
      </c>
      <c r="M62" s="23" t="n">
        <v>1</v>
      </c>
      <c r="N62" s="24" t="s">
        <v>543</v>
      </c>
      <c r="Q62" s="46"/>
      <c r="R62" s="23" t="n">
        <v>1</v>
      </c>
      <c r="S62" s="46"/>
      <c r="T62" s="46"/>
      <c r="U62" s="51" t="s">
        <v>118</v>
      </c>
      <c r="V62" s="23" t="n">
        <v>71</v>
      </c>
      <c r="W62" s="23" t="n">
        <v>6</v>
      </c>
      <c r="X62" s="23" t="n">
        <v>9</v>
      </c>
      <c r="Y62" s="23" t="n">
        <v>9</v>
      </c>
      <c r="Z62" s="26" t="n">
        <f aca="false">W62*(SQRT(Y62))</f>
        <v>18</v>
      </c>
      <c r="AA62" s="23"/>
      <c r="AB62" s="23" t="n">
        <v>81</v>
      </c>
      <c r="AC62" s="46"/>
      <c r="AD62" s="23" t="n">
        <v>9</v>
      </c>
      <c r="AE62" s="23" t="n">
        <v>9</v>
      </c>
      <c r="AF62" s="46"/>
    </row>
    <row r="63" s="23" customFormat="true" ht="16.4" hidden="false" customHeight="false" outlineLevel="0" collapsed="false">
      <c r="A63" s="37" t="n">
        <v>6233</v>
      </c>
      <c r="B63" s="37"/>
      <c r="C63" s="38" t="s">
        <v>314</v>
      </c>
      <c r="D63" s="38" t="s">
        <v>544</v>
      </c>
      <c r="E63" s="38" t="s">
        <v>316</v>
      </c>
      <c r="F63" s="38" t="n">
        <v>2024</v>
      </c>
      <c r="G63" s="39" t="s">
        <v>317</v>
      </c>
      <c r="H63" s="37" t="n">
        <v>1</v>
      </c>
      <c r="I63" s="23" t="s">
        <v>51</v>
      </c>
      <c r="J63" s="37" t="s">
        <v>33</v>
      </c>
      <c r="K63" s="27" t="s">
        <v>168</v>
      </c>
      <c r="L63" s="23" t="n">
        <v>360</v>
      </c>
      <c r="M63" s="23" t="n">
        <v>1</v>
      </c>
      <c r="N63" s="24" t="n">
        <v>21</v>
      </c>
      <c r="O63" s="24" t="n">
        <f aca="false">L63*M63*N63</f>
        <v>7560</v>
      </c>
      <c r="Q63" s="46" t="s">
        <v>153</v>
      </c>
      <c r="R63" s="46"/>
      <c r="S63" s="46"/>
      <c r="T63" s="46"/>
      <c r="U63" s="23" t="s">
        <v>545</v>
      </c>
      <c r="V63" s="46"/>
      <c r="W63" s="46"/>
      <c r="X63" s="46"/>
      <c r="Y63" s="46"/>
      <c r="Z63" s="46"/>
      <c r="AB63" s="46"/>
      <c r="AC63" s="46"/>
      <c r="AD63" s="46"/>
      <c r="AE63" s="46"/>
      <c r="AF63" s="46"/>
    </row>
    <row r="64" s="23" customFormat="true" ht="16.4" hidden="false" customHeight="false" outlineLevel="0" collapsed="false">
      <c r="A64" s="37" t="n">
        <v>6233</v>
      </c>
      <c r="B64" s="37"/>
      <c r="C64" s="38" t="s">
        <v>314</v>
      </c>
      <c r="D64" s="38" t="s">
        <v>315</v>
      </c>
      <c r="E64" s="38" t="s">
        <v>316</v>
      </c>
      <c r="F64" s="38" t="n">
        <v>2024</v>
      </c>
      <c r="G64" s="39" t="s">
        <v>317</v>
      </c>
      <c r="H64" s="37" t="n">
        <v>1</v>
      </c>
      <c r="I64" s="23" t="s">
        <v>51</v>
      </c>
      <c r="J64" s="37" t="s">
        <v>97</v>
      </c>
      <c r="K64" s="27" t="s">
        <v>168</v>
      </c>
      <c r="L64" s="23" t="n">
        <v>360</v>
      </c>
      <c r="M64" s="23" t="n">
        <v>1</v>
      </c>
      <c r="N64" s="24" t="n">
        <v>21</v>
      </c>
      <c r="O64" s="24" t="n">
        <f aca="false">L64*M64*N64</f>
        <v>7560</v>
      </c>
      <c r="Q64" s="46" t="s">
        <v>153</v>
      </c>
      <c r="R64" s="46"/>
      <c r="S64" s="46"/>
      <c r="T64" s="46"/>
      <c r="U64" s="23" t="s">
        <v>545</v>
      </c>
      <c r="V64" s="46"/>
      <c r="W64" s="46"/>
      <c r="X64" s="46"/>
      <c r="Y64" s="46"/>
      <c r="Z64" s="46"/>
      <c r="AB64" s="46"/>
      <c r="AC64" s="46"/>
      <c r="AD64" s="46"/>
      <c r="AE64" s="46"/>
      <c r="AF64" s="46"/>
    </row>
    <row r="65" s="23" customFormat="true" ht="15" hidden="false" customHeight="false" outlineLevel="0" collapsed="false">
      <c r="A65" s="23" t="n">
        <v>6320</v>
      </c>
      <c r="B65" s="23" t="n">
        <v>41167532</v>
      </c>
      <c r="C65" s="23" t="s">
        <v>546</v>
      </c>
      <c r="D65" s="23" t="s">
        <v>547</v>
      </c>
      <c r="E65" s="23" t="s">
        <v>161</v>
      </c>
      <c r="F65" s="23" t="n">
        <v>2025</v>
      </c>
      <c r="G65" s="23" t="s">
        <v>548</v>
      </c>
      <c r="H65" s="23" t="n">
        <v>1</v>
      </c>
      <c r="I65" s="23" t="s">
        <v>32</v>
      </c>
      <c r="J65" s="23" t="s">
        <v>33</v>
      </c>
      <c r="K65" s="27" t="s">
        <v>53</v>
      </c>
      <c r="L65" s="23" t="n">
        <v>360</v>
      </c>
      <c r="M65" s="23" t="n">
        <v>1</v>
      </c>
      <c r="N65" s="24" t="n">
        <v>28</v>
      </c>
      <c r="O65" s="24" t="n">
        <f aca="false">L65*M65*N65</f>
        <v>10080</v>
      </c>
      <c r="Q65" s="23" t="n">
        <v>1</v>
      </c>
      <c r="R65" s="23" t="n">
        <v>1</v>
      </c>
      <c r="S65" s="23" t="n">
        <v>24</v>
      </c>
      <c r="T65" s="23" t="n">
        <v>24</v>
      </c>
      <c r="U65" s="23" t="s">
        <v>243</v>
      </c>
      <c r="V65" s="23" t="n">
        <v>69</v>
      </c>
      <c r="W65" s="23" t="s">
        <v>71</v>
      </c>
      <c r="X65" s="23" t="n">
        <v>6</v>
      </c>
      <c r="Z65" s="23" t="n">
        <v>2</v>
      </c>
      <c r="AB65" s="34" t="n">
        <v>59</v>
      </c>
      <c r="AC65" s="23" t="s">
        <v>71</v>
      </c>
      <c r="AD65" s="23" t="n">
        <v>6</v>
      </c>
      <c r="AF65" s="23" t="n">
        <v>4</v>
      </c>
    </row>
    <row r="66" customFormat="false" ht="15" hidden="false" customHeight="false" outlineLevel="0" collapsed="false">
      <c r="A66" s="23" t="n">
        <v>6392</v>
      </c>
      <c r="B66" s="23" t="n">
        <v>35615771</v>
      </c>
      <c r="C66" s="23" t="s">
        <v>549</v>
      </c>
      <c r="D66" s="23" t="s">
        <v>550</v>
      </c>
      <c r="E66" s="23" t="s">
        <v>551</v>
      </c>
      <c r="F66" s="23" t="n">
        <v>2022</v>
      </c>
      <c r="G66" s="23" t="s">
        <v>552</v>
      </c>
      <c r="H66" s="23" t="n">
        <v>1</v>
      </c>
      <c r="I66" s="23" t="s">
        <v>32</v>
      </c>
      <c r="J66" s="23" t="s">
        <v>33</v>
      </c>
      <c r="L66" s="23" t="n">
        <v>360</v>
      </c>
      <c r="M66" s="23" t="n">
        <v>1</v>
      </c>
      <c r="N66" s="24" t="n">
        <v>28</v>
      </c>
      <c r="Q66" s="23" t="n">
        <v>1</v>
      </c>
      <c r="R66" s="23" t="n">
        <v>1</v>
      </c>
      <c r="S66" s="23" t="n">
        <v>24</v>
      </c>
      <c r="T66" s="23" t="n">
        <v>24</v>
      </c>
      <c r="U66" s="51" t="s">
        <v>89</v>
      </c>
      <c r="V66" s="23" t="n">
        <v>72</v>
      </c>
      <c r="W66" s="23" t="n">
        <v>0.7</v>
      </c>
      <c r="X66" s="23" t="n">
        <v>10</v>
      </c>
      <c r="Y66" s="23" t="n">
        <v>10</v>
      </c>
      <c r="Z66" s="26" t="n">
        <f aca="false">W66*(SQRT(Y66))</f>
        <v>2.21359436211787</v>
      </c>
      <c r="AA66" s="23"/>
      <c r="AB66" s="23" t="n">
        <v>46</v>
      </c>
      <c r="AC66" s="23" t="n">
        <v>0.9</v>
      </c>
      <c r="AD66" s="23" t="n">
        <v>10</v>
      </c>
      <c r="AE66" s="23" t="n">
        <v>10</v>
      </c>
      <c r="AF66" s="26" t="n">
        <f aca="false">AC66*(SQRT(AE66))</f>
        <v>2.84604989415154</v>
      </c>
    </row>
    <row r="67" s="23" customFormat="true" ht="16.4" hidden="false" customHeight="false" outlineLevel="0" collapsed="false">
      <c r="A67" s="23" t="n">
        <v>6517</v>
      </c>
      <c r="C67" s="41" t="s">
        <v>553</v>
      </c>
      <c r="D67" s="41" t="s">
        <v>554</v>
      </c>
      <c r="E67" s="41" t="s">
        <v>555</v>
      </c>
      <c r="F67" s="41" t="n">
        <v>2024</v>
      </c>
      <c r="G67" s="42" t="s">
        <v>556</v>
      </c>
      <c r="H67" s="23" t="n">
        <v>1</v>
      </c>
      <c r="I67" s="23" t="s">
        <v>32</v>
      </c>
      <c r="J67" s="23" t="s">
        <v>33</v>
      </c>
      <c r="K67" s="27"/>
      <c r="L67" s="23" t="n">
        <v>60</v>
      </c>
      <c r="M67" s="23" t="n">
        <v>2</v>
      </c>
      <c r="N67" s="24" t="n">
        <v>21</v>
      </c>
      <c r="O67" s="24" t="n">
        <f aca="false">L67*M67*N67</f>
        <v>2520</v>
      </c>
      <c r="Q67" s="23" t="n">
        <v>1</v>
      </c>
      <c r="R67" s="23" t="n">
        <v>1</v>
      </c>
      <c r="S67" s="23" t="n">
        <v>6</v>
      </c>
      <c r="T67" s="46"/>
      <c r="U67" s="46"/>
      <c r="V67" s="46"/>
      <c r="W67" s="46"/>
      <c r="X67" s="46"/>
      <c r="Y67" s="46"/>
      <c r="Z67" s="46"/>
      <c r="AB67" s="46"/>
      <c r="AC67" s="46"/>
      <c r="AD67" s="46"/>
      <c r="AE67" s="46"/>
      <c r="AF67" s="46"/>
    </row>
    <row r="68" s="23" customFormat="true" ht="15" hidden="false" customHeight="false" outlineLevel="0" collapsed="false">
      <c r="A68" s="23" t="n">
        <v>6728</v>
      </c>
      <c r="B68" s="23" t="n">
        <v>35873784</v>
      </c>
      <c r="C68" s="23" t="s">
        <v>557</v>
      </c>
      <c r="D68" s="23" t="s">
        <v>558</v>
      </c>
      <c r="E68" s="23" t="s">
        <v>559</v>
      </c>
      <c r="F68" s="23" t="n">
        <v>2022</v>
      </c>
      <c r="G68" s="23" t="s">
        <v>560</v>
      </c>
      <c r="H68" s="23" t="n">
        <v>1</v>
      </c>
      <c r="I68" s="23" t="s">
        <v>32</v>
      </c>
      <c r="J68" s="23" t="s">
        <v>33</v>
      </c>
      <c r="K68" s="27"/>
      <c r="L68" s="23" t="n">
        <v>180</v>
      </c>
      <c r="M68" s="23" t="n">
        <v>1</v>
      </c>
      <c r="N68" s="24" t="n">
        <v>21</v>
      </c>
      <c r="O68" s="24" t="n">
        <f aca="false">N68*L68</f>
        <v>3780</v>
      </c>
      <c r="Q68" s="46"/>
      <c r="R68" s="23" t="n">
        <v>1</v>
      </c>
      <c r="S68" s="46"/>
      <c r="T68" s="46"/>
      <c r="U68" s="51" t="s">
        <v>77</v>
      </c>
      <c r="V68" s="23" t="n">
        <v>85</v>
      </c>
      <c r="W68" s="23" t="s">
        <v>71</v>
      </c>
      <c r="X68" s="23" t="n">
        <v>8</v>
      </c>
      <c r="Z68" s="23" t="n">
        <v>8</v>
      </c>
      <c r="AB68" s="23" t="n">
        <v>74</v>
      </c>
      <c r="AC68" s="23" t="s">
        <v>71</v>
      </c>
      <c r="AD68" s="23" t="n">
        <v>8</v>
      </c>
      <c r="AF68" s="23" t="n">
        <v>9</v>
      </c>
      <c r="AG68" s="24"/>
    </row>
    <row r="69" s="23" customFormat="true" ht="16.4" hidden="false" customHeight="false" outlineLevel="0" collapsed="false">
      <c r="A69" s="23" t="n">
        <v>6938</v>
      </c>
      <c r="C69" s="41" t="s">
        <v>561</v>
      </c>
      <c r="D69" s="41" t="s">
        <v>562</v>
      </c>
      <c r="E69" s="41" t="s">
        <v>563</v>
      </c>
      <c r="F69" s="41" t="n">
        <v>2025</v>
      </c>
      <c r="G69" s="42" t="s">
        <v>564</v>
      </c>
      <c r="H69" s="23" t="n">
        <v>1</v>
      </c>
      <c r="I69" s="23" t="s">
        <v>51</v>
      </c>
      <c r="J69" s="23" t="s">
        <v>33</v>
      </c>
      <c r="K69" s="27"/>
      <c r="L69" s="23" t="n">
        <v>120</v>
      </c>
      <c r="M69" s="23" t="n">
        <v>1</v>
      </c>
      <c r="N69" s="24" t="n">
        <v>21</v>
      </c>
      <c r="O69" s="24" t="n">
        <f aca="false">L69*M69*N69</f>
        <v>2520</v>
      </c>
      <c r="Q69" s="46" t="s">
        <v>153</v>
      </c>
      <c r="R69" s="23" t="n">
        <v>1</v>
      </c>
      <c r="S69" s="46"/>
      <c r="T69" s="46"/>
      <c r="U69" s="23" t="n">
        <v>1</v>
      </c>
      <c r="V69" s="23" t="n">
        <v>82</v>
      </c>
      <c r="W69" s="23" t="n">
        <v>2</v>
      </c>
      <c r="X69" s="23" t="n">
        <v>8</v>
      </c>
      <c r="Y69" s="23" t="n">
        <v>8</v>
      </c>
      <c r="Z69" s="26" t="n">
        <f aca="false">W69*(SQRT(Y69))</f>
        <v>5.65685424949238</v>
      </c>
      <c r="AB69" s="23" t="n">
        <v>58</v>
      </c>
      <c r="AC69" s="23" t="n">
        <v>2</v>
      </c>
      <c r="AD69" s="23" t="n">
        <v>8</v>
      </c>
      <c r="AE69" s="23" t="n">
        <v>8</v>
      </c>
      <c r="AF69" s="26" t="n">
        <f aca="false">AC69*(SQRT(AE69))</f>
        <v>5.65685424949238</v>
      </c>
    </row>
    <row r="70" customFormat="false" ht="15" hidden="false" customHeight="false" outlineLevel="0" collapsed="false">
      <c r="A70" s="23" t="n">
        <v>6987</v>
      </c>
      <c r="B70" s="23" t="n">
        <v>33276022</v>
      </c>
      <c r="C70" s="23" t="s">
        <v>327</v>
      </c>
      <c r="D70" s="23" t="s">
        <v>328</v>
      </c>
      <c r="E70" s="23" t="s">
        <v>308</v>
      </c>
      <c r="F70" s="23" t="n">
        <v>2021</v>
      </c>
      <c r="G70" s="23" t="s">
        <v>329</v>
      </c>
      <c r="H70" s="23" t="n">
        <v>1</v>
      </c>
      <c r="I70" s="23" t="s">
        <v>32</v>
      </c>
      <c r="J70" s="23" t="s">
        <v>33</v>
      </c>
      <c r="K70" s="27" t="n">
        <v>12</v>
      </c>
      <c r="L70" s="23" t="n">
        <v>390</v>
      </c>
      <c r="M70" s="23" t="n">
        <v>1</v>
      </c>
      <c r="N70" s="24" t="n">
        <v>21</v>
      </c>
      <c r="O70" s="24" t="n">
        <f aca="false">N70*L70</f>
        <v>8190</v>
      </c>
      <c r="Q70" s="23" t="n">
        <v>12</v>
      </c>
      <c r="R70" s="23" t="n">
        <v>1</v>
      </c>
      <c r="S70" s="23" t="n">
        <v>12</v>
      </c>
      <c r="T70" s="23" t="n">
        <v>12</v>
      </c>
      <c r="U70" s="51" t="s">
        <v>565</v>
      </c>
      <c r="V70" s="23" t="n">
        <v>94</v>
      </c>
      <c r="W70" s="23" t="n">
        <v>1.1</v>
      </c>
      <c r="X70" s="23" t="n">
        <v>5</v>
      </c>
      <c r="Y70" s="23" t="n">
        <v>5</v>
      </c>
      <c r="Z70" s="26" t="n">
        <f aca="false">W70*(SQRT(Y70))</f>
        <v>2.45967477524977</v>
      </c>
      <c r="AA70" s="23"/>
      <c r="AB70" s="23" t="n">
        <v>81</v>
      </c>
      <c r="AC70" s="23" t="n">
        <v>4.5</v>
      </c>
      <c r="AD70" s="23" t="n">
        <v>6</v>
      </c>
      <c r="AE70" s="23" t="n">
        <v>6</v>
      </c>
      <c r="AF70" s="26" t="n">
        <f aca="false">AC70*(SQRT(AE70))</f>
        <v>11.0227038425243</v>
      </c>
    </row>
    <row r="71" customFormat="false" ht="15" hidden="false" customHeight="false" outlineLevel="0" collapsed="false">
      <c r="A71" s="37" t="n">
        <v>7023</v>
      </c>
      <c r="B71" s="37" t="n">
        <v>26947756</v>
      </c>
      <c r="C71" s="37" t="s">
        <v>338</v>
      </c>
      <c r="D71" s="37" t="s">
        <v>339</v>
      </c>
      <c r="E71" s="37" t="s">
        <v>276</v>
      </c>
      <c r="F71" s="37" t="n">
        <v>2016</v>
      </c>
      <c r="G71" s="37" t="s">
        <v>340</v>
      </c>
      <c r="H71" s="37" t="n">
        <v>1</v>
      </c>
      <c r="I71" s="23" t="s">
        <v>32</v>
      </c>
      <c r="J71" s="23" t="s">
        <v>33</v>
      </c>
      <c r="L71" s="23" t="n">
        <v>360</v>
      </c>
      <c r="M71" s="23" t="n">
        <v>1</v>
      </c>
      <c r="N71" s="45" t="n">
        <v>7</v>
      </c>
      <c r="O71" s="24" t="n">
        <f aca="false">N71*L71</f>
        <v>2520</v>
      </c>
      <c r="Q71" s="23" t="n">
        <v>1</v>
      </c>
      <c r="R71" s="23" t="n">
        <v>1</v>
      </c>
      <c r="S71" s="23" t="n">
        <v>6</v>
      </c>
      <c r="T71" s="23" t="n">
        <v>6</v>
      </c>
      <c r="U71" s="51" t="s">
        <v>243</v>
      </c>
      <c r="V71" s="23" t="n">
        <v>69</v>
      </c>
      <c r="W71" s="23" t="n">
        <v>2.5</v>
      </c>
      <c r="X71" s="23" t="n">
        <v>8</v>
      </c>
      <c r="Y71" s="23" t="n">
        <v>8</v>
      </c>
      <c r="Z71" s="26" t="n">
        <f aca="false">W71*(SQRT(Y71))</f>
        <v>7.07106781186548</v>
      </c>
      <c r="AA71" s="23"/>
      <c r="AB71" s="23" t="n">
        <v>58</v>
      </c>
      <c r="AC71" s="23" t="n">
        <v>7</v>
      </c>
      <c r="AD71" s="23" t="n">
        <v>8</v>
      </c>
      <c r="AE71" s="23" t="n">
        <v>8</v>
      </c>
      <c r="AF71" s="26" t="n">
        <f aca="false">AC71*(SQRT(AE71))</f>
        <v>19.7989898732233</v>
      </c>
    </row>
    <row r="72" customFormat="false" ht="15" hidden="false" customHeight="false" outlineLevel="0" collapsed="false">
      <c r="A72" s="37" t="n">
        <v>7023</v>
      </c>
      <c r="B72" s="37" t="n">
        <v>26947756</v>
      </c>
      <c r="C72" s="37" t="s">
        <v>338</v>
      </c>
      <c r="D72" s="37" t="s">
        <v>339</v>
      </c>
      <c r="E72" s="37" t="s">
        <v>276</v>
      </c>
      <c r="F72" s="37" t="n">
        <v>2016</v>
      </c>
      <c r="G72" s="37" t="s">
        <v>340</v>
      </c>
      <c r="H72" s="37" t="n">
        <v>1</v>
      </c>
      <c r="I72" s="23" t="s">
        <v>32</v>
      </c>
      <c r="J72" s="23" t="s">
        <v>33</v>
      </c>
      <c r="L72" s="23" t="n">
        <v>360</v>
      </c>
      <c r="M72" s="23" t="n">
        <v>1</v>
      </c>
      <c r="N72" s="45" t="n">
        <v>14</v>
      </c>
      <c r="O72" s="24" t="n">
        <f aca="false">N72*L72</f>
        <v>5040</v>
      </c>
      <c r="Q72" s="23" t="n">
        <v>1</v>
      </c>
      <c r="R72" s="23" t="n">
        <v>1</v>
      </c>
      <c r="S72" s="23" t="n">
        <v>6</v>
      </c>
      <c r="T72" s="23" t="n">
        <v>6</v>
      </c>
      <c r="U72" s="51" t="s">
        <v>243</v>
      </c>
      <c r="V72" s="23" t="n">
        <v>69</v>
      </c>
      <c r="W72" s="23" t="n">
        <v>2.5</v>
      </c>
      <c r="X72" s="23" t="n">
        <v>8</v>
      </c>
      <c r="Y72" s="23" t="n">
        <v>8</v>
      </c>
      <c r="Z72" s="26" t="n">
        <f aca="false">W72*(SQRT(Y72))</f>
        <v>7.07106781186548</v>
      </c>
      <c r="AA72" s="23"/>
      <c r="AB72" s="23" t="n">
        <v>52</v>
      </c>
      <c r="AC72" s="23" t="n">
        <v>9</v>
      </c>
      <c r="AD72" s="23" t="n">
        <v>8</v>
      </c>
      <c r="AE72" s="23" t="n">
        <v>8</v>
      </c>
      <c r="AF72" s="26" t="n">
        <f aca="false">AC72*(SQRT(AE72))</f>
        <v>25.4558441227157</v>
      </c>
    </row>
    <row r="73" customFormat="false" ht="15" hidden="false" customHeight="false" outlineLevel="0" collapsed="false">
      <c r="A73" s="37" t="n">
        <v>7023</v>
      </c>
      <c r="B73" s="37" t="n">
        <v>26947756</v>
      </c>
      <c r="C73" s="37" t="s">
        <v>338</v>
      </c>
      <c r="D73" s="37" t="s">
        <v>339</v>
      </c>
      <c r="E73" s="37" t="s">
        <v>276</v>
      </c>
      <c r="F73" s="37" t="n">
        <v>2016</v>
      </c>
      <c r="G73" s="37" t="s">
        <v>340</v>
      </c>
      <c r="H73" s="37" t="n">
        <v>1</v>
      </c>
      <c r="I73" s="23" t="s">
        <v>32</v>
      </c>
      <c r="J73" s="23" t="s">
        <v>33</v>
      </c>
      <c r="L73" s="23" t="n">
        <v>360</v>
      </c>
      <c r="M73" s="23" t="n">
        <v>1</v>
      </c>
      <c r="N73" s="45" t="n">
        <v>21</v>
      </c>
      <c r="O73" s="24" t="n">
        <f aca="false">N73*L73</f>
        <v>7560</v>
      </c>
      <c r="Q73" s="23" t="n">
        <v>1</v>
      </c>
      <c r="R73" s="23" t="n">
        <v>1</v>
      </c>
      <c r="S73" s="23" t="n">
        <v>6</v>
      </c>
      <c r="T73" s="23" t="n">
        <v>6</v>
      </c>
      <c r="U73" s="51" t="s">
        <v>243</v>
      </c>
      <c r="V73" s="23" t="n">
        <v>69</v>
      </c>
      <c r="W73" s="23" t="n">
        <v>2.5</v>
      </c>
      <c r="X73" s="23" t="n">
        <v>8</v>
      </c>
      <c r="Y73" s="23" t="n">
        <v>8</v>
      </c>
      <c r="Z73" s="26" t="n">
        <f aca="false">W73*(SQRT(Y73))</f>
        <v>7.07106781186548</v>
      </c>
      <c r="AA73" s="23"/>
      <c r="AB73" s="23" t="n">
        <v>47</v>
      </c>
      <c r="AC73" s="23" t="n">
        <v>6</v>
      </c>
      <c r="AD73" s="23" t="n">
        <v>8</v>
      </c>
      <c r="AE73" s="23" t="n">
        <v>8</v>
      </c>
      <c r="AF73" s="26" t="n">
        <f aca="false">AC73*(SQRT(AE73))</f>
        <v>16.9705627484771</v>
      </c>
    </row>
    <row r="74" s="23" customFormat="true" ht="16.4" hidden="false" customHeight="false" outlineLevel="0" collapsed="false">
      <c r="A74" s="37" t="n">
        <v>7110</v>
      </c>
      <c r="B74" s="37"/>
      <c r="C74" s="38" t="s">
        <v>566</v>
      </c>
      <c r="D74" s="38" t="s">
        <v>567</v>
      </c>
      <c r="E74" s="38" t="s">
        <v>568</v>
      </c>
      <c r="F74" s="38" t="n">
        <v>2022</v>
      </c>
      <c r="G74" s="39" t="s">
        <v>569</v>
      </c>
      <c r="H74" s="37" t="n">
        <v>1</v>
      </c>
      <c r="I74" s="23" t="s">
        <v>32</v>
      </c>
      <c r="J74" s="23" t="s">
        <v>33</v>
      </c>
      <c r="K74" s="27"/>
      <c r="L74" s="23" t="n">
        <v>360</v>
      </c>
      <c r="M74" s="23" t="n">
        <v>1</v>
      </c>
      <c r="N74" s="45" t="n">
        <v>7</v>
      </c>
      <c r="O74" s="24" t="n">
        <f aca="false">L74*M74*N74</f>
        <v>2520</v>
      </c>
      <c r="Q74" s="23" t="n">
        <v>1</v>
      </c>
      <c r="R74" s="23" t="n">
        <v>1</v>
      </c>
      <c r="S74" s="23" t="n">
        <v>23</v>
      </c>
      <c r="T74" s="23" t="n">
        <v>23</v>
      </c>
      <c r="U74" s="23" t="s">
        <v>118</v>
      </c>
      <c r="V74" s="23" t="n">
        <v>65</v>
      </c>
      <c r="W74" s="23" t="s">
        <v>71</v>
      </c>
      <c r="X74" s="23" t="n">
        <v>11</v>
      </c>
      <c r="Z74" s="23" t="n">
        <v>12</v>
      </c>
      <c r="AB74" s="23" t="n">
        <v>53</v>
      </c>
      <c r="AC74" s="23" t="s">
        <v>71</v>
      </c>
      <c r="AD74" s="23" t="n">
        <v>11</v>
      </c>
      <c r="AF74" s="23" t="n">
        <v>12</v>
      </c>
    </row>
    <row r="75" s="23" customFormat="true" ht="16.4" hidden="false" customHeight="false" outlineLevel="0" collapsed="false">
      <c r="A75" s="37" t="n">
        <v>7110</v>
      </c>
      <c r="B75" s="37"/>
      <c r="C75" s="38" t="s">
        <v>566</v>
      </c>
      <c r="D75" s="38" t="s">
        <v>567</v>
      </c>
      <c r="E75" s="38" t="s">
        <v>568</v>
      </c>
      <c r="F75" s="38" t="n">
        <v>2022</v>
      </c>
      <c r="G75" s="39" t="s">
        <v>569</v>
      </c>
      <c r="H75" s="37" t="n">
        <v>1</v>
      </c>
      <c r="I75" s="23" t="s">
        <v>32</v>
      </c>
      <c r="J75" s="23" t="s">
        <v>33</v>
      </c>
      <c r="K75" s="27"/>
      <c r="L75" s="23" t="n">
        <v>360</v>
      </c>
      <c r="M75" s="23" t="n">
        <v>1</v>
      </c>
      <c r="N75" s="45" t="n">
        <v>14</v>
      </c>
      <c r="O75" s="24" t="n">
        <f aca="false">L75*M75*N75</f>
        <v>5040</v>
      </c>
      <c r="Q75" s="23" t="n">
        <v>1</v>
      </c>
      <c r="R75" s="23" t="n">
        <v>1</v>
      </c>
      <c r="S75" s="23" t="n">
        <v>23</v>
      </c>
      <c r="T75" s="23" t="n">
        <v>23</v>
      </c>
      <c r="U75" s="23" t="s">
        <v>118</v>
      </c>
      <c r="V75" s="23" t="n">
        <v>65</v>
      </c>
      <c r="W75" s="23" t="s">
        <v>71</v>
      </c>
      <c r="X75" s="23" t="n">
        <v>11</v>
      </c>
      <c r="Z75" s="23" t="n">
        <v>12</v>
      </c>
      <c r="AB75" s="23" t="n">
        <v>48</v>
      </c>
      <c r="AC75" s="23" t="s">
        <v>71</v>
      </c>
      <c r="AD75" s="23" t="n">
        <v>11</v>
      </c>
      <c r="AF75" s="23" t="n">
        <v>13</v>
      </c>
    </row>
    <row r="76" s="23" customFormat="true" ht="16.4" hidden="false" customHeight="false" outlineLevel="0" collapsed="false">
      <c r="A76" s="37" t="n">
        <v>7110</v>
      </c>
      <c r="B76" s="37"/>
      <c r="C76" s="38" t="s">
        <v>566</v>
      </c>
      <c r="D76" s="38" t="s">
        <v>567</v>
      </c>
      <c r="E76" s="38" t="s">
        <v>568</v>
      </c>
      <c r="F76" s="38" t="n">
        <v>2022</v>
      </c>
      <c r="G76" s="39" t="s">
        <v>569</v>
      </c>
      <c r="H76" s="37" t="n">
        <v>1</v>
      </c>
      <c r="I76" s="23" t="s">
        <v>32</v>
      </c>
      <c r="J76" s="23" t="s">
        <v>33</v>
      </c>
      <c r="K76" s="27"/>
      <c r="L76" s="23" t="n">
        <v>360</v>
      </c>
      <c r="M76" s="23" t="n">
        <v>1</v>
      </c>
      <c r="N76" s="45" t="n">
        <v>21</v>
      </c>
      <c r="O76" s="24" t="n">
        <f aca="false">L76*M76*N76</f>
        <v>7560</v>
      </c>
      <c r="Q76" s="23" t="n">
        <v>1</v>
      </c>
      <c r="R76" s="23" t="n">
        <v>1</v>
      </c>
      <c r="S76" s="23" t="n">
        <v>23</v>
      </c>
      <c r="T76" s="23" t="n">
        <v>23</v>
      </c>
      <c r="U76" s="23" t="s">
        <v>118</v>
      </c>
      <c r="V76" s="23" t="n">
        <v>65</v>
      </c>
      <c r="W76" s="23" t="s">
        <v>71</v>
      </c>
      <c r="X76" s="23" t="n">
        <v>11</v>
      </c>
      <c r="Z76" s="23" t="n">
        <v>12</v>
      </c>
      <c r="AB76" s="23" t="n">
        <v>40</v>
      </c>
      <c r="AC76" s="23" t="s">
        <v>71</v>
      </c>
      <c r="AD76" s="23" t="n">
        <v>11</v>
      </c>
      <c r="AF76" s="23" t="n">
        <v>16</v>
      </c>
    </row>
    <row r="77" s="23" customFormat="true" ht="15" hidden="false" customHeight="false" outlineLevel="0" collapsed="false">
      <c r="A77" s="23" t="n">
        <v>7286</v>
      </c>
      <c r="B77" s="23" t="n">
        <v>35528472</v>
      </c>
      <c r="C77" s="23" t="s">
        <v>341</v>
      </c>
      <c r="D77" s="23" t="s">
        <v>342</v>
      </c>
      <c r="E77" s="23" t="s">
        <v>343</v>
      </c>
      <c r="F77" s="23" t="n">
        <v>2021</v>
      </c>
      <c r="G77" s="23" t="s">
        <v>344</v>
      </c>
      <c r="H77" s="23" t="n">
        <v>1</v>
      </c>
      <c r="I77" s="23" t="s">
        <v>51</v>
      </c>
      <c r="J77" s="23" t="s">
        <v>33</v>
      </c>
      <c r="K77" s="27" t="n">
        <v>7</v>
      </c>
      <c r="L77" s="23" t="n">
        <v>360</v>
      </c>
      <c r="M77" s="23" t="n">
        <v>1</v>
      </c>
      <c r="N77" s="24" t="n">
        <v>21</v>
      </c>
      <c r="O77" s="24" t="n">
        <f aca="false">N77*L77</f>
        <v>7560</v>
      </c>
      <c r="Q77" s="23" t="n">
        <v>24</v>
      </c>
      <c r="R77" s="23" t="n">
        <v>2</v>
      </c>
      <c r="S77" s="23" t="n">
        <v>12</v>
      </c>
      <c r="T77" s="23" t="n">
        <v>12</v>
      </c>
      <c r="U77" s="51" t="s">
        <v>535</v>
      </c>
      <c r="V77" s="23" t="n">
        <v>85</v>
      </c>
      <c r="W77" s="23" t="s">
        <v>71</v>
      </c>
      <c r="X77" s="46"/>
      <c r="Z77" s="23" t="n">
        <v>7</v>
      </c>
      <c r="AB77" s="23" t="n">
        <v>53</v>
      </c>
      <c r="AC77" s="23" t="s">
        <v>71</v>
      </c>
      <c r="AD77" s="46"/>
      <c r="AF77" s="23" t="n">
        <v>9</v>
      </c>
      <c r="AG77" s="24"/>
    </row>
    <row r="78" s="23" customFormat="true" ht="15" hidden="false" customHeight="false" outlineLevel="0" collapsed="false">
      <c r="A78" s="23" t="n">
        <v>7592</v>
      </c>
      <c r="B78" s="23" t="n">
        <v>33505499</v>
      </c>
      <c r="C78" s="23" t="s">
        <v>353</v>
      </c>
      <c r="D78" s="23" t="s">
        <v>354</v>
      </c>
      <c r="E78" s="23" t="s">
        <v>355</v>
      </c>
      <c r="F78" s="23" t="n">
        <v>2021</v>
      </c>
      <c r="G78" s="23" t="s">
        <v>356</v>
      </c>
      <c r="H78" s="23" t="n">
        <v>1</v>
      </c>
      <c r="I78" s="23" t="s">
        <v>32</v>
      </c>
      <c r="J78" s="23" t="s">
        <v>33</v>
      </c>
      <c r="K78" s="27"/>
      <c r="L78" s="23" t="n">
        <v>180</v>
      </c>
      <c r="M78" s="23" t="n">
        <v>1</v>
      </c>
      <c r="N78" s="24" t="n">
        <v>21</v>
      </c>
      <c r="O78" s="24" t="n">
        <f aca="false">N78*L78</f>
        <v>3780</v>
      </c>
      <c r="Q78" s="23" t="n">
        <v>3</v>
      </c>
      <c r="R78" s="23" t="n">
        <v>1</v>
      </c>
      <c r="S78" s="23" t="n">
        <v>24</v>
      </c>
      <c r="T78" s="23" t="n">
        <v>24</v>
      </c>
      <c r="U78" s="51" t="s">
        <v>570</v>
      </c>
      <c r="V78" s="23" t="n">
        <v>73</v>
      </c>
      <c r="W78" s="23" t="s">
        <v>71</v>
      </c>
      <c r="X78" s="23" t="n">
        <v>8</v>
      </c>
      <c r="Z78" s="23" t="n">
        <v>7</v>
      </c>
      <c r="AB78" s="23" t="n">
        <v>46</v>
      </c>
      <c r="AC78" s="23" t="s">
        <v>71</v>
      </c>
      <c r="AD78" s="23" t="n">
        <v>8</v>
      </c>
      <c r="AF78" s="23" t="n">
        <v>3</v>
      </c>
      <c r="AG78" s="24"/>
    </row>
    <row r="79" s="23" customFormat="true" ht="15" hidden="false" customHeight="false" outlineLevel="0" collapsed="false">
      <c r="A79" s="23" t="n">
        <v>7660</v>
      </c>
      <c r="C79" s="23" t="s">
        <v>357</v>
      </c>
      <c r="D79" s="23" t="s">
        <v>358</v>
      </c>
      <c r="E79" s="23" t="s">
        <v>74</v>
      </c>
      <c r="F79" s="23" t="n">
        <v>2024</v>
      </c>
      <c r="G79" s="23" t="s">
        <v>359</v>
      </c>
      <c r="H79" s="23" t="n">
        <v>1</v>
      </c>
      <c r="I79" s="23" t="s">
        <v>360</v>
      </c>
      <c r="J79" s="23" t="s">
        <v>360</v>
      </c>
      <c r="K79" s="23" t="s">
        <v>360</v>
      </c>
      <c r="L79" s="23" t="n">
        <v>360</v>
      </c>
      <c r="M79" s="23" t="n">
        <v>1</v>
      </c>
      <c r="N79" s="24" t="n">
        <v>21</v>
      </c>
      <c r="O79" s="24" t="n">
        <f aca="false">L79*M79*N79</f>
        <v>7560</v>
      </c>
      <c r="P79" s="23" t="s">
        <v>361</v>
      </c>
      <c r="Q79" s="23" t="n">
        <v>1</v>
      </c>
      <c r="R79" s="46"/>
      <c r="S79" s="46"/>
      <c r="T79" s="46"/>
      <c r="U79" s="23" t="s">
        <v>46</v>
      </c>
      <c r="V79" s="23" t="n">
        <v>83</v>
      </c>
      <c r="W79" s="23" t="s">
        <v>71</v>
      </c>
      <c r="X79" s="23" t="n">
        <v>8</v>
      </c>
      <c r="Z79" s="23" t="n">
        <v>17</v>
      </c>
      <c r="AB79" s="23" t="n">
        <v>73</v>
      </c>
      <c r="AC79" s="23" t="s">
        <v>71</v>
      </c>
      <c r="AD79" s="23" t="n">
        <v>8</v>
      </c>
      <c r="AF79" s="23" t="n">
        <v>28</v>
      </c>
    </row>
    <row r="80" s="23" customFormat="true" ht="15" hidden="false" customHeight="false" outlineLevel="0" collapsed="false">
      <c r="A80" s="23" t="n">
        <v>7812</v>
      </c>
      <c r="B80" s="23" t="n">
        <v>36345420</v>
      </c>
      <c r="C80" s="23" t="s">
        <v>571</v>
      </c>
      <c r="D80" s="23" t="s">
        <v>572</v>
      </c>
      <c r="E80" s="23" t="s">
        <v>573</v>
      </c>
      <c r="F80" s="23" t="n">
        <v>2022</v>
      </c>
      <c r="G80" s="23" t="s">
        <v>574</v>
      </c>
      <c r="H80" s="23" t="n">
        <v>1</v>
      </c>
      <c r="I80" s="23" t="s">
        <v>32</v>
      </c>
      <c r="J80" s="23" t="s">
        <v>33</v>
      </c>
      <c r="K80" s="27" t="n">
        <v>4</v>
      </c>
      <c r="L80" s="23" t="n">
        <v>240</v>
      </c>
      <c r="M80" s="23" t="n">
        <v>1</v>
      </c>
      <c r="N80" s="24" t="n">
        <v>28</v>
      </c>
      <c r="O80" s="24" t="n">
        <f aca="false">N80*L80</f>
        <v>6720</v>
      </c>
      <c r="P80" s="23" t="s">
        <v>575</v>
      </c>
      <c r="Q80" s="23" t="n">
        <v>2</v>
      </c>
      <c r="R80" s="23" t="n">
        <v>1</v>
      </c>
      <c r="S80" s="46"/>
      <c r="T80" s="46"/>
      <c r="U80" s="51" t="s">
        <v>243</v>
      </c>
      <c r="V80" s="23" t="n">
        <v>91</v>
      </c>
      <c r="W80" s="23" t="s">
        <v>71</v>
      </c>
      <c r="X80" s="23" t="n">
        <v>12</v>
      </c>
      <c r="Z80" s="23" t="n">
        <v>3</v>
      </c>
      <c r="AB80" s="23" t="n">
        <v>74</v>
      </c>
      <c r="AC80" s="23" t="s">
        <v>71</v>
      </c>
      <c r="AD80" s="23" t="n">
        <v>12</v>
      </c>
      <c r="AF80" s="23" t="n">
        <v>9.5</v>
      </c>
      <c r="AG80" s="24"/>
    </row>
    <row r="81" s="23" customFormat="true" ht="15" hidden="false" customHeight="false" outlineLevel="0" collapsed="false">
      <c r="A81" s="23" t="n">
        <v>7864</v>
      </c>
      <c r="C81" s="23" t="s">
        <v>576</v>
      </c>
      <c r="D81" s="23" t="s">
        <v>577</v>
      </c>
      <c r="E81" s="23" t="s">
        <v>578</v>
      </c>
      <c r="F81" s="23" t="n">
        <v>2023</v>
      </c>
      <c r="G81" s="23" t="s">
        <v>579</v>
      </c>
      <c r="H81" s="23" t="n">
        <v>1</v>
      </c>
      <c r="I81" s="23" t="s">
        <v>32</v>
      </c>
      <c r="J81" s="23" t="s">
        <v>33</v>
      </c>
      <c r="K81" s="27" t="s">
        <v>580</v>
      </c>
      <c r="L81" s="23" t="n">
        <v>360</v>
      </c>
      <c r="M81" s="23" t="n">
        <v>1</v>
      </c>
      <c r="N81" s="24" t="n">
        <v>28</v>
      </c>
      <c r="O81" s="24" t="n">
        <f aca="false">L81*M81*N81</f>
        <v>10080</v>
      </c>
      <c r="Q81" s="23" t="n">
        <v>1</v>
      </c>
      <c r="R81" s="23" t="n">
        <v>1</v>
      </c>
      <c r="S81" s="23" t="n">
        <v>24</v>
      </c>
      <c r="T81" s="23" t="n">
        <v>24</v>
      </c>
      <c r="U81" s="23" t="s">
        <v>59</v>
      </c>
      <c r="V81" s="23" t="n">
        <v>71</v>
      </c>
      <c r="W81" s="23" t="s">
        <v>71</v>
      </c>
      <c r="X81" s="46"/>
      <c r="Z81" s="23" t="n">
        <v>1</v>
      </c>
      <c r="AB81" s="23" t="n">
        <v>46</v>
      </c>
      <c r="AC81" s="23" t="s">
        <v>71</v>
      </c>
      <c r="AD81" s="46"/>
      <c r="AF81" s="23" t="n">
        <v>1</v>
      </c>
    </row>
    <row r="82" s="23" customFormat="true" ht="15" hidden="false" customHeight="false" outlineLevel="0" collapsed="false">
      <c r="A82" s="37" t="n">
        <v>7875</v>
      </c>
      <c r="B82" s="37"/>
      <c r="C82" s="37" t="s">
        <v>581</v>
      </c>
      <c r="D82" s="37" t="s">
        <v>582</v>
      </c>
      <c r="E82" s="37" t="s">
        <v>583</v>
      </c>
      <c r="F82" s="37" t="n">
        <v>2017</v>
      </c>
      <c r="G82" s="37" t="s">
        <v>584</v>
      </c>
      <c r="H82" s="37" t="n">
        <v>1</v>
      </c>
      <c r="I82" s="23" t="s">
        <v>32</v>
      </c>
      <c r="J82" s="23" t="s">
        <v>33</v>
      </c>
      <c r="K82" s="27" t="s">
        <v>61</v>
      </c>
      <c r="L82" s="23" t="n">
        <v>360</v>
      </c>
      <c r="M82" s="23" t="n">
        <v>1</v>
      </c>
      <c r="N82" s="45" t="n">
        <v>7</v>
      </c>
      <c r="O82" s="24" t="n">
        <f aca="false">L82*M82*N82</f>
        <v>2520</v>
      </c>
      <c r="Q82" s="23" t="n">
        <v>1</v>
      </c>
      <c r="R82" s="23" t="n">
        <v>1</v>
      </c>
      <c r="S82" s="46"/>
      <c r="T82" s="46"/>
      <c r="U82" s="23" t="s">
        <v>77</v>
      </c>
      <c r="V82" s="23" t="n">
        <v>68</v>
      </c>
      <c r="W82" s="23" t="s">
        <v>71</v>
      </c>
      <c r="X82" s="23" t="n">
        <v>12</v>
      </c>
      <c r="Z82" s="23" t="n">
        <v>6</v>
      </c>
      <c r="AB82" s="23" t="n">
        <v>59</v>
      </c>
      <c r="AC82" s="23" t="s">
        <v>71</v>
      </c>
      <c r="AD82" s="23" t="n">
        <v>12</v>
      </c>
      <c r="AF82" s="23" t="n">
        <v>9</v>
      </c>
    </row>
    <row r="83" s="23" customFormat="true" ht="15" hidden="false" customHeight="false" outlineLevel="0" collapsed="false">
      <c r="A83" s="37" t="n">
        <v>7875</v>
      </c>
      <c r="B83" s="37"/>
      <c r="C83" s="37" t="s">
        <v>581</v>
      </c>
      <c r="D83" s="37" t="s">
        <v>582</v>
      </c>
      <c r="E83" s="37" t="s">
        <v>583</v>
      </c>
      <c r="F83" s="37" t="n">
        <v>2017</v>
      </c>
      <c r="G83" s="37" t="s">
        <v>584</v>
      </c>
      <c r="H83" s="37" t="n">
        <v>1</v>
      </c>
      <c r="I83" s="23" t="s">
        <v>32</v>
      </c>
      <c r="J83" s="23" t="s">
        <v>33</v>
      </c>
      <c r="K83" s="27" t="s">
        <v>61</v>
      </c>
      <c r="L83" s="23" t="n">
        <v>360</v>
      </c>
      <c r="M83" s="23" t="n">
        <v>1</v>
      </c>
      <c r="N83" s="45" t="n">
        <v>14</v>
      </c>
      <c r="O83" s="24" t="n">
        <f aca="false">L83*M83*N83</f>
        <v>5040</v>
      </c>
      <c r="Q83" s="23" t="n">
        <v>1</v>
      </c>
      <c r="R83" s="23" t="n">
        <v>1</v>
      </c>
      <c r="S83" s="46"/>
      <c r="T83" s="46"/>
      <c r="U83" s="23" t="s">
        <v>77</v>
      </c>
      <c r="V83" s="23" t="n">
        <v>68</v>
      </c>
      <c r="W83" s="23" t="s">
        <v>71</v>
      </c>
      <c r="X83" s="23" t="n">
        <v>12</v>
      </c>
      <c r="Z83" s="23" t="n">
        <v>6</v>
      </c>
      <c r="AB83" s="23" t="n">
        <v>46</v>
      </c>
      <c r="AC83" s="23" t="s">
        <v>71</v>
      </c>
      <c r="AD83" s="23" t="n">
        <v>12</v>
      </c>
      <c r="AF83" s="23" t="n">
        <v>6</v>
      </c>
    </row>
    <row r="84" s="23" customFormat="true" ht="15" hidden="false" customHeight="false" outlineLevel="0" collapsed="false">
      <c r="A84" s="37" t="n">
        <v>7875</v>
      </c>
      <c r="B84" s="37"/>
      <c r="C84" s="37" t="s">
        <v>581</v>
      </c>
      <c r="D84" s="37" t="s">
        <v>582</v>
      </c>
      <c r="E84" s="37" t="s">
        <v>583</v>
      </c>
      <c r="F84" s="37" t="n">
        <v>2017</v>
      </c>
      <c r="G84" s="37" t="s">
        <v>584</v>
      </c>
      <c r="H84" s="37" t="n">
        <v>1</v>
      </c>
      <c r="I84" s="23" t="s">
        <v>32</v>
      </c>
      <c r="J84" s="23" t="s">
        <v>33</v>
      </c>
      <c r="K84" s="27" t="s">
        <v>61</v>
      </c>
      <c r="L84" s="23" t="n">
        <v>360</v>
      </c>
      <c r="M84" s="23" t="n">
        <v>1</v>
      </c>
      <c r="N84" s="45" t="n">
        <v>21</v>
      </c>
      <c r="O84" s="24" t="n">
        <f aca="false">L84*M84*N84</f>
        <v>7560</v>
      </c>
      <c r="Q84" s="23" t="n">
        <v>1</v>
      </c>
      <c r="R84" s="23" t="n">
        <v>1</v>
      </c>
      <c r="S84" s="46"/>
      <c r="T84" s="46"/>
      <c r="U84" s="23" t="s">
        <v>77</v>
      </c>
      <c r="V84" s="23" t="n">
        <v>68</v>
      </c>
      <c r="W84" s="23" t="s">
        <v>71</v>
      </c>
      <c r="X84" s="23" t="n">
        <v>12</v>
      </c>
      <c r="Z84" s="23" t="n">
        <v>6</v>
      </c>
      <c r="AB84" s="23" t="n">
        <v>37</v>
      </c>
      <c r="AC84" s="23" t="s">
        <v>71</v>
      </c>
      <c r="AD84" s="23" t="n">
        <v>12</v>
      </c>
      <c r="AF84" s="23" t="n">
        <v>5</v>
      </c>
    </row>
    <row r="85" s="23" customFormat="true" ht="15" hidden="false" customHeight="false" outlineLevel="0" collapsed="false">
      <c r="A85" s="37" t="n">
        <v>7875</v>
      </c>
      <c r="B85" s="37"/>
      <c r="C85" s="37" t="s">
        <v>581</v>
      </c>
      <c r="D85" s="37" t="s">
        <v>582</v>
      </c>
      <c r="E85" s="37" t="s">
        <v>583</v>
      </c>
      <c r="F85" s="37" t="n">
        <v>2017</v>
      </c>
      <c r="G85" s="37" t="s">
        <v>584</v>
      </c>
      <c r="H85" s="37" t="n">
        <v>1</v>
      </c>
      <c r="I85" s="23" t="s">
        <v>32</v>
      </c>
      <c r="J85" s="23" t="s">
        <v>33</v>
      </c>
      <c r="K85" s="27" t="s">
        <v>61</v>
      </c>
      <c r="L85" s="23" t="n">
        <v>360</v>
      </c>
      <c r="M85" s="23" t="n">
        <v>1</v>
      </c>
      <c r="N85" s="45" t="n">
        <v>28</v>
      </c>
      <c r="O85" s="24" t="n">
        <f aca="false">L85*M85*N85</f>
        <v>10080</v>
      </c>
      <c r="Q85" s="23" t="n">
        <v>1</v>
      </c>
      <c r="R85" s="23" t="n">
        <v>1</v>
      </c>
      <c r="S85" s="46"/>
      <c r="T85" s="46"/>
      <c r="U85" s="23" t="s">
        <v>77</v>
      </c>
      <c r="V85" s="23" t="n">
        <v>68</v>
      </c>
      <c r="W85" s="23" t="s">
        <v>71</v>
      </c>
      <c r="X85" s="23" t="n">
        <v>12</v>
      </c>
      <c r="Z85" s="23" t="n">
        <v>6</v>
      </c>
      <c r="AB85" s="23" t="n">
        <v>33</v>
      </c>
      <c r="AC85" s="23" t="s">
        <v>71</v>
      </c>
      <c r="AD85" s="23" t="n">
        <v>12</v>
      </c>
      <c r="AF85" s="23" t="n">
        <v>6</v>
      </c>
    </row>
    <row r="86" s="23" customFormat="true" ht="15" hidden="false" customHeight="false" outlineLevel="0" collapsed="false">
      <c r="A86" s="23" t="n">
        <v>8438</v>
      </c>
      <c r="B86" s="23" t="n">
        <v>32188207</v>
      </c>
      <c r="C86" s="23" t="s">
        <v>585</v>
      </c>
      <c r="D86" s="23" t="s">
        <v>586</v>
      </c>
      <c r="E86" s="23" t="s">
        <v>587</v>
      </c>
      <c r="F86" s="23" t="n">
        <v>2017</v>
      </c>
      <c r="G86" s="23" t="s">
        <v>588</v>
      </c>
      <c r="H86" s="23" t="n">
        <v>1</v>
      </c>
      <c r="I86" s="23" t="s">
        <v>32</v>
      </c>
      <c r="J86" s="23" t="s">
        <v>33</v>
      </c>
      <c r="K86" s="27"/>
      <c r="L86" s="23" t="n">
        <v>360</v>
      </c>
      <c r="M86" s="23" t="n">
        <v>1</v>
      </c>
      <c r="N86" s="24" t="n">
        <v>28</v>
      </c>
      <c r="O86" s="24" t="n">
        <f aca="false">L86*M86*N86</f>
        <v>10080</v>
      </c>
      <c r="Q86" s="23" t="n">
        <v>1</v>
      </c>
      <c r="R86" s="23" t="n">
        <v>1</v>
      </c>
      <c r="S86" s="23" t="n">
        <v>23</v>
      </c>
      <c r="T86" s="23" t="n">
        <v>23</v>
      </c>
      <c r="U86" s="46"/>
      <c r="V86" s="46"/>
      <c r="W86" s="46"/>
      <c r="X86" s="46"/>
      <c r="Y86" s="46"/>
      <c r="Z86" s="46"/>
      <c r="AB86" s="46"/>
      <c r="AC86" s="46"/>
      <c r="AD86" s="46"/>
      <c r="AE86" s="46"/>
      <c r="AF86" s="46"/>
    </row>
    <row r="87" s="23" customFormat="true" ht="15" hidden="false" customHeight="false" outlineLevel="0" collapsed="false">
      <c r="A87" s="23" t="n">
        <v>8451</v>
      </c>
      <c r="C87" s="23" t="s">
        <v>378</v>
      </c>
      <c r="D87" s="23" t="s">
        <v>379</v>
      </c>
      <c r="E87" s="23" t="s">
        <v>380</v>
      </c>
      <c r="F87" s="23" t="n">
        <v>2025</v>
      </c>
      <c r="G87" s="23" t="s">
        <v>381</v>
      </c>
      <c r="H87" s="23" t="n">
        <v>1</v>
      </c>
      <c r="I87" s="23" t="s">
        <v>32</v>
      </c>
      <c r="J87" s="23" t="s">
        <v>33</v>
      </c>
      <c r="K87" s="27"/>
      <c r="L87" s="23" t="n">
        <v>480</v>
      </c>
      <c r="M87" s="23" t="n">
        <v>1</v>
      </c>
      <c r="N87" s="24" t="n">
        <v>14</v>
      </c>
      <c r="O87" s="24" t="n">
        <f aca="false">L87*M87*N87</f>
        <v>6720</v>
      </c>
      <c r="Q87" s="46"/>
      <c r="R87" s="46"/>
      <c r="S87" s="46"/>
      <c r="T87" s="46"/>
      <c r="U87" s="23" t="s">
        <v>35</v>
      </c>
      <c r="V87" s="23" t="n">
        <v>86</v>
      </c>
      <c r="W87" s="23" t="s">
        <v>71</v>
      </c>
      <c r="X87" s="23" t="n">
        <v>7</v>
      </c>
      <c r="Z87" s="23" t="n">
        <v>11</v>
      </c>
      <c r="AB87" s="23" t="n">
        <v>51</v>
      </c>
      <c r="AC87" s="23" t="s">
        <v>71</v>
      </c>
      <c r="AD87" s="23" t="n">
        <v>12</v>
      </c>
      <c r="AF87" s="23" t="n">
        <v>10</v>
      </c>
      <c r="AH87" s="23" t="s">
        <v>589</v>
      </c>
    </row>
    <row r="88" s="23" customFormat="true" ht="15" hidden="false" customHeight="false" outlineLevel="0" collapsed="false">
      <c r="A88" s="23" t="n">
        <v>8548</v>
      </c>
      <c r="C88" s="23" t="s">
        <v>387</v>
      </c>
      <c r="D88" s="23" t="s">
        <v>388</v>
      </c>
      <c r="E88" s="23" t="s">
        <v>389</v>
      </c>
      <c r="F88" s="23" t="n">
        <v>2024</v>
      </c>
      <c r="G88" s="23" t="s">
        <v>390</v>
      </c>
      <c r="H88" s="23" t="n">
        <v>1</v>
      </c>
      <c r="I88" s="23" t="s">
        <v>391</v>
      </c>
      <c r="J88" s="23" t="s">
        <v>33</v>
      </c>
      <c r="K88" s="27"/>
      <c r="L88" s="23" t="n">
        <v>120</v>
      </c>
      <c r="M88" s="23" t="n">
        <v>1</v>
      </c>
      <c r="N88" s="24" t="n">
        <v>14</v>
      </c>
      <c r="O88" s="24" t="n">
        <f aca="false">L88*M88*N88</f>
        <v>1680</v>
      </c>
      <c r="Q88" s="23" t="n">
        <v>24</v>
      </c>
      <c r="R88" s="23" t="n">
        <v>1</v>
      </c>
      <c r="S88" s="46"/>
      <c r="T88" s="46"/>
      <c r="U88" s="51" t="n">
        <v>2</v>
      </c>
      <c r="V88" s="46"/>
      <c r="W88" s="46"/>
      <c r="X88" s="46"/>
      <c r="Y88" s="46"/>
      <c r="Z88" s="46"/>
      <c r="AB88" s="46"/>
      <c r="AC88" s="46"/>
      <c r="AD88" s="46"/>
      <c r="AE88" s="46"/>
      <c r="AF88" s="46"/>
    </row>
    <row r="89" s="23" customFormat="true" ht="15" hidden="false" customHeight="false" outlineLevel="0" collapsed="false">
      <c r="A89" s="23" t="n">
        <v>8637</v>
      </c>
      <c r="C89" s="23" t="s">
        <v>397</v>
      </c>
      <c r="D89" s="23" t="s">
        <v>398</v>
      </c>
      <c r="E89" s="23" t="s">
        <v>74</v>
      </c>
      <c r="F89" s="23" t="n">
        <v>2025</v>
      </c>
      <c r="G89" s="23" t="s">
        <v>399</v>
      </c>
      <c r="H89" s="23" t="n">
        <v>1</v>
      </c>
      <c r="I89" s="23" t="s">
        <v>32</v>
      </c>
      <c r="J89" s="23" t="s">
        <v>400</v>
      </c>
      <c r="K89" s="27" t="s">
        <v>36</v>
      </c>
      <c r="L89" s="23" t="n">
        <v>45</v>
      </c>
      <c r="M89" s="23" t="n">
        <v>3</v>
      </c>
      <c r="N89" s="24" t="n">
        <v>7</v>
      </c>
      <c r="O89" s="24" t="n">
        <f aca="false">L89*M89*N89</f>
        <v>945</v>
      </c>
      <c r="P89" s="23" t="s">
        <v>401</v>
      </c>
      <c r="Q89" s="23" t="n">
        <v>12</v>
      </c>
      <c r="R89" s="23" t="n">
        <v>2</v>
      </c>
      <c r="S89" s="23" t="n">
        <v>24</v>
      </c>
      <c r="T89" s="23" t="n">
        <v>24</v>
      </c>
      <c r="U89" s="23" t="s">
        <v>140</v>
      </c>
      <c r="V89" s="23" t="n">
        <v>91</v>
      </c>
      <c r="W89" s="23" t="n">
        <v>7</v>
      </c>
      <c r="X89" s="23" t="n">
        <v>8</v>
      </c>
      <c r="Y89" s="23" t="n">
        <v>8</v>
      </c>
      <c r="Z89" s="26" t="n">
        <f aca="false">W89*(SQRT(Y89))</f>
        <v>19.7989898732233</v>
      </c>
      <c r="AB89" s="23" t="n">
        <v>74</v>
      </c>
      <c r="AC89" s="23" t="n">
        <v>9</v>
      </c>
      <c r="AD89" s="23" t="n">
        <v>18</v>
      </c>
      <c r="AE89" s="23" t="n">
        <v>18</v>
      </c>
      <c r="AF89" s="26" t="n">
        <f aca="false">AC89*(SQRT(AE89))</f>
        <v>38.1837661840736</v>
      </c>
    </row>
    <row r="90" customFormat="false" ht="15" hidden="false" customHeight="false" outlineLevel="0" collapsed="false">
      <c r="A90" s="37" t="n">
        <v>8767</v>
      </c>
      <c r="B90" s="37" t="n">
        <v>25315361</v>
      </c>
      <c r="C90" s="37" t="s">
        <v>406</v>
      </c>
      <c r="D90" s="37" t="s">
        <v>407</v>
      </c>
      <c r="E90" s="37" t="s">
        <v>127</v>
      </c>
      <c r="F90" s="37" t="n">
        <v>2015</v>
      </c>
      <c r="G90" s="37" t="s">
        <v>408</v>
      </c>
      <c r="H90" s="37" t="n">
        <v>1</v>
      </c>
      <c r="I90" s="23" t="s">
        <v>51</v>
      </c>
      <c r="J90" s="23" t="s">
        <v>33</v>
      </c>
      <c r="L90" s="23" t="n">
        <v>240</v>
      </c>
      <c r="M90" s="23" t="n">
        <v>1</v>
      </c>
      <c r="N90" s="45" t="n">
        <v>7</v>
      </c>
      <c r="O90" s="24" t="n">
        <f aca="false">N90*L90</f>
        <v>1680</v>
      </c>
      <c r="Q90" s="23" t="n">
        <v>24</v>
      </c>
      <c r="R90" s="23" t="n">
        <v>1</v>
      </c>
      <c r="S90" s="23" t="n">
        <v>0</v>
      </c>
      <c r="T90" s="23" t="n">
        <v>0</v>
      </c>
      <c r="U90" s="51" t="n">
        <v>2</v>
      </c>
      <c r="V90" s="23" t="n">
        <v>84</v>
      </c>
      <c r="W90" s="23" t="n">
        <v>2</v>
      </c>
      <c r="X90" s="27" t="s">
        <v>94</v>
      </c>
      <c r="Y90" s="23" t="n">
        <v>8</v>
      </c>
      <c r="Z90" s="26" t="n">
        <f aca="false">W90*(SQRT(Y90))</f>
        <v>5.65685424949238</v>
      </c>
      <c r="AA90" s="23"/>
      <c r="AB90" s="23" t="n">
        <v>74</v>
      </c>
      <c r="AC90" s="23" t="n">
        <v>3</v>
      </c>
      <c r="AD90" s="27" t="s">
        <v>94</v>
      </c>
      <c r="AE90" s="23" t="n">
        <v>8</v>
      </c>
      <c r="AF90" s="26" t="n">
        <f aca="false">AC90*(SQRT(AE90))</f>
        <v>8.48528137423857</v>
      </c>
    </row>
    <row r="91" customFormat="false" ht="15" hidden="false" customHeight="false" outlineLevel="0" collapsed="false">
      <c r="A91" s="37" t="n">
        <v>8767</v>
      </c>
      <c r="B91" s="37" t="n">
        <v>25315361</v>
      </c>
      <c r="C91" s="37" t="s">
        <v>406</v>
      </c>
      <c r="D91" s="37" t="s">
        <v>407</v>
      </c>
      <c r="E91" s="37" t="s">
        <v>127</v>
      </c>
      <c r="F91" s="37" t="n">
        <v>2015</v>
      </c>
      <c r="G91" s="37" t="s">
        <v>408</v>
      </c>
      <c r="H91" s="37" t="n">
        <v>1</v>
      </c>
      <c r="I91" s="23" t="s">
        <v>51</v>
      </c>
      <c r="J91" s="23" t="s">
        <v>33</v>
      </c>
      <c r="L91" s="23" t="n">
        <v>240</v>
      </c>
      <c r="M91" s="23" t="n">
        <v>1</v>
      </c>
      <c r="N91" s="45" t="n">
        <v>14</v>
      </c>
      <c r="O91" s="24" t="n">
        <f aca="false">N91*L91</f>
        <v>3360</v>
      </c>
      <c r="Q91" s="23" t="n">
        <v>24</v>
      </c>
      <c r="R91" s="23" t="n">
        <v>1</v>
      </c>
      <c r="S91" s="23" t="n">
        <v>0</v>
      </c>
      <c r="T91" s="23" t="n">
        <v>0</v>
      </c>
      <c r="U91" s="51" t="n">
        <v>2</v>
      </c>
      <c r="V91" s="23" t="n">
        <v>84</v>
      </c>
      <c r="W91" s="23" t="n">
        <v>2</v>
      </c>
      <c r="X91" s="27" t="s">
        <v>94</v>
      </c>
      <c r="Y91" s="23" t="n">
        <v>8</v>
      </c>
      <c r="Z91" s="26" t="n">
        <f aca="false">W91*(SQRT(Y91))</f>
        <v>5.65685424949238</v>
      </c>
      <c r="AA91" s="23"/>
      <c r="AB91" s="23" t="n">
        <v>67</v>
      </c>
      <c r="AC91" s="23" t="n">
        <v>2</v>
      </c>
      <c r="AD91" s="27" t="s">
        <v>94</v>
      </c>
      <c r="AE91" s="23" t="n">
        <v>8</v>
      </c>
      <c r="AF91" s="26" t="n">
        <f aca="false">AC91*(SQRT(AE91))</f>
        <v>5.65685424949238</v>
      </c>
    </row>
    <row r="92" customFormat="false" ht="15" hidden="false" customHeight="false" outlineLevel="0" collapsed="false">
      <c r="A92" s="37" t="n">
        <v>8767</v>
      </c>
      <c r="B92" s="37" t="n">
        <v>25315361</v>
      </c>
      <c r="C92" s="37" t="s">
        <v>406</v>
      </c>
      <c r="D92" s="37" t="s">
        <v>407</v>
      </c>
      <c r="E92" s="37" t="s">
        <v>127</v>
      </c>
      <c r="F92" s="37" t="n">
        <v>2015</v>
      </c>
      <c r="G92" s="37" t="s">
        <v>408</v>
      </c>
      <c r="H92" s="37" t="n">
        <v>1</v>
      </c>
      <c r="I92" s="23" t="s">
        <v>51</v>
      </c>
      <c r="J92" s="23" t="s">
        <v>33</v>
      </c>
      <c r="L92" s="23" t="n">
        <v>240</v>
      </c>
      <c r="M92" s="23" t="n">
        <v>1</v>
      </c>
      <c r="N92" s="45" t="n">
        <v>21</v>
      </c>
      <c r="O92" s="24" t="n">
        <f aca="false">N92*L92</f>
        <v>5040</v>
      </c>
      <c r="Q92" s="23" t="n">
        <v>24</v>
      </c>
      <c r="R92" s="23" t="n">
        <v>1</v>
      </c>
      <c r="S92" s="23" t="n">
        <v>0</v>
      </c>
      <c r="T92" s="23" t="n">
        <v>0</v>
      </c>
      <c r="U92" s="51" t="n">
        <v>2</v>
      </c>
      <c r="V92" s="23" t="n">
        <v>84</v>
      </c>
      <c r="W92" s="23" t="n">
        <v>2</v>
      </c>
      <c r="X92" s="27" t="s">
        <v>94</v>
      </c>
      <c r="Y92" s="23" t="n">
        <v>8</v>
      </c>
      <c r="Z92" s="26" t="n">
        <f aca="false">W92*(SQRT(Y92))</f>
        <v>5.65685424949238</v>
      </c>
      <c r="AA92" s="23"/>
      <c r="AB92" s="23" t="n">
        <v>61</v>
      </c>
      <c r="AC92" s="23" t="n">
        <v>3</v>
      </c>
      <c r="AD92" s="27" t="s">
        <v>94</v>
      </c>
      <c r="AE92" s="23" t="n">
        <v>8</v>
      </c>
      <c r="AF92" s="26" t="n">
        <f aca="false">AC92*(SQRT(AE92))</f>
        <v>8.48528137423857</v>
      </c>
    </row>
    <row r="93" customFormat="false" ht="15" hidden="false" customHeight="false" outlineLevel="0" collapsed="false">
      <c r="A93" s="37" t="n">
        <v>8767</v>
      </c>
      <c r="B93" s="37" t="n">
        <v>25315361</v>
      </c>
      <c r="C93" s="37" t="s">
        <v>406</v>
      </c>
      <c r="D93" s="37" t="s">
        <v>407</v>
      </c>
      <c r="E93" s="37" t="s">
        <v>127</v>
      </c>
      <c r="F93" s="37" t="n">
        <v>2015</v>
      </c>
      <c r="G93" s="37" t="s">
        <v>408</v>
      </c>
      <c r="H93" s="37" t="n">
        <v>1</v>
      </c>
      <c r="I93" s="23" t="s">
        <v>51</v>
      </c>
      <c r="J93" s="23" t="s">
        <v>33</v>
      </c>
      <c r="L93" s="23" t="n">
        <v>240</v>
      </c>
      <c r="M93" s="23" t="n">
        <v>1</v>
      </c>
      <c r="N93" s="45" t="n">
        <v>28</v>
      </c>
      <c r="O93" s="24" t="n">
        <f aca="false">N93*L93</f>
        <v>6720</v>
      </c>
      <c r="Q93" s="23" t="n">
        <v>24</v>
      </c>
      <c r="R93" s="23" t="n">
        <v>1</v>
      </c>
      <c r="S93" s="23" t="n">
        <v>0</v>
      </c>
      <c r="T93" s="23" t="n">
        <v>0</v>
      </c>
      <c r="U93" s="51" t="n">
        <v>2</v>
      </c>
      <c r="V93" s="23" t="n">
        <v>84</v>
      </c>
      <c r="W93" s="23" t="n">
        <v>2</v>
      </c>
      <c r="X93" s="27" t="s">
        <v>94</v>
      </c>
      <c r="Y93" s="23" t="n">
        <v>8</v>
      </c>
      <c r="Z93" s="26" t="n">
        <f aca="false">W93*(SQRT(Y93))</f>
        <v>5.65685424949238</v>
      </c>
      <c r="AA93" s="23"/>
      <c r="AB93" s="23" t="n">
        <v>59</v>
      </c>
      <c r="AC93" s="23" t="n">
        <v>2</v>
      </c>
      <c r="AD93" s="27" t="s">
        <v>94</v>
      </c>
      <c r="AE93" s="23" t="n">
        <v>8</v>
      </c>
      <c r="AF93" s="26" t="n">
        <f aca="false">AC93*(SQRT(AE93))</f>
        <v>5.65685424949238</v>
      </c>
    </row>
    <row r="94" customFormat="false" ht="15" hidden="false" customHeight="false" outlineLevel="0" collapsed="false">
      <c r="A94" s="37" t="n">
        <v>8767</v>
      </c>
      <c r="B94" s="37" t="n">
        <v>25315361</v>
      </c>
      <c r="C94" s="37" t="s">
        <v>406</v>
      </c>
      <c r="D94" s="37" t="s">
        <v>407</v>
      </c>
      <c r="E94" s="37" t="s">
        <v>127</v>
      </c>
      <c r="F94" s="37" t="n">
        <v>2015</v>
      </c>
      <c r="G94" s="37" t="s">
        <v>408</v>
      </c>
      <c r="H94" s="37" t="n">
        <v>1</v>
      </c>
      <c r="I94" s="23" t="s">
        <v>51</v>
      </c>
      <c r="J94" s="23" t="s">
        <v>33</v>
      </c>
      <c r="L94" s="23" t="n">
        <v>240</v>
      </c>
      <c r="M94" s="23" t="n">
        <v>1</v>
      </c>
      <c r="N94" s="45" t="n">
        <v>35</v>
      </c>
      <c r="O94" s="24" t="n">
        <f aca="false">N94*L94</f>
        <v>8400</v>
      </c>
      <c r="Q94" s="23" t="n">
        <v>24</v>
      </c>
      <c r="R94" s="23" t="n">
        <v>1</v>
      </c>
      <c r="S94" s="23" t="n">
        <v>0</v>
      </c>
      <c r="T94" s="23" t="n">
        <v>0</v>
      </c>
      <c r="U94" s="51" t="n">
        <v>2</v>
      </c>
      <c r="V94" s="23" t="n">
        <v>84</v>
      </c>
      <c r="W94" s="23" t="n">
        <v>2</v>
      </c>
      <c r="X94" s="27" t="s">
        <v>94</v>
      </c>
      <c r="Y94" s="23" t="n">
        <v>8</v>
      </c>
      <c r="Z94" s="26" t="n">
        <f aca="false">W94*(SQRT(Y94))</f>
        <v>5.65685424949238</v>
      </c>
      <c r="AA94" s="23"/>
      <c r="AB94" s="23" t="n">
        <v>58</v>
      </c>
      <c r="AC94" s="23" t="n">
        <v>4</v>
      </c>
      <c r="AD94" s="27" t="s">
        <v>94</v>
      </c>
      <c r="AE94" s="23" t="n">
        <v>8</v>
      </c>
      <c r="AF94" s="26" t="n">
        <f aca="false">AC94*(SQRT(AE94))</f>
        <v>11.3137084989848</v>
      </c>
    </row>
    <row r="95" customFormat="false" ht="15" hidden="false" customHeight="false" outlineLevel="0" collapsed="false">
      <c r="A95" s="37" t="n">
        <v>8767</v>
      </c>
      <c r="B95" s="37" t="n">
        <v>25315361</v>
      </c>
      <c r="C95" s="37" t="s">
        <v>406</v>
      </c>
      <c r="D95" s="37" t="s">
        <v>407</v>
      </c>
      <c r="E95" s="37" t="s">
        <v>127</v>
      </c>
      <c r="F95" s="37" t="n">
        <v>2015</v>
      </c>
      <c r="G95" s="37" t="s">
        <v>408</v>
      </c>
      <c r="H95" s="37" t="n">
        <v>1</v>
      </c>
      <c r="I95" s="23" t="s">
        <v>51</v>
      </c>
      <c r="J95" s="23" t="s">
        <v>33</v>
      </c>
      <c r="L95" s="23" t="n">
        <v>240</v>
      </c>
      <c r="M95" s="23" t="n">
        <v>1</v>
      </c>
      <c r="N95" s="45" t="n">
        <v>42</v>
      </c>
      <c r="O95" s="24" t="n">
        <f aca="false">N95*L95</f>
        <v>10080</v>
      </c>
      <c r="Q95" s="23" t="n">
        <v>24</v>
      </c>
      <c r="R95" s="23" t="n">
        <v>1</v>
      </c>
      <c r="S95" s="23" t="n">
        <v>0</v>
      </c>
      <c r="T95" s="23" t="n">
        <v>0</v>
      </c>
      <c r="U95" s="51" t="n">
        <v>2</v>
      </c>
      <c r="V95" s="23" t="n">
        <v>84</v>
      </c>
      <c r="W95" s="23" t="n">
        <v>2</v>
      </c>
      <c r="X95" s="27" t="s">
        <v>94</v>
      </c>
      <c r="Y95" s="23" t="n">
        <v>8</v>
      </c>
      <c r="Z95" s="26" t="n">
        <f aca="false">W95*(SQRT(Y95))</f>
        <v>5.65685424949238</v>
      </c>
      <c r="AA95" s="23"/>
      <c r="AB95" s="23" t="n">
        <v>51</v>
      </c>
      <c r="AC95" s="23" t="n">
        <v>4</v>
      </c>
      <c r="AD95" s="27" t="s">
        <v>94</v>
      </c>
      <c r="AE95" s="23" t="n">
        <v>8</v>
      </c>
      <c r="AF95" s="26" t="n">
        <f aca="false">AC95*(SQRT(AE95))</f>
        <v>11.3137084989848</v>
      </c>
    </row>
    <row r="96" customFormat="false" ht="15" hidden="false" customHeight="false" outlineLevel="0" collapsed="false">
      <c r="A96" s="23" t="n">
        <v>8885</v>
      </c>
      <c r="B96" s="23" t="n">
        <v>33766670</v>
      </c>
      <c r="C96" s="23" t="s">
        <v>409</v>
      </c>
      <c r="D96" s="23" t="s">
        <v>410</v>
      </c>
      <c r="E96" s="23" t="s">
        <v>411</v>
      </c>
      <c r="F96" s="23" t="n">
        <v>2021</v>
      </c>
      <c r="G96" s="23" t="s">
        <v>412</v>
      </c>
      <c r="H96" s="23" t="n">
        <v>1</v>
      </c>
      <c r="I96" s="23" t="s">
        <v>51</v>
      </c>
      <c r="J96" s="23" t="s">
        <v>33</v>
      </c>
      <c r="L96" s="23" t="n">
        <v>360</v>
      </c>
      <c r="M96" s="23" t="n">
        <v>1</v>
      </c>
      <c r="N96" s="24" t="n">
        <v>28</v>
      </c>
      <c r="O96" s="24" t="n">
        <f aca="false">N96*L96</f>
        <v>10080</v>
      </c>
      <c r="Q96" s="23" t="n">
        <v>1</v>
      </c>
      <c r="R96" s="23" t="n">
        <v>1</v>
      </c>
      <c r="S96" s="23" t="n">
        <v>23</v>
      </c>
      <c r="T96" s="23" t="n">
        <v>23</v>
      </c>
      <c r="U96" s="51" t="s">
        <v>590</v>
      </c>
      <c r="V96" s="23" t="n">
        <v>81</v>
      </c>
      <c r="W96" s="23" t="n">
        <v>2.7</v>
      </c>
      <c r="X96" s="23" t="n">
        <v>8</v>
      </c>
      <c r="Y96" s="23" t="n">
        <v>8</v>
      </c>
      <c r="Z96" s="26" t="n">
        <f aca="false">W96*(SQRT(Y96))</f>
        <v>7.63675323681471</v>
      </c>
      <c r="AA96" s="23"/>
      <c r="AB96" s="23" t="n">
        <v>71</v>
      </c>
      <c r="AC96" s="23" t="n">
        <v>1.8</v>
      </c>
      <c r="AD96" s="23" t="n">
        <v>8</v>
      </c>
      <c r="AE96" s="23" t="n">
        <v>8</v>
      </c>
      <c r="AF96" s="26" t="n">
        <f aca="false">AC96*(SQRT(AE96))</f>
        <v>5.09116882454314</v>
      </c>
    </row>
    <row r="97" customFormat="false" ht="15" hidden="false" customHeight="false" outlineLevel="0" collapsed="false">
      <c r="A97" s="37" t="n">
        <v>8955</v>
      </c>
      <c r="B97" s="37" t="n">
        <v>26010004</v>
      </c>
      <c r="C97" s="37" t="s">
        <v>413</v>
      </c>
      <c r="D97" s="37" t="s">
        <v>414</v>
      </c>
      <c r="E97" s="37" t="s">
        <v>415</v>
      </c>
      <c r="F97" s="37" t="n">
        <v>2015</v>
      </c>
      <c r="G97" s="37" t="s">
        <v>416</v>
      </c>
      <c r="H97" s="37" t="n">
        <v>1</v>
      </c>
      <c r="I97" s="23" t="s">
        <v>32</v>
      </c>
      <c r="J97" s="23" t="s">
        <v>33</v>
      </c>
      <c r="L97" s="24" t="n">
        <v>150</v>
      </c>
      <c r="M97" s="23" t="n">
        <v>1</v>
      </c>
      <c r="N97" s="37" t="n">
        <v>7</v>
      </c>
      <c r="O97" s="24" t="n">
        <f aca="false">N97*L97</f>
        <v>1050</v>
      </c>
      <c r="Q97" s="46"/>
      <c r="R97" s="23" t="n">
        <v>1</v>
      </c>
      <c r="S97" s="23" t="n">
        <v>1</v>
      </c>
      <c r="T97" s="23" t="n">
        <v>1</v>
      </c>
      <c r="U97" s="51" t="n">
        <v>2</v>
      </c>
      <c r="V97" s="23" t="n">
        <v>90</v>
      </c>
      <c r="W97" s="23" t="n">
        <v>5</v>
      </c>
      <c r="X97" s="23" t="n">
        <v>8</v>
      </c>
      <c r="Y97" s="23" t="n">
        <v>8</v>
      </c>
      <c r="Z97" s="26" t="n">
        <f aca="false">W97*(SQRT(Y97))</f>
        <v>14.142135623731</v>
      </c>
      <c r="AA97" s="23"/>
      <c r="AB97" s="23" t="n">
        <v>48</v>
      </c>
      <c r="AC97" s="23" t="n">
        <v>6.5</v>
      </c>
      <c r="AD97" s="23" t="n">
        <v>8</v>
      </c>
      <c r="AE97" s="23" t="n">
        <v>8</v>
      </c>
      <c r="AF97" s="26" t="n">
        <f aca="false">AC97*(SQRT(AE97))</f>
        <v>18.3847763108502</v>
      </c>
    </row>
    <row r="98" customFormat="false" ht="15" hidden="false" customHeight="false" outlineLevel="0" collapsed="false">
      <c r="A98" s="37" t="n">
        <v>8955</v>
      </c>
      <c r="B98" s="37" t="n">
        <v>26010004</v>
      </c>
      <c r="C98" s="37" t="s">
        <v>413</v>
      </c>
      <c r="D98" s="37" t="s">
        <v>414</v>
      </c>
      <c r="E98" s="37" t="s">
        <v>415</v>
      </c>
      <c r="F98" s="37" t="n">
        <v>2015</v>
      </c>
      <c r="G98" s="37" t="s">
        <v>416</v>
      </c>
      <c r="H98" s="37" t="n">
        <v>1</v>
      </c>
      <c r="I98" s="23" t="s">
        <v>32</v>
      </c>
      <c r="J98" s="23" t="s">
        <v>33</v>
      </c>
      <c r="L98" s="24" t="n">
        <v>150</v>
      </c>
      <c r="M98" s="23" t="n">
        <v>1</v>
      </c>
      <c r="N98" s="37" t="n">
        <v>14</v>
      </c>
      <c r="O98" s="24" t="n">
        <f aca="false">N98*L98</f>
        <v>2100</v>
      </c>
      <c r="Q98" s="46"/>
      <c r="R98" s="23" t="n">
        <v>1</v>
      </c>
      <c r="S98" s="23" t="n">
        <v>1</v>
      </c>
      <c r="T98" s="23" t="n">
        <v>1</v>
      </c>
      <c r="U98" s="51" t="n">
        <v>2</v>
      </c>
      <c r="V98" s="23" t="n">
        <v>90</v>
      </c>
      <c r="W98" s="23" t="n">
        <v>5</v>
      </c>
      <c r="X98" s="23" t="n">
        <v>8</v>
      </c>
      <c r="Y98" s="23" t="n">
        <v>8</v>
      </c>
      <c r="Z98" s="26" t="n">
        <f aca="false">W98*(SQRT(Y98))</f>
        <v>14.142135623731</v>
      </c>
      <c r="AA98" s="23"/>
      <c r="AB98" s="23" t="n">
        <v>59</v>
      </c>
      <c r="AC98" s="23" t="n">
        <v>4</v>
      </c>
      <c r="AD98" s="23" t="n">
        <v>8</v>
      </c>
      <c r="AE98" s="23" t="n">
        <v>8</v>
      </c>
      <c r="AF98" s="26" t="n">
        <f aca="false">AC98*(SQRT(AE98))</f>
        <v>11.3137084989848</v>
      </c>
    </row>
    <row r="99" s="23" customFormat="true" ht="15" hidden="false" customHeight="false" outlineLevel="0" collapsed="false">
      <c r="A99" s="23" t="n">
        <v>8977</v>
      </c>
      <c r="C99" s="23" t="s">
        <v>591</v>
      </c>
      <c r="D99" s="23" t="s">
        <v>592</v>
      </c>
      <c r="E99" s="23" t="s">
        <v>593</v>
      </c>
      <c r="F99" s="23" t="n">
        <v>2020</v>
      </c>
      <c r="G99" s="23" t="s">
        <v>594</v>
      </c>
      <c r="H99" s="23" t="n">
        <v>1</v>
      </c>
      <c r="I99" s="23" t="s">
        <v>32</v>
      </c>
      <c r="J99" s="23" t="s">
        <v>400</v>
      </c>
      <c r="K99" s="27" t="s">
        <v>41</v>
      </c>
      <c r="L99" s="23" t="n">
        <v>45</v>
      </c>
      <c r="M99" s="23" t="n">
        <v>3</v>
      </c>
      <c r="N99" s="24" t="n">
        <v>7</v>
      </c>
      <c r="O99" s="24" t="n">
        <f aca="false">L99*M99*N99</f>
        <v>945</v>
      </c>
      <c r="P99" s="23" t="s">
        <v>595</v>
      </c>
      <c r="Q99" s="23" t="n">
        <v>24</v>
      </c>
      <c r="R99" s="23" t="n">
        <v>1</v>
      </c>
      <c r="S99" s="46"/>
      <c r="T99" s="46"/>
      <c r="U99" s="46"/>
      <c r="V99" s="46"/>
      <c r="W99" s="46"/>
      <c r="X99" s="46"/>
      <c r="Y99" s="46"/>
      <c r="Z99" s="46"/>
      <c r="AB99" s="46"/>
      <c r="AC99" s="46"/>
      <c r="AD99" s="46"/>
      <c r="AE99" s="46"/>
      <c r="AF99" s="46"/>
    </row>
    <row r="100" s="23" customFormat="true" ht="16.4" hidden="false" customHeight="false" outlineLevel="0" collapsed="false">
      <c r="A100" s="23" t="n">
        <v>8989</v>
      </c>
      <c r="C100" s="41" t="s">
        <v>423</v>
      </c>
      <c r="D100" s="41" t="s">
        <v>596</v>
      </c>
      <c r="E100" s="41" t="s">
        <v>425</v>
      </c>
      <c r="F100" s="41" t="n">
        <v>2023</v>
      </c>
      <c r="G100" s="23" t="s">
        <v>426</v>
      </c>
      <c r="H100" s="23" t="n">
        <v>1</v>
      </c>
      <c r="I100" s="23" t="s">
        <v>51</v>
      </c>
      <c r="J100" s="23" t="s">
        <v>33</v>
      </c>
      <c r="K100" s="27"/>
      <c r="L100" s="23" t="n">
        <v>360</v>
      </c>
      <c r="M100" s="23" t="n">
        <v>1</v>
      </c>
      <c r="N100" s="24" t="n">
        <v>21</v>
      </c>
      <c r="O100" s="24" t="n">
        <f aca="false">L100*M100*N100</f>
        <v>7560</v>
      </c>
      <c r="Q100" s="46" t="s">
        <v>153</v>
      </c>
      <c r="R100" s="23" t="n">
        <v>1</v>
      </c>
      <c r="S100" s="46"/>
      <c r="T100" s="46"/>
      <c r="U100" s="23" t="s">
        <v>140</v>
      </c>
      <c r="V100" s="23" t="n">
        <v>84</v>
      </c>
      <c r="W100" s="23" t="s">
        <v>71</v>
      </c>
      <c r="X100" s="23" t="n">
        <v>6</v>
      </c>
      <c r="Z100" s="23" t="n">
        <v>8</v>
      </c>
      <c r="AB100" s="23" t="n">
        <v>41</v>
      </c>
      <c r="AC100" s="23" t="s">
        <v>71</v>
      </c>
      <c r="AD100" s="23" t="n">
        <v>6</v>
      </c>
      <c r="AF100" s="23" t="n">
        <v>9</v>
      </c>
    </row>
    <row r="101" s="23" customFormat="true" ht="16.4" hidden="false" customHeight="false" outlineLevel="0" collapsed="false">
      <c r="A101" s="23" t="n">
        <v>9120</v>
      </c>
      <c r="C101" s="41" t="s">
        <v>434</v>
      </c>
      <c r="D101" s="41" t="s">
        <v>435</v>
      </c>
      <c r="E101" s="41" t="s">
        <v>436</v>
      </c>
      <c r="F101" s="41" t="n">
        <v>2023</v>
      </c>
      <c r="G101" s="42" t="s">
        <v>437</v>
      </c>
      <c r="H101" s="23" t="n">
        <v>1</v>
      </c>
      <c r="I101" s="23" t="s">
        <v>438</v>
      </c>
      <c r="J101" s="23" t="s">
        <v>33</v>
      </c>
      <c r="K101" s="27" t="s">
        <v>168</v>
      </c>
      <c r="L101" s="23" t="n">
        <v>30</v>
      </c>
      <c r="M101" s="23" t="n">
        <v>1</v>
      </c>
      <c r="N101" s="24" t="n">
        <v>10</v>
      </c>
      <c r="O101" s="24" t="n">
        <f aca="false">L101*M101*N101</f>
        <v>300</v>
      </c>
      <c r="Q101" s="46"/>
      <c r="R101" s="46"/>
      <c r="S101" s="46"/>
      <c r="T101" s="46"/>
      <c r="U101" s="46"/>
      <c r="V101" s="46"/>
      <c r="W101" s="46"/>
      <c r="X101" s="46"/>
      <c r="Y101" s="46"/>
      <c r="Z101" s="46"/>
      <c r="AB101" s="46"/>
      <c r="AC101" s="46"/>
      <c r="AD101" s="46"/>
      <c r="AE101" s="46"/>
      <c r="AF101" s="46"/>
    </row>
    <row r="102" s="23" customFormat="true" ht="15" hidden="false" customHeight="false" outlineLevel="0" collapsed="false">
      <c r="A102" s="23" t="n">
        <v>9208</v>
      </c>
      <c r="B102" s="23" t="n">
        <v>38768165</v>
      </c>
      <c r="C102" s="23" t="s">
        <v>597</v>
      </c>
      <c r="D102" s="23" t="s">
        <v>598</v>
      </c>
      <c r="E102" s="23" t="s">
        <v>375</v>
      </c>
      <c r="F102" s="23" t="n">
        <v>2024</v>
      </c>
      <c r="G102" s="23" t="s">
        <v>599</v>
      </c>
      <c r="H102" s="23" t="n">
        <v>1</v>
      </c>
      <c r="I102" s="23" t="s">
        <v>32</v>
      </c>
      <c r="J102" s="23" t="s">
        <v>33</v>
      </c>
      <c r="K102" s="27"/>
      <c r="L102" s="23" t="n">
        <v>480</v>
      </c>
      <c r="M102" s="23" t="n">
        <v>1</v>
      </c>
      <c r="N102" s="24" t="n">
        <v>28</v>
      </c>
      <c r="O102" s="24" t="n">
        <f aca="false">N102*L102</f>
        <v>13440</v>
      </c>
      <c r="P102" s="23" t="s">
        <v>600</v>
      </c>
      <c r="Q102" s="23" t="n">
        <v>1</v>
      </c>
      <c r="R102" s="46"/>
      <c r="S102" s="23" t="n">
        <v>24</v>
      </c>
      <c r="T102" s="23" t="n">
        <v>24</v>
      </c>
      <c r="U102" s="60"/>
      <c r="V102" s="23" t="n">
        <v>96</v>
      </c>
      <c r="W102" s="46"/>
      <c r="X102" s="23" t="n">
        <v>6</v>
      </c>
      <c r="Z102" s="46"/>
      <c r="AB102" s="23" t="n">
        <v>70</v>
      </c>
      <c r="AC102" s="46"/>
      <c r="AD102" s="23" t="n">
        <v>6</v>
      </c>
      <c r="AF102" s="46"/>
      <c r="AG102" s="24"/>
    </row>
    <row r="103" customFormat="false" ht="15" hidden="false" customHeight="false" outlineLevel="0" collapsed="false">
      <c r="A103" s="23" t="n">
        <v>9234</v>
      </c>
      <c r="B103" s="23" t="n">
        <v>35925279</v>
      </c>
      <c r="C103" s="23" t="s">
        <v>601</v>
      </c>
      <c r="D103" s="23" t="s">
        <v>602</v>
      </c>
      <c r="E103" s="23" t="s">
        <v>127</v>
      </c>
      <c r="F103" s="23" t="n">
        <v>2022</v>
      </c>
      <c r="G103" s="23" t="s">
        <v>603</v>
      </c>
      <c r="H103" s="23" t="n">
        <v>1</v>
      </c>
      <c r="I103" s="23" t="s">
        <v>123</v>
      </c>
      <c r="J103" s="23" t="s">
        <v>33</v>
      </c>
      <c r="K103" s="27" t="n">
        <v>8</v>
      </c>
      <c r="L103" s="23" t="n">
        <v>360</v>
      </c>
      <c r="M103" s="23" t="n">
        <v>1</v>
      </c>
      <c r="N103" s="24" t="n">
        <v>28</v>
      </c>
      <c r="O103" s="24" t="n">
        <f aca="false">N103*L103</f>
        <v>10080</v>
      </c>
      <c r="Q103" s="23" t="n">
        <v>24</v>
      </c>
      <c r="R103" s="23" t="n">
        <v>1</v>
      </c>
      <c r="S103" s="23" t="n">
        <v>0</v>
      </c>
      <c r="T103" s="23" t="n">
        <v>0</v>
      </c>
      <c r="U103" s="51" t="s">
        <v>604</v>
      </c>
      <c r="V103" s="23" t="n">
        <v>86</v>
      </c>
      <c r="W103" s="23" t="n">
        <v>1</v>
      </c>
      <c r="X103" s="27" t="s">
        <v>605</v>
      </c>
      <c r="Y103" s="23" t="n">
        <v>8</v>
      </c>
      <c r="Z103" s="26" t="n">
        <f aca="false">W103*(SQRT(Y103))</f>
        <v>2.82842712474619</v>
      </c>
      <c r="AA103" s="23"/>
      <c r="AB103" s="23" t="n">
        <v>88</v>
      </c>
      <c r="AC103" s="23" t="n">
        <v>1</v>
      </c>
      <c r="AD103" s="27" t="s">
        <v>605</v>
      </c>
      <c r="AE103" s="23" t="n">
        <v>8</v>
      </c>
      <c r="AF103" s="26" t="n">
        <f aca="false">AC103*(SQRT(AE103))</f>
        <v>2.82842712474619</v>
      </c>
    </row>
    <row r="104" s="23" customFormat="true" ht="15" hidden="false" customHeight="false" outlineLevel="0" collapsed="false">
      <c r="A104" s="23" t="n">
        <v>9442</v>
      </c>
      <c r="B104" s="23" t="n">
        <v>34704719</v>
      </c>
      <c r="C104" s="23" t="s">
        <v>443</v>
      </c>
      <c r="D104" s="23" t="s">
        <v>444</v>
      </c>
      <c r="E104" s="23" t="s">
        <v>445</v>
      </c>
      <c r="F104" s="23" t="n">
        <v>2021</v>
      </c>
      <c r="G104" s="23" t="s">
        <v>446</v>
      </c>
      <c r="H104" s="23" t="n">
        <v>1</v>
      </c>
      <c r="I104" s="23" t="s">
        <v>32</v>
      </c>
      <c r="J104" s="23" t="s">
        <v>33</v>
      </c>
      <c r="K104" s="27"/>
      <c r="L104" s="23" t="n">
        <v>360</v>
      </c>
      <c r="M104" s="23" t="n">
        <v>1</v>
      </c>
      <c r="N104" s="24" t="n">
        <v>21</v>
      </c>
      <c r="O104" s="24" t="n">
        <f aca="false">N104*L104</f>
        <v>7560</v>
      </c>
      <c r="Q104" s="23" t="n">
        <v>2</v>
      </c>
      <c r="R104" s="23" t="n">
        <v>2</v>
      </c>
      <c r="S104" s="23" t="n">
        <v>24</v>
      </c>
      <c r="T104" s="46"/>
      <c r="U104" s="51" t="s">
        <v>238</v>
      </c>
      <c r="V104" s="23" t="n">
        <v>83</v>
      </c>
      <c r="W104" s="23" t="s">
        <v>71</v>
      </c>
      <c r="X104" s="23" t="n">
        <v>10</v>
      </c>
      <c r="Z104" s="23" t="n">
        <v>3.6</v>
      </c>
      <c r="AB104" s="23" t="n">
        <v>68</v>
      </c>
      <c r="AC104" s="23" t="s">
        <v>71</v>
      </c>
      <c r="AD104" s="23" t="n">
        <v>10</v>
      </c>
      <c r="AF104" s="23" t="n">
        <v>10</v>
      </c>
      <c r="AG104" s="24"/>
    </row>
    <row r="105" s="23" customFormat="true" ht="16.4" hidden="false" customHeight="false" outlineLevel="0" collapsed="false">
      <c r="A105" s="23" t="n">
        <v>9638</v>
      </c>
      <c r="C105" s="41" t="s">
        <v>454</v>
      </c>
      <c r="D105" s="41" t="s">
        <v>455</v>
      </c>
      <c r="E105" s="41" t="s">
        <v>456</v>
      </c>
      <c r="F105" s="41" t="n">
        <v>2021</v>
      </c>
      <c r="G105" s="42" t="s">
        <v>457</v>
      </c>
      <c r="H105" s="23" t="n">
        <v>1</v>
      </c>
      <c r="I105" s="23" t="s">
        <v>51</v>
      </c>
      <c r="J105" s="23" t="s">
        <v>33</v>
      </c>
      <c r="K105" s="27" t="s">
        <v>168</v>
      </c>
      <c r="L105" s="23" t="n">
        <v>360</v>
      </c>
      <c r="M105" s="23" t="n">
        <v>1</v>
      </c>
      <c r="N105" s="24" t="n">
        <v>21</v>
      </c>
      <c r="O105" s="24" t="n">
        <f aca="false">L105*M105*N105</f>
        <v>7560</v>
      </c>
      <c r="P105" s="23" t="s">
        <v>458</v>
      </c>
      <c r="Q105" s="23" t="n">
        <v>12</v>
      </c>
      <c r="R105" s="23" t="n">
        <v>1</v>
      </c>
      <c r="S105" s="46"/>
      <c r="T105" s="46"/>
      <c r="U105" s="23" t="s">
        <v>535</v>
      </c>
      <c r="V105" s="23" t="n">
        <v>81</v>
      </c>
      <c r="W105" s="23" t="n">
        <v>5</v>
      </c>
      <c r="X105" s="23" t="n">
        <v>8</v>
      </c>
      <c r="Y105" s="23" t="n">
        <v>8</v>
      </c>
      <c r="Z105" s="26" t="n">
        <f aca="false">W105*(SQRT(Y105))</f>
        <v>14.142135623731</v>
      </c>
      <c r="AB105" s="23" t="n">
        <v>63</v>
      </c>
      <c r="AC105" s="23" t="n">
        <v>4</v>
      </c>
      <c r="AD105" s="23" t="n">
        <v>8</v>
      </c>
      <c r="AE105" s="23" t="n">
        <v>8</v>
      </c>
      <c r="AF105" s="26" t="n">
        <f aca="false">AC105*(SQRT(AE105))</f>
        <v>11.3137084989848</v>
      </c>
    </row>
    <row r="106" s="23" customFormat="true" ht="15" hidden="false" customHeight="false" outlineLevel="0" collapsed="false">
      <c r="A106" s="23" t="n">
        <v>9643</v>
      </c>
      <c r="C106" s="23" t="s">
        <v>459</v>
      </c>
      <c r="D106" s="23" t="s">
        <v>460</v>
      </c>
      <c r="E106" s="23" t="s">
        <v>461</v>
      </c>
      <c r="F106" s="23" t="n">
        <v>2019</v>
      </c>
      <c r="G106" s="23" t="s">
        <v>462</v>
      </c>
      <c r="H106" s="23" t="n">
        <v>1</v>
      </c>
      <c r="I106" s="23" t="s">
        <v>32</v>
      </c>
      <c r="J106" s="23" t="s">
        <v>33</v>
      </c>
      <c r="K106" s="27"/>
      <c r="L106" s="23" t="n">
        <v>180</v>
      </c>
      <c r="M106" s="23" t="n">
        <v>1</v>
      </c>
      <c r="N106" s="24" t="n">
        <v>21</v>
      </c>
      <c r="O106" s="24" t="n">
        <f aca="false">L106*M106*N106</f>
        <v>3780</v>
      </c>
      <c r="Q106" s="23" t="n">
        <v>1</v>
      </c>
      <c r="R106" s="23" t="n">
        <v>1</v>
      </c>
      <c r="S106" s="46"/>
      <c r="T106" s="46"/>
      <c r="U106" s="23" t="s">
        <v>606</v>
      </c>
      <c r="V106" s="23" t="n">
        <v>82</v>
      </c>
      <c r="W106" s="23" t="n">
        <v>2</v>
      </c>
      <c r="X106" s="27" t="s">
        <v>463</v>
      </c>
      <c r="Y106" s="23" t="n">
        <v>9</v>
      </c>
      <c r="Z106" s="26" t="n">
        <f aca="false">W106*(SQRT(Y106))</f>
        <v>6</v>
      </c>
      <c r="AB106" s="23" t="n">
        <v>67</v>
      </c>
      <c r="AC106" s="23" t="n">
        <v>5</v>
      </c>
      <c r="AD106" s="27" t="s">
        <v>463</v>
      </c>
      <c r="AE106" s="23" t="n">
        <v>9</v>
      </c>
      <c r="AF106" s="26" t="n">
        <f aca="false">AC106*(SQRT(AE106))</f>
        <v>15</v>
      </c>
    </row>
    <row r="107" customFormat="false" ht="15" hidden="false" customHeight="false" outlineLevel="0" collapsed="false">
      <c r="A107" s="23" t="n">
        <v>9788</v>
      </c>
      <c r="B107" s="23" t="n">
        <v>34167364</v>
      </c>
      <c r="C107" s="23" t="s">
        <v>607</v>
      </c>
      <c r="D107" s="23" t="s">
        <v>608</v>
      </c>
      <c r="E107" s="23" t="s">
        <v>609</v>
      </c>
      <c r="F107" s="23" t="n">
        <v>2021</v>
      </c>
      <c r="G107" s="23" t="s">
        <v>610</v>
      </c>
      <c r="H107" s="23" t="n">
        <v>1</v>
      </c>
      <c r="I107" s="23" t="s">
        <v>51</v>
      </c>
      <c r="J107" s="23" t="s">
        <v>33</v>
      </c>
      <c r="L107" s="23" t="n">
        <v>120</v>
      </c>
      <c r="M107" s="23" t="n">
        <v>1</v>
      </c>
      <c r="N107" s="24" t="n">
        <v>21</v>
      </c>
      <c r="O107" s="24" t="n">
        <f aca="false">N107*L107</f>
        <v>2520</v>
      </c>
      <c r="Q107" s="46"/>
      <c r="R107" s="23" t="n">
        <v>1</v>
      </c>
      <c r="S107" s="46"/>
      <c r="T107" s="46"/>
      <c r="U107" s="51" t="n">
        <v>3</v>
      </c>
      <c r="V107" s="23" t="n">
        <v>75</v>
      </c>
      <c r="W107" s="23" t="n">
        <v>5.1</v>
      </c>
      <c r="X107" s="23" t="n">
        <v>9</v>
      </c>
      <c r="Y107" s="23" t="n">
        <v>9</v>
      </c>
      <c r="Z107" s="26" t="n">
        <f aca="false">W107*(SQRT(Y107))</f>
        <v>15.3</v>
      </c>
      <c r="AA107" s="23"/>
      <c r="AB107" s="23" t="n">
        <v>42</v>
      </c>
      <c r="AC107" s="23" t="n">
        <v>3.5</v>
      </c>
      <c r="AD107" s="23" t="n">
        <v>9</v>
      </c>
      <c r="AE107" s="23" t="n">
        <v>9</v>
      </c>
      <c r="AF107" s="26" t="n">
        <f aca="false">AC107*(SQRT(AE107))</f>
        <v>10.5</v>
      </c>
    </row>
    <row r="108" s="23" customFormat="true" ht="15" hidden="false" customHeight="false" outlineLevel="0" collapsed="false">
      <c r="A108" s="23" t="n">
        <v>9883</v>
      </c>
      <c r="C108" s="23" t="s">
        <v>611</v>
      </c>
      <c r="D108" s="23" t="s">
        <v>612</v>
      </c>
      <c r="E108" s="23" t="s">
        <v>347</v>
      </c>
      <c r="F108" s="23" t="n">
        <v>2015</v>
      </c>
      <c r="G108" s="23" t="s">
        <v>613</v>
      </c>
      <c r="H108" s="23" t="n">
        <v>1</v>
      </c>
      <c r="I108" s="23" t="s">
        <v>51</v>
      </c>
      <c r="J108" s="23" t="s">
        <v>33</v>
      </c>
      <c r="K108" s="27"/>
      <c r="L108" s="23" t="n">
        <v>60</v>
      </c>
      <c r="M108" s="23" t="n">
        <v>1</v>
      </c>
      <c r="N108" s="24" t="n">
        <v>60</v>
      </c>
      <c r="O108" s="24" t="n">
        <f aca="false">L108*M108*N108</f>
        <v>3600</v>
      </c>
      <c r="P108" s="23" t="s">
        <v>614</v>
      </c>
      <c r="Q108" s="23" t="n">
        <v>1</v>
      </c>
      <c r="R108" s="23" t="n">
        <v>10</v>
      </c>
      <c r="S108" s="23" t="n">
        <v>20</v>
      </c>
      <c r="T108" s="23" t="n">
        <v>20</v>
      </c>
      <c r="U108" s="23" t="n">
        <v>4</v>
      </c>
      <c r="V108" s="46"/>
      <c r="W108" s="46"/>
      <c r="X108" s="46"/>
      <c r="Y108" s="46"/>
      <c r="Z108" s="46"/>
      <c r="AB108" s="46"/>
      <c r="AC108" s="46"/>
      <c r="AD108" s="46"/>
      <c r="AE108" s="46"/>
      <c r="AF108" s="46"/>
    </row>
    <row r="109" s="23" customFormat="true" ht="15" hidden="false" customHeight="false" outlineLevel="0" collapsed="false">
      <c r="A109" s="23" t="n">
        <v>9900</v>
      </c>
      <c r="B109" s="23" t="n">
        <v>27346276</v>
      </c>
      <c r="C109" s="23" t="s">
        <v>474</v>
      </c>
      <c r="D109" s="23" t="s">
        <v>475</v>
      </c>
      <c r="E109" s="23" t="s">
        <v>161</v>
      </c>
      <c r="F109" s="23" t="n">
        <v>2016</v>
      </c>
      <c r="G109" s="23" t="s">
        <v>476</v>
      </c>
      <c r="H109" s="23" t="n">
        <v>1</v>
      </c>
      <c r="I109" s="23" t="s">
        <v>51</v>
      </c>
      <c r="J109" s="23" t="s">
        <v>33</v>
      </c>
      <c r="K109" s="27"/>
      <c r="L109" s="23" t="n">
        <v>360</v>
      </c>
      <c r="M109" s="23" t="n">
        <v>1</v>
      </c>
      <c r="N109" s="24" t="n">
        <v>21</v>
      </c>
      <c r="O109" s="24" t="n">
        <f aca="false">N109*L109</f>
        <v>7560</v>
      </c>
      <c r="Q109" s="23" t="n">
        <v>1</v>
      </c>
      <c r="R109" s="23" t="n">
        <v>1</v>
      </c>
      <c r="S109" s="23" t="n">
        <v>23</v>
      </c>
      <c r="T109" s="23" t="n">
        <v>23</v>
      </c>
      <c r="U109" s="51" t="s">
        <v>70</v>
      </c>
      <c r="V109" s="23" t="n">
        <v>81</v>
      </c>
      <c r="W109" s="23" t="s">
        <v>71</v>
      </c>
      <c r="X109" s="23" t="n">
        <v>10</v>
      </c>
      <c r="Z109" s="23" t="n">
        <v>8</v>
      </c>
      <c r="AB109" s="23" t="n">
        <v>65</v>
      </c>
      <c r="AC109" s="23" t="s">
        <v>71</v>
      </c>
      <c r="AD109" s="23" t="n">
        <v>10</v>
      </c>
      <c r="AF109" s="23" t="n">
        <v>8</v>
      </c>
      <c r="AG109" s="24"/>
    </row>
  </sheetData>
  <hyperlinks>
    <hyperlink ref="G4" r:id="rId1" display="https://dx.doi.org/10.1016/j.neuroscience.2015.09.033"/>
    <hyperlink ref="G37" r:id="rId2" display="https://dx.doi.org/10.1016/j.ynirp.2022.100104"/>
    <hyperlink ref="G41" r:id="rId3" display="https://dx.doi.org/10.3390/brainsci15070709"/>
    <hyperlink ref="G63" r:id="rId4" display="https://dx.doi.org/10.1038/s41398-024-02887-y"/>
    <hyperlink ref="G64" r:id="rId5" display="https://dx.doi.org/10.1038/s41398-024-02887-y"/>
    <hyperlink ref="G67" r:id="rId6" display="https://dx.doi.org/10.1016/j.ejphar.2023.176273"/>
    <hyperlink ref="G69" r:id="rId7" display="https://dx.doi.org/10.22038/AJP.2024.24819"/>
    <hyperlink ref="G74" r:id="rId8" display="https://dx.doi.org/10.3389/fpsyt.2022.903004"/>
    <hyperlink ref="G75" r:id="rId9" display="https://dx.doi.org/10.3389/fpsyt.2022.903004"/>
    <hyperlink ref="G76" r:id="rId10" display="https://dx.doi.org/10.3389/fpsyt.2022.903004"/>
    <hyperlink ref="G101" r:id="rId11" display="https://dx.doi.org/10.1111/bdi.13319"/>
    <hyperlink ref="G105" r:id="rId12" display="https://dx.doi.org/10.1016/j.jhazmat.2021.125179"/>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56" activePane="bottomLeft" state="frozen"/>
      <selection pane="topLeft" activeCell="A1" activeCellId="0" sqref="A1"/>
      <selection pane="bottomLeft" activeCell="A64" activeCellId="0" sqref="A64"/>
    </sheetView>
  </sheetViews>
  <sheetFormatPr defaultColWidth="9.14453125" defaultRowHeight="15" customHeight="false" zeroHeight="false" outlineLevelRow="0" outlineLevelCol="0"/>
  <cols>
    <col collapsed="false" customWidth="true" hidden="false" outlineLevel="0" max="1" min="1" style="23" width="10.86"/>
    <col collapsed="false" customWidth="false" hidden="false" outlineLevel="0" max="2" min="2" style="23" width="9.14"/>
    <col collapsed="false" customWidth="true" hidden="false" outlineLevel="0" max="3" min="3" style="23" width="33"/>
    <col collapsed="false" customWidth="true" hidden="false" outlineLevel="0" max="4" min="4" style="23" width="12.14"/>
    <col collapsed="false" customWidth="true" hidden="false" outlineLevel="0" max="5" min="5" style="23" width="15.57"/>
    <col collapsed="false" customWidth="true" hidden="false" outlineLevel="0" max="6" min="6" style="23" width="7.72"/>
    <col collapsed="false" customWidth="true" hidden="false" outlineLevel="0" max="7" min="7" style="23" width="29.14"/>
    <col collapsed="false" customWidth="true" hidden="false" outlineLevel="0" max="10" min="10" style="0" width="17.57"/>
    <col collapsed="false" customWidth="true" hidden="false" outlineLevel="0" max="11" min="11" style="0" width="12.57"/>
    <col collapsed="false" customWidth="true" hidden="false" outlineLevel="0" max="12" min="12" style="0" width="13.43"/>
    <col collapsed="false" customWidth="true" hidden="false" outlineLevel="0" max="13" min="13" style="0" width="19.72"/>
    <col collapsed="false" customWidth="true" hidden="false" outlineLevel="0" max="14" min="14" style="0" width="19"/>
    <col collapsed="false" customWidth="true" hidden="false" outlineLevel="0" max="16" min="16" style="23" width="20.57"/>
    <col collapsed="false" customWidth="true" hidden="false" outlineLevel="0" max="17" min="17" style="24" width="10"/>
    <col collapsed="false" customWidth="true" hidden="false" outlineLevel="0" max="18" min="18" style="34" width="14"/>
    <col collapsed="false" customWidth="true" hidden="false" outlineLevel="0" max="19" min="19" style="34" width="11.86"/>
    <col collapsed="false" customWidth="true" hidden="false" outlineLevel="0" max="21" min="20" style="25" width="8.86"/>
    <col collapsed="false" customWidth="true" hidden="false" outlineLevel="0" max="22" min="22" style="34" width="18.86"/>
    <col collapsed="false" customWidth="true" hidden="false" outlineLevel="0" max="23" min="23" style="34" width="2.71"/>
    <col collapsed="false" customWidth="true" hidden="false" outlineLevel="0" max="24" min="24" style="34" width="14.14"/>
    <col collapsed="false" customWidth="true" hidden="false" outlineLevel="0" max="25" min="25" style="34" width="11.86"/>
    <col collapsed="false" customWidth="true" hidden="false" outlineLevel="0" max="27" min="26" style="25" width="8.57"/>
    <col collapsed="false" customWidth="true" hidden="false" outlineLevel="0" max="28" min="28" style="34" width="18.86"/>
    <col collapsed="false" customWidth="true" hidden="false" outlineLevel="0" max="29" min="29" style="24" width="3.72"/>
    <col collapsed="false" customWidth="true" hidden="false" outlineLevel="0" max="30" min="30" style="0" width="30.43"/>
    <col collapsed="false" customWidth="true" hidden="false" outlineLevel="0" max="31" min="31" style="0" width="55.57"/>
    <col collapsed="false" customWidth="false" hidden="false" outlineLevel="0" max="16384" min="32" style="23" width="9.14"/>
  </cols>
  <sheetData>
    <row r="1" customFormat="false" ht="15" hidden="false" customHeight="false" outlineLevel="0" collapsed="false">
      <c r="R1" s="6" t="s">
        <v>615</v>
      </c>
      <c r="S1" s="7"/>
      <c r="T1" s="8"/>
      <c r="U1" s="8"/>
      <c r="V1" s="7"/>
      <c r="W1" s="52"/>
      <c r="X1" s="53" t="s">
        <v>616</v>
      </c>
      <c r="Y1" s="54"/>
      <c r="Z1" s="55"/>
      <c r="AA1" s="55"/>
      <c r="AB1" s="54"/>
    </row>
    <row r="2" customFormat="false" ht="15" hidden="false" customHeight="false" outlineLevel="0" collapsed="false">
      <c r="A2" s="13" t="s">
        <v>2</v>
      </c>
      <c r="B2" s="13" t="s">
        <v>3</v>
      </c>
      <c r="C2" s="13" t="s">
        <v>4</v>
      </c>
      <c r="D2" s="13" t="s">
        <v>5</v>
      </c>
      <c r="E2" s="13" t="s">
        <v>6</v>
      </c>
      <c r="F2" s="13" t="s">
        <v>7</v>
      </c>
      <c r="G2" s="13" t="s">
        <v>8</v>
      </c>
      <c r="H2" s="13" t="s">
        <v>10</v>
      </c>
      <c r="I2" s="13" t="s">
        <v>11</v>
      </c>
      <c r="J2" s="14" t="s">
        <v>12</v>
      </c>
      <c r="K2" s="13" t="s">
        <v>13</v>
      </c>
      <c r="L2" s="13" t="s">
        <v>14</v>
      </c>
      <c r="M2" s="15" t="s">
        <v>15</v>
      </c>
      <c r="N2" s="15" t="s">
        <v>16</v>
      </c>
      <c r="O2" s="13" t="s">
        <v>17</v>
      </c>
      <c r="P2" s="13" t="s">
        <v>617</v>
      </c>
      <c r="Q2" s="15" t="s">
        <v>20</v>
      </c>
      <c r="R2" s="17" t="s">
        <v>21</v>
      </c>
      <c r="S2" s="18" t="s">
        <v>22</v>
      </c>
      <c r="T2" s="19" t="s">
        <v>23</v>
      </c>
      <c r="U2" s="19" t="s">
        <v>24</v>
      </c>
      <c r="V2" s="18" t="s">
        <v>25</v>
      </c>
      <c r="X2" s="56" t="s">
        <v>26</v>
      </c>
      <c r="Y2" s="57" t="s">
        <v>27</v>
      </c>
      <c r="Z2" s="58" t="s">
        <v>23</v>
      </c>
      <c r="AA2" s="58" t="s">
        <v>24</v>
      </c>
      <c r="AB2" s="57" t="s">
        <v>25</v>
      </c>
    </row>
    <row r="3" s="23" customFormat="true" ht="15" hidden="false" customHeight="false" outlineLevel="0" collapsed="false">
      <c r="A3" s="23" t="n">
        <v>1030</v>
      </c>
      <c r="C3" s="23" t="s">
        <v>618</v>
      </c>
      <c r="D3" s="23" t="s">
        <v>619</v>
      </c>
      <c r="E3" s="23" t="s">
        <v>620</v>
      </c>
      <c r="F3" s="23" t="n">
        <v>2024</v>
      </c>
      <c r="G3" s="23" t="s">
        <v>621</v>
      </c>
      <c r="H3" s="23" t="s">
        <v>51</v>
      </c>
      <c r="I3" s="23" t="s">
        <v>33</v>
      </c>
      <c r="J3" s="27" t="s">
        <v>94</v>
      </c>
      <c r="K3" s="23" t="n">
        <v>120</v>
      </c>
      <c r="L3" s="23" t="n">
        <v>1</v>
      </c>
      <c r="M3" s="24" t="n">
        <v>14</v>
      </c>
      <c r="N3" s="24" t="n">
        <v>1680</v>
      </c>
      <c r="P3" s="23" t="n">
        <v>5</v>
      </c>
      <c r="Q3" s="28"/>
      <c r="R3" s="46"/>
      <c r="S3" s="46"/>
      <c r="T3" s="46"/>
      <c r="U3" s="46"/>
      <c r="V3" s="46"/>
      <c r="X3" s="46"/>
      <c r="Y3" s="46"/>
      <c r="Z3" s="46"/>
      <c r="AA3" s="46"/>
      <c r="AB3" s="46"/>
      <c r="AD3" s="0"/>
      <c r="AE3" s="0"/>
    </row>
    <row r="4" s="13" customFormat="true" ht="15" hidden="false" customHeight="false" outlineLevel="0" collapsed="false">
      <c r="A4" s="23" t="n">
        <v>1106</v>
      </c>
      <c r="B4" s="23"/>
      <c r="C4" s="23" t="s">
        <v>622</v>
      </c>
      <c r="D4" s="23" t="s">
        <v>623</v>
      </c>
      <c r="E4" s="23" t="s">
        <v>624</v>
      </c>
      <c r="F4" s="23" t="n">
        <v>2024</v>
      </c>
      <c r="G4" s="23" t="s">
        <v>625</v>
      </c>
      <c r="H4" s="23" t="s">
        <v>51</v>
      </c>
      <c r="I4" s="23" t="s">
        <v>33</v>
      </c>
      <c r="J4" s="27"/>
      <c r="K4" s="23" t="n">
        <v>120</v>
      </c>
      <c r="L4" s="23" t="n">
        <v>1</v>
      </c>
      <c r="M4" s="24" t="n">
        <v>10</v>
      </c>
      <c r="N4" s="24" t="n">
        <v>1200</v>
      </c>
      <c r="O4" s="23"/>
      <c r="P4" s="23" t="n">
        <v>5</v>
      </c>
      <c r="Q4" s="24" t="s">
        <v>238</v>
      </c>
      <c r="R4" s="23" t="n">
        <v>62</v>
      </c>
      <c r="S4" s="23" t="n">
        <v>2</v>
      </c>
      <c r="T4" s="23" t="n">
        <v>7</v>
      </c>
      <c r="U4" s="23" t="n">
        <v>7</v>
      </c>
      <c r="V4" s="26" t="n">
        <f aca="false">S4*(SQRT(U4))</f>
        <v>5.29150262212918</v>
      </c>
      <c r="W4" s="23"/>
      <c r="X4" s="23" t="n">
        <v>52</v>
      </c>
      <c r="Y4" s="23" t="n">
        <v>2</v>
      </c>
      <c r="Z4" s="23" t="n">
        <v>7</v>
      </c>
      <c r="AA4" s="23" t="n">
        <v>7</v>
      </c>
      <c r="AB4" s="26" t="n">
        <f aca="false">Y4*(SQRT(AA4))</f>
        <v>5.29150262212918</v>
      </c>
      <c r="AC4" s="23"/>
    </row>
    <row r="5" s="23" customFormat="true" ht="16.4" hidden="false" customHeight="false" outlineLevel="0" collapsed="false">
      <c r="A5" s="23" t="n">
        <v>1129</v>
      </c>
      <c r="C5" s="41" t="s">
        <v>486</v>
      </c>
      <c r="D5" s="41" t="s">
        <v>626</v>
      </c>
      <c r="E5" s="41" t="s">
        <v>488</v>
      </c>
      <c r="F5" s="41" t="n">
        <v>2015</v>
      </c>
      <c r="G5" s="42" t="s">
        <v>489</v>
      </c>
      <c r="H5" s="23" t="s">
        <v>32</v>
      </c>
      <c r="I5" s="23" t="s">
        <v>33</v>
      </c>
      <c r="J5" s="27"/>
      <c r="K5" s="23" t="n">
        <v>360</v>
      </c>
      <c r="L5" s="23" t="n">
        <v>1</v>
      </c>
      <c r="M5" s="24" t="n">
        <v>21</v>
      </c>
      <c r="N5" s="24" t="n">
        <v>7560</v>
      </c>
      <c r="P5" s="23" t="n">
        <v>5</v>
      </c>
      <c r="Q5" s="24" t="s">
        <v>89</v>
      </c>
      <c r="R5" s="23" t="n">
        <v>88</v>
      </c>
      <c r="S5" s="23" t="n">
        <v>11</v>
      </c>
      <c r="T5" s="23" t="n">
        <v>8</v>
      </c>
      <c r="U5" s="23" t="n">
        <v>8</v>
      </c>
      <c r="V5" s="26" t="n">
        <f aca="false">S5*(SQRT(U5))</f>
        <v>31.1126983722081</v>
      </c>
      <c r="X5" s="23" t="n">
        <v>45</v>
      </c>
      <c r="Y5" s="23" t="n">
        <v>7</v>
      </c>
      <c r="Z5" s="23" t="n">
        <v>8</v>
      </c>
      <c r="AA5" s="23" t="n">
        <v>8</v>
      </c>
      <c r="AB5" s="26" t="n">
        <f aca="false">Y5*(SQRT(AA5))</f>
        <v>19.7989898732233</v>
      </c>
      <c r="AD5" s="0"/>
      <c r="AE5" s="0"/>
    </row>
    <row r="6" s="23" customFormat="true" ht="15" hidden="false" customHeight="false" outlineLevel="0" collapsed="false">
      <c r="A6" s="23" t="n">
        <v>1407</v>
      </c>
      <c r="C6" s="23" t="s">
        <v>42</v>
      </c>
      <c r="D6" s="23" t="s">
        <v>43</v>
      </c>
      <c r="E6" s="23" t="s">
        <v>44</v>
      </c>
      <c r="F6" s="23" t="n">
        <v>2021</v>
      </c>
      <c r="G6" s="23" t="s">
        <v>45</v>
      </c>
      <c r="H6" s="23" t="s">
        <v>32</v>
      </c>
      <c r="I6" s="23" t="s">
        <v>33</v>
      </c>
      <c r="J6" s="27" t="s">
        <v>41</v>
      </c>
      <c r="K6" s="23" t="n">
        <v>60</v>
      </c>
      <c r="L6" s="23" t="n">
        <v>1</v>
      </c>
      <c r="M6" s="24" t="n">
        <v>14</v>
      </c>
      <c r="N6" s="24" t="n">
        <v>840</v>
      </c>
      <c r="P6" s="23" t="n">
        <v>5</v>
      </c>
      <c r="Q6" s="24" t="s">
        <v>112</v>
      </c>
      <c r="R6" s="23" t="n">
        <v>16</v>
      </c>
      <c r="S6" s="23" t="n">
        <v>34</v>
      </c>
      <c r="T6" s="23" t="n">
        <v>8</v>
      </c>
      <c r="U6" s="23" t="n">
        <v>8</v>
      </c>
      <c r="V6" s="26" t="n">
        <f aca="false">S6*(SQRT(U6))</f>
        <v>96.1665222413705</v>
      </c>
      <c r="X6" s="23" t="n">
        <v>18</v>
      </c>
      <c r="Y6" s="23" t="n">
        <v>17</v>
      </c>
      <c r="Z6" s="23" t="n">
        <v>8</v>
      </c>
      <c r="AA6" s="23" t="n">
        <v>8</v>
      </c>
      <c r="AB6" s="26" t="n">
        <f aca="false">Y6*(SQRT(AA6))</f>
        <v>48.0832611206852</v>
      </c>
      <c r="AD6" s="0"/>
      <c r="AE6" s="0"/>
    </row>
    <row r="7" s="23" customFormat="true" ht="15" hidden="false" customHeight="false" outlineLevel="0" collapsed="false">
      <c r="A7" s="23" t="n">
        <v>1497</v>
      </c>
      <c r="C7" s="23" t="s">
        <v>627</v>
      </c>
      <c r="D7" s="23" t="s">
        <v>628</v>
      </c>
      <c r="E7" s="23" t="s">
        <v>629</v>
      </c>
      <c r="F7" s="23" t="n">
        <v>2025</v>
      </c>
      <c r="G7" s="23" t="s">
        <v>630</v>
      </c>
      <c r="H7" s="23" t="s">
        <v>32</v>
      </c>
      <c r="I7" s="23" t="s">
        <v>33</v>
      </c>
      <c r="J7" s="27"/>
      <c r="K7" s="23" t="n">
        <v>360</v>
      </c>
      <c r="L7" s="23" t="n">
        <v>1</v>
      </c>
      <c r="M7" s="24" t="n">
        <v>21</v>
      </c>
      <c r="N7" s="24" t="n">
        <v>7560</v>
      </c>
      <c r="P7" s="23" t="n">
        <v>5</v>
      </c>
      <c r="Q7" s="24" t="s">
        <v>52</v>
      </c>
      <c r="R7" s="23" t="n">
        <v>122</v>
      </c>
      <c r="S7" s="23" t="n">
        <v>16</v>
      </c>
      <c r="T7" s="23" t="n">
        <v>5</v>
      </c>
      <c r="U7" s="23" t="n">
        <v>5</v>
      </c>
      <c r="V7" s="26" t="n">
        <f aca="false">S7*(SQRT(U7))</f>
        <v>35.7770876399966</v>
      </c>
      <c r="X7" s="23" t="n">
        <v>105</v>
      </c>
      <c r="Y7" s="23" t="n">
        <v>11</v>
      </c>
      <c r="Z7" s="23" t="n">
        <v>10</v>
      </c>
      <c r="AA7" s="23" t="n">
        <v>10</v>
      </c>
      <c r="AB7" s="26" t="n">
        <f aca="false">Y7*(SQRT(AA7))</f>
        <v>34.7850542618522</v>
      </c>
      <c r="AD7" s="0"/>
      <c r="AE7" s="0"/>
    </row>
    <row r="8" s="23" customFormat="true" ht="15" hidden="false" customHeight="false" outlineLevel="0" collapsed="false">
      <c r="A8" s="23" t="n">
        <v>1502</v>
      </c>
      <c r="C8" s="23" t="s">
        <v>47</v>
      </c>
      <c r="D8" s="23" t="s">
        <v>48</v>
      </c>
      <c r="E8" s="23" t="s">
        <v>49</v>
      </c>
      <c r="F8" s="23" t="n">
        <v>2018</v>
      </c>
      <c r="G8" s="23" t="s">
        <v>50</v>
      </c>
      <c r="H8" s="23" t="s">
        <v>51</v>
      </c>
      <c r="I8" s="27" t="s">
        <v>41</v>
      </c>
      <c r="J8" s="27"/>
      <c r="K8" s="23" t="n">
        <v>360</v>
      </c>
      <c r="L8" s="23" t="n">
        <v>1</v>
      </c>
      <c r="M8" s="24" t="n">
        <v>7</v>
      </c>
      <c r="N8" s="24" t="n">
        <v>2520</v>
      </c>
      <c r="P8" s="23" t="n">
        <v>5</v>
      </c>
      <c r="Q8" s="24" t="s">
        <v>238</v>
      </c>
      <c r="R8" s="23" t="n">
        <v>12</v>
      </c>
      <c r="S8" s="23" t="n">
        <v>2</v>
      </c>
      <c r="T8" s="23" t="n">
        <v>5</v>
      </c>
      <c r="U8" s="23" t="n">
        <v>5</v>
      </c>
      <c r="V8" s="26" t="n">
        <f aca="false">S8*(SQRT(U8))</f>
        <v>4.47213595499958</v>
      </c>
      <c r="X8" s="23" t="n">
        <v>6</v>
      </c>
      <c r="Y8" s="23" t="n">
        <v>1</v>
      </c>
      <c r="Z8" s="23" t="n">
        <v>5</v>
      </c>
      <c r="AA8" s="23" t="n">
        <v>5</v>
      </c>
      <c r="AB8" s="26" t="n">
        <f aca="false">Y8*(SQRT(AA8))</f>
        <v>2.23606797749979</v>
      </c>
      <c r="AD8" s="0"/>
      <c r="AE8" s="0"/>
    </row>
    <row r="9" s="23" customFormat="true" ht="15" hidden="false" customHeight="false" outlineLevel="0" collapsed="false">
      <c r="A9" s="23" t="n">
        <v>1565</v>
      </c>
      <c r="C9" s="23" t="s">
        <v>54</v>
      </c>
      <c r="D9" s="23" t="s">
        <v>55</v>
      </c>
      <c r="E9" s="23" t="s">
        <v>56</v>
      </c>
      <c r="F9" s="23" t="n">
        <v>2019</v>
      </c>
      <c r="G9" s="23" t="s">
        <v>57</v>
      </c>
      <c r="H9" s="23" t="s">
        <v>51</v>
      </c>
      <c r="I9" s="23" t="s">
        <v>33</v>
      </c>
      <c r="J9" s="27" t="s">
        <v>58</v>
      </c>
      <c r="K9" s="23" t="n">
        <v>120</v>
      </c>
      <c r="L9" s="23" t="n">
        <v>1</v>
      </c>
      <c r="M9" s="24" t="n">
        <v>10</v>
      </c>
      <c r="N9" s="24" t="n">
        <v>1200</v>
      </c>
      <c r="P9" s="23" t="n">
        <v>5</v>
      </c>
      <c r="Q9" s="24" t="s">
        <v>89</v>
      </c>
      <c r="R9" s="23" t="n">
        <v>50</v>
      </c>
      <c r="S9" s="23" t="n">
        <v>4</v>
      </c>
      <c r="T9" s="27" t="s">
        <v>60</v>
      </c>
      <c r="U9" s="23" t="n">
        <v>7</v>
      </c>
      <c r="V9" s="26" t="n">
        <f aca="false">S9*(SQRT(U9))</f>
        <v>10.5830052442584</v>
      </c>
      <c r="X9" s="23" t="n">
        <v>16</v>
      </c>
      <c r="Y9" s="23" t="n">
        <v>2</v>
      </c>
      <c r="Z9" s="27" t="s">
        <v>60</v>
      </c>
      <c r="AA9" s="23" t="n">
        <v>7</v>
      </c>
      <c r="AB9" s="26" t="n">
        <f aca="false">Y9*(SQRT(AA9))</f>
        <v>5.29150262212918</v>
      </c>
      <c r="AD9" s="0"/>
      <c r="AE9" s="0"/>
    </row>
    <row r="10" s="23" customFormat="true" ht="15" hidden="false" customHeight="false" outlineLevel="0" collapsed="false">
      <c r="A10" s="23" t="n">
        <v>1764</v>
      </c>
      <c r="B10" s="23" t="n">
        <v>30740068</v>
      </c>
      <c r="C10" s="23" t="s">
        <v>62</v>
      </c>
      <c r="D10" s="23" t="s">
        <v>63</v>
      </c>
      <c r="E10" s="23" t="s">
        <v>64</v>
      </c>
      <c r="F10" s="23" t="n">
        <v>2019</v>
      </c>
      <c r="G10" s="23" t="s">
        <v>65</v>
      </c>
      <c r="H10" s="23" t="s">
        <v>32</v>
      </c>
      <c r="I10" s="23" t="s">
        <v>33</v>
      </c>
      <c r="J10" s="27" t="s">
        <v>36</v>
      </c>
      <c r="K10" s="23" t="n">
        <v>240</v>
      </c>
      <c r="L10" s="23" t="n">
        <v>1</v>
      </c>
      <c r="M10" s="24" t="n">
        <v>21</v>
      </c>
      <c r="N10" s="24" t="n">
        <v>5040</v>
      </c>
      <c r="P10" s="23" t="n">
        <v>5</v>
      </c>
      <c r="Q10" s="24" t="s">
        <v>112</v>
      </c>
      <c r="R10" s="23" t="n">
        <v>56</v>
      </c>
      <c r="S10" s="34" t="n">
        <v>8</v>
      </c>
      <c r="T10" s="27" t="s">
        <v>463</v>
      </c>
      <c r="U10" s="23" t="n">
        <v>9</v>
      </c>
      <c r="V10" s="26" t="n">
        <f aca="false">S10*(SQRT(U10))</f>
        <v>24</v>
      </c>
      <c r="X10" s="23" t="n">
        <v>20</v>
      </c>
      <c r="Y10" s="23" t="n">
        <v>5</v>
      </c>
      <c r="Z10" s="27" t="s">
        <v>463</v>
      </c>
      <c r="AA10" s="23" t="n">
        <v>9</v>
      </c>
      <c r="AB10" s="26" t="n">
        <f aca="false">Y10*(SQRT(AA10))</f>
        <v>15</v>
      </c>
      <c r="AD10" s="0"/>
      <c r="AE10" s="0"/>
    </row>
    <row r="11" s="23" customFormat="true" ht="16.4" hidden="false" customHeight="false" outlineLevel="0" collapsed="false">
      <c r="A11" s="23" t="n">
        <v>1767</v>
      </c>
      <c r="C11" s="41" t="s">
        <v>631</v>
      </c>
      <c r="D11" s="41" t="s">
        <v>632</v>
      </c>
      <c r="E11" s="41" t="s">
        <v>316</v>
      </c>
      <c r="F11" s="41" t="n">
        <v>2019</v>
      </c>
      <c r="G11" s="42" t="s">
        <v>633</v>
      </c>
      <c r="H11" s="23" t="s">
        <v>32</v>
      </c>
      <c r="I11" s="23" t="s">
        <v>33</v>
      </c>
      <c r="J11" s="27"/>
      <c r="K11" s="23" t="n">
        <v>360</v>
      </c>
      <c r="L11" s="23" t="n">
        <v>1</v>
      </c>
      <c r="M11" s="24" t="n">
        <v>14</v>
      </c>
      <c r="N11" s="24" t="n">
        <v>5040</v>
      </c>
      <c r="P11" s="23" t="n">
        <v>5</v>
      </c>
      <c r="Q11" s="28"/>
      <c r="R11" s="46"/>
      <c r="S11" s="46"/>
      <c r="T11" s="46"/>
      <c r="U11" s="46"/>
      <c r="V11" s="46"/>
      <c r="X11" s="46"/>
      <c r="Y11" s="46"/>
      <c r="Z11" s="46"/>
      <c r="AA11" s="46"/>
      <c r="AB11" s="46"/>
      <c r="AD11" s="0"/>
      <c r="AE11" s="0"/>
    </row>
    <row r="12" customFormat="false" ht="15" hidden="false" customHeight="false" outlineLevel="0" collapsed="false">
      <c r="A12" s="23" t="n">
        <v>1983</v>
      </c>
      <c r="C12" s="23" t="s">
        <v>72</v>
      </c>
      <c r="D12" s="23" t="s">
        <v>73</v>
      </c>
      <c r="E12" s="23" t="s">
        <v>74</v>
      </c>
      <c r="F12" s="23" t="n">
        <v>2017</v>
      </c>
      <c r="G12" s="23" t="s">
        <v>75</v>
      </c>
      <c r="H12" s="23" t="s">
        <v>51</v>
      </c>
      <c r="I12" s="23" t="s">
        <v>33</v>
      </c>
      <c r="J12" s="27"/>
      <c r="K12" s="23" t="n">
        <v>180</v>
      </c>
      <c r="L12" s="23" t="n">
        <v>1</v>
      </c>
      <c r="M12" s="24" t="n">
        <v>15</v>
      </c>
      <c r="N12" s="24" t="n">
        <v>2700</v>
      </c>
      <c r="O12" s="23" t="s">
        <v>76</v>
      </c>
      <c r="P12" s="46" t="s">
        <v>153</v>
      </c>
      <c r="Q12" s="24" t="s">
        <v>77</v>
      </c>
      <c r="R12" s="23" t="n">
        <v>55</v>
      </c>
      <c r="S12" s="23" t="n">
        <v>3</v>
      </c>
      <c r="T12" s="23" t="n">
        <v>10</v>
      </c>
      <c r="U12" s="23" t="n">
        <v>10</v>
      </c>
      <c r="V12" s="26" t="n">
        <f aca="false">S12*(SQRT(U12))</f>
        <v>9.48683298050514</v>
      </c>
      <c r="W12" s="23"/>
      <c r="X12" s="23" t="n">
        <v>29</v>
      </c>
      <c r="Y12" s="23" t="n">
        <v>4</v>
      </c>
      <c r="Z12" s="23" t="n">
        <v>9</v>
      </c>
      <c r="AA12" s="23" t="n">
        <v>9</v>
      </c>
      <c r="AB12" s="26" t="n">
        <f aca="false">Y12*(SQRT(AA12))</f>
        <v>12</v>
      </c>
      <c r="AC12" s="23"/>
    </row>
    <row r="13" s="23" customFormat="true" ht="15" hidden="false" customHeight="false" outlineLevel="0" collapsed="false">
      <c r="A13" s="23" t="n">
        <v>2075</v>
      </c>
      <c r="B13" s="23" t="n">
        <v>35814204</v>
      </c>
      <c r="C13" s="23" t="s">
        <v>80</v>
      </c>
      <c r="D13" s="23" t="s">
        <v>81</v>
      </c>
      <c r="E13" s="23" t="s">
        <v>82</v>
      </c>
      <c r="F13" s="23" t="n">
        <v>2022</v>
      </c>
      <c r="G13" s="23" t="s">
        <v>83</v>
      </c>
      <c r="H13" s="23" t="s">
        <v>32</v>
      </c>
      <c r="I13" s="23" t="s">
        <v>33</v>
      </c>
      <c r="J13" s="27" t="s">
        <v>36</v>
      </c>
      <c r="K13" s="23" t="n">
        <v>180</v>
      </c>
      <c r="L13" s="23" t="n">
        <v>1</v>
      </c>
      <c r="M13" s="24" t="n">
        <v>21</v>
      </c>
      <c r="N13" s="24" t="n">
        <v>3780</v>
      </c>
      <c r="P13" s="23" t="n">
        <v>5</v>
      </c>
      <c r="Q13" s="24" t="s">
        <v>362</v>
      </c>
      <c r="R13" s="23" t="n">
        <v>38</v>
      </c>
      <c r="S13" s="23" t="n">
        <v>4</v>
      </c>
      <c r="T13" s="23" t="n">
        <v>12</v>
      </c>
      <c r="U13" s="23" t="n">
        <v>12</v>
      </c>
      <c r="V13" s="26" t="n">
        <f aca="false">S13*(SQRT(U13))</f>
        <v>13.856406460551</v>
      </c>
      <c r="X13" s="23" t="n">
        <v>24</v>
      </c>
      <c r="Y13" s="23" t="n">
        <v>4</v>
      </c>
      <c r="Z13" s="23" t="n">
        <v>12</v>
      </c>
      <c r="AA13" s="23" t="n">
        <v>12</v>
      </c>
      <c r="AB13" s="26" t="n">
        <f aca="false">Y13*(SQRT(AA13))</f>
        <v>13.856406460551</v>
      </c>
      <c r="AD13" s="0"/>
      <c r="AE13" s="0"/>
    </row>
    <row r="14" s="23" customFormat="true" ht="15" hidden="false" customHeight="false" outlineLevel="0" collapsed="false">
      <c r="A14" s="23" t="n">
        <v>2165</v>
      </c>
      <c r="C14" s="23" t="s">
        <v>495</v>
      </c>
      <c r="D14" s="23" t="s">
        <v>496</v>
      </c>
      <c r="E14" s="23" t="s">
        <v>497</v>
      </c>
      <c r="F14" s="23" t="n">
        <v>2020</v>
      </c>
      <c r="G14" s="23" t="s">
        <v>498</v>
      </c>
      <c r="H14" s="23" t="s">
        <v>32</v>
      </c>
      <c r="I14" s="23" t="s">
        <v>33</v>
      </c>
      <c r="J14" s="27" t="s">
        <v>79</v>
      </c>
      <c r="K14" s="23" t="n">
        <v>360</v>
      </c>
      <c r="L14" s="23" t="n">
        <v>1</v>
      </c>
      <c r="M14" s="24" t="n">
        <v>21</v>
      </c>
      <c r="N14" s="24" t="n">
        <v>7560</v>
      </c>
      <c r="P14" s="23" t="n">
        <v>5</v>
      </c>
      <c r="Q14" s="24" t="n">
        <v>4</v>
      </c>
      <c r="R14" s="23" t="n">
        <v>21</v>
      </c>
      <c r="S14" s="23" t="s">
        <v>71</v>
      </c>
      <c r="T14" s="23" t="n">
        <v>12</v>
      </c>
      <c r="V14" s="23" t="n">
        <v>3</v>
      </c>
      <c r="X14" s="23" t="n">
        <v>11</v>
      </c>
      <c r="Y14" s="23" t="s">
        <v>71</v>
      </c>
      <c r="Z14" s="23" t="n">
        <v>12</v>
      </c>
      <c r="AB14" s="23" t="n">
        <v>2</v>
      </c>
      <c r="AD14" s="0"/>
      <c r="AE14" s="0"/>
    </row>
    <row r="15" s="23" customFormat="true" ht="15" hidden="false" customHeight="false" outlineLevel="0" collapsed="false">
      <c r="A15" s="37" t="n">
        <v>2167</v>
      </c>
      <c r="B15" s="37" t="n">
        <v>40356314</v>
      </c>
      <c r="C15" s="37" t="s">
        <v>634</v>
      </c>
      <c r="D15" s="37" t="s">
        <v>635</v>
      </c>
      <c r="E15" s="37" t="s">
        <v>636</v>
      </c>
      <c r="F15" s="37" t="n">
        <v>2025</v>
      </c>
      <c r="G15" s="37" t="s">
        <v>637</v>
      </c>
      <c r="H15" s="23" t="s">
        <v>51</v>
      </c>
      <c r="I15" s="37" t="s">
        <v>33</v>
      </c>
      <c r="J15" s="27" t="s">
        <v>61</v>
      </c>
      <c r="K15" s="23" t="n">
        <v>60</v>
      </c>
      <c r="L15" s="23" t="n">
        <v>1</v>
      </c>
      <c r="M15" s="24" t="n">
        <v>28</v>
      </c>
      <c r="N15" s="24" t="n">
        <v>1680</v>
      </c>
      <c r="P15" s="23" t="n">
        <v>5</v>
      </c>
      <c r="Q15" s="24" t="s">
        <v>638</v>
      </c>
      <c r="R15" s="23" t="n">
        <v>12</v>
      </c>
      <c r="S15" s="23" t="s">
        <v>71</v>
      </c>
      <c r="T15" s="23" t="n">
        <v>8</v>
      </c>
      <c r="V15" s="23" t="n">
        <v>13</v>
      </c>
      <c r="X15" s="23" t="n">
        <v>28</v>
      </c>
      <c r="Y15" s="23" t="s">
        <v>71</v>
      </c>
      <c r="Z15" s="23" t="n">
        <v>8</v>
      </c>
      <c r="AB15" s="23" t="n">
        <v>36</v>
      </c>
      <c r="AD15" s="0"/>
      <c r="AE15" s="0"/>
    </row>
    <row r="16" s="23" customFormat="true" ht="15" hidden="false" customHeight="false" outlineLevel="0" collapsed="false">
      <c r="A16" s="37" t="n">
        <v>2167</v>
      </c>
      <c r="B16" s="37" t="n">
        <v>40356314</v>
      </c>
      <c r="C16" s="37" t="s">
        <v>634</v>
      </c>
      <c r="D16" s="37" t="s">
        <v>635</v>
      </c>
      <c r="E16" s="37" t="s">
        <v>636</v>
      </c>
      <c r="F16" s="37" t="n">
        <v>2025</v>
      </c>
      <c r="G16" s="37" t="s">
        <v>637</v>
      </c>
      <c r="H16" s="23" t="s">
        <v>51</v>
      </c>
      <c r="I16" s="37" t="s">
        <v>97</v>
      </c>
      <c r="J16" s="27" t="s">
        <v>61</v>
      </c>
      <c r="K16" s="23" t="n">
        <v>60</v>
      </c>
      <c r="L16" s="23" t="n">
        <v>1</v>
      </c>
      <c r="M16" s="24" t="n">
        <v>28</v>
      </c>
      <c r="N16" s="24" t="n">
        <v>1680</v>
      </c>
      <c r="P16" s="23" t="n">
        <v>5</v>
      </c>
      <c r="Q16" s="24" t="s">
        <v>638</v>
      </c>
      <c r="R16" s="23" t="n">
        <v>29</v>
      </c>
      <c r="S16" s="23" t="s">
        <v>71</v>
      </c>
      <c r="T16" s="23" t="n">
        <v>8</v>
      </c>
      <c r="V16" s="23" t="n">
        <v>28</v>
      </c>
      <c r="X16" s="23" t="n">
        <v>27</v>
      </c>
      <c r="Y16" s="23" t="s">
        <v>71</v>
      </c>
      <c r="Z16" s="23" t="n">
        <v>8</v>
      </c>
      <c r="AB16" s="23" t="n">
        <v>20</v>
      </c>
      <c r="AD16" s="0"/>
      <c r="AE16" s="0"/>
    </row>
    <row r="17" s="23" customFormat="true" ht="15" hidden="false" customHeight="false" outlineLevel="0" collapsed="false">
      <c r="A17" s="23" t="n">
        <v>2926</v>
      </c>
      <c r="B17" s="23" t="n">
        <v>27957715</v>
      </c>
      <c r="C17" s="23" t="s">
        <v>125</v>
      </c>
      <c r="D17" s="23" t="s">
        <v>126</v>
      </c>
      <c r="E17" s="23" t="s">
        <v>127</v>
      </c>
      <c r="F17" s="23" t="n">
        <v>2017</v>
      </c>
      <c r="G17" s="23" t="s">
        <v>128</v>
      </c>
      <c r="H17" s="23" t="s">
        <v>51</v>
      </c>
      <c r="I17" s="23" t="s">
        <v>97</v>
      </c>
      <c r="J17" s="27" t="s">
        <v>129</v>
      </c>
      <c r="K17" s="23" t="n">
        <v>360</v>
      </c>
      <c r="L17" s="23" t="n">
        <v>1</v>
      </c>
      <c r="M17" s="24" t="n">
        <v>21</v>
      </c>
      <c r="N17" s="24" t="n">
        <v>7560</v>
      </c>
      <c r="P17" s="23" t="n">
        <v>5</v>
      </c>
      <c r="Q17" s="24" t="s">
        <v>639</v>
      </c>
      <c r="R17" s="23" t="n">
        <v>39</v>
      </c>
      <c r="S17" s="23" t="n">
        <v>7</v>
      </c>
      <c r="T17" s="23" t="n">
        <v>5</v>
      </c>
      <c r="U17" s="23" t="n">
        <v>5</v>
      </c>
      <c r="V17" s="26" t="n">
        <f aca="false">S17*(SQRT(U17))</f>
        <v>15.6524758424985</v>
      </c>
      <c r="X17" s="23" t="n">
        <v>18</v>
      </c>
      <c r="Y17" s="23" t="n">
        <v>4</v>
      </c>
      <c r="Z17" s="23" t="n">
        <v>5</v>
      </c>
      <c r="AA17" s="23" t="n">
        <v>5</v>
      </c>
      <c r="AB17" s="26" t="n">
        <f aca="false">Y17*(SQRT(AA17))</f>
        <v>8.94427190999916</v>
      </c>
      <c r="AD17" s="0"/>
      <c r="AE17" s="0"/>
    </row>
    <row r="18" s="23" customFormat="true" ht="15" hidden="false" customHeight="false" outlineLevel="0" collapsed="false">
      <c r="A18" s="37" t="n">
        <v>2949</v>
      </c>
      <c r="B18" s="37"/>
      <c r="C18" s="37" t="s">
        <v>640</v>
      </c>
      <c r="D18" s="37" t="s">
        <v>641</v>
      </c>
      <c r="E18" s="37" t="s">
        <v>642</v>
      </c>
      <c r="F18" s="37" t="n">
        <v>2019</v>
      </c>
      <c r="G18" s="37" t="s">
        <v>643</v>
      </c>
      <c r="H18" s="23" t="s">
        <v>32</v>
      </c>
      <c r="I18" s="23" t="s">
        <v>33</v>
      </c>
      <c r="J18" s="27"/>
      <c r="K18" s="23" t="n">
        <v>480</v>
      </c>
      <c r="L18" s="23" t="n">
        <v>1</v>
      </c>
      <c r="M18" s="24" t="n">
        <v>1</v>
      </c>
      <c r="N18" s="45" t="n">
        <v>480</v>
      </c>
      <c r="O18" s="0"/>
      <c r="P18" s="46" t="s">
        <v>153</v>
      </c>
      <c r="Q18" s="24" t="s">
        <v>124</v>
      </c>
      <c r="R18" s="23" t="n">
        <v>40</v>
      </c>
      <c r="S18" s="23" t="s">
        <v>71</v>
      </c>
      <c r="T18" s="23" t="n">
        <v>8</v>
      </c>
      <c r="V18" s="23" t="n">
        <v>2</v>
      </c>
      <c r="X18" s="23" t="n">
        <v>39</v>
      </c>
      <c r="Y18" s="23" t="s">
        <v>71</v>
      </c>
      <c r="Z18" s="23" t="n">
        <v>8</v>
      </c>
      <c r="AB18" s="23" t="n">
        <v>2</v>
      </c>
      <c r="AD18" s="0"/>
      <c r="AE18" s="0"/>
    </row>
    <row r="19" s="23" customFormat="true" ht="15" hidden="false" customHeight="false" outlineLevel="0" collapsed="false">
      <c r="A19" s="37" t="n">
        <v>2949</v>
      </c>
      <c r="B19" s="37"/>
      <c r="C19" s="37" t="s">
        <v>640</v>
      </c>
      <c r="D19" s="37" t="s">
        <v>641</v>
      </c>
      <c r="E19" s="37" t="s">
        <v>642</v>
      </c>
      <c r="F19" s="37" t="n">
        <v>2019</v>
      </c>
      <c r="G19" s="37" t="s">
        <v>643</v>
      </c>
      <c r="H19" s="23" t="s">
        <v>32</v>
      </c>
      <c r="I19" s="23" t="s">
        <v>33</v>
      </c>
      <c r="J19" s="27"/>
      <c r="K19" s="23" t="n">
        <v>480</v>
      </c>
      <c r="L19" s="23" t="n">
        <v>1</v>
      </c>
      <c r="M19" s="24" t="n">
        <v>3</v>
      </c>
      <c r="N19" s="45" t="n">
        <v>1440</v>
      </c>
      <c r="O19" s="0"/>
      <c r="P19" s="46" t="s">
        <v>153</v>
      </c>
      <c r="Q19" s="24" t="s">
        <v>124</v>
      </c>
      <c r="R19" s="23" t="n">
        <v>40</v>
      </c>
      <c r="S19" s="23" t="s">
        <v>71</v>
      </c>
      <c r="T19" s="23" t="n">
        <v>8</v>
      </c>
      <c r="V19" s="23" t="n">
        <v>2</v>
      </c>
      <c r="X19" s="23" t="n">
        <v>33</v>
      </c>
      <c r="Y19" s="23" t="s">
        <v>71</v>
      </c>
      <c r="Z19" s="23" t="n">
        <v>8</v>
      </c>
      <c r="AB19" s="23" t="n">
        <v>2</v>
      </c>
      <c r="AD19" s="0"/>
      <c r="AE19" s="0"/>
    </row>
    <row r="20" s="23" customFormat="true" ht="15" hidden="false" customHeight="false" outlineLevel="0" collapsed="false">
      <c r="A20" s="37" t="n">
        <v>2949</v>
      </c>
      <c r="B20" s="37"/>
      <c r="C20" s="37" t="s">
        <v>640</v>
      </c>
      <c r="D20" s="37" t="s">
        <v>641</v>
      </c>
      <c r="E20" s="37" t="s">
        <v>642</v>
      </c>
      <c r="F20" s="37" t="n">
        <v>2019</v>
      </c>
      <c r="G20" s="37" t="s">
        <v>643</v>
      </c>
      <c r="H20" s="23" t="s">
        <v>32</v>
      </c>
      <c r="I20" s="23" t="s">
        <v>33</v>
      </c>
      <c r="J20" s="27"/>
      <c r="K20" s="23" t="n">
        <v>480</v>
      </c>
      <c r="L20" s="23" t="n">
        <v>1</v>
      </c>
      <c r="M20" s="24" t="n">
        <v>7</v>
      </c>
      <c r="N20" s="45" t="n">
        <v>3360</v>
      </c>
      <c r="O20" s="0"/>
      <c r="P20" s="46" t="s">
        <v>153</v>
      </c>
      <c r="Q20" s="24" t="s">
        <v>124</v>
      </c>
      <c r="R20" s="23" t="n">
        <v>40</v>
      </c>
      <c r="S20" s="23" t="s">
        <v>71</v>
      </c>
      <c r="T20" s="23" t="n">
        <v>8</v>
      </c>
      <c r="V20" s="23" t="n">
        <v>2</v>
      </c>
      <c r="X20" s="23" t="n">
        <v>26</v>
      </c>
      <c r="Y20" s="23" t="s">
        <v>71</v>
      </c>
      <c r="Z20" s="23" t="n">
        <v>8</v>
      </c>
      <c r="AB20" s="23" t="n">
        <v>1.5</v>
      </c>
      <c r="AD20" s="0"/>
      <c r="AE20" s="0"/>
    </row>
    <row r="21" s="23" customFormat="true" ht="15" hidden="false" customHeight="false" outlineLevel="0" collapsed="false">
      <c r="A21" s="37" t="n">
        <v>2949</v>
      </c>
      <c r="B21" s="37"/>
      <c r="C21" s="37" t="s">
        <v>640</v>
      </c>
      <c r="D21" s="37" t="s">
        <v>641</v>
      </c>
      <c r="E21" s="37" t="s">
        <v>642</v>
      </c>
      <c r="F21" s="37" t="n">
        <v>2019</v>
      </c>
      <c r="G21" s="37" t="s">
        <v>643</v>
      </c>
      <c r="H21" s="23" t="s">
        <v>32</v>
      </c>
      <c r="I21" s="23" t="s">
        <v>33</v>
      </c>
      <c r="J21" s="27"/>
      <c r="K21" s="23" t="n">
        <v>480</v>
      </c>
      <c r="L21" s="23" t="n">
        <v>1</v>
      </c>
      <c r="M21" s="24" t="n">
        <v>14</v>
      </c>
      <c r="N21" s="45" t="n">
        <v>6720</v>
      </c>
      <c r="O21" s="0"/>
      <c r="P21" s="46" t="s">
        <v>153</v>
      </c>
      <c r="Q21" s="24" t="s">
        <v>124</v>
      </c>
      <c r="R21" s="23" t="n">
        <v>40</v>
      </c>
      <c r="S21" s="23" t="s">
        <v>71</v>
      </c>
      <c r="T21" s="23" t="n">
        <v>8</v>
      </c>
      <c r="V21" s="23" t="n">
        <v>2</v>
      </c>
      <c r="X21" s="23" t="n">
        <v>21</v>
      </c>
      <c r="Y21" s="23" t="s">
        <v>71</v>
      </c>
      <c r="Z21" s="23" t="n">
        <v>8</v>
      </c>
      <c r="AB21" s="23" t="n">
        <v>2</v>
      </c>
      <c r="AD21" s="0"/>
      <c r="AE21" s="0"/>
    </row>
    <row r="22" s="23" customFormat="true" ht="16.4" hidden="false" customHeight="false" outlineLevel="0" collapsed="false">
      <c r="A22" s="23" t="n">
        <v>3209</v>
      </c>
      <c r="C22" s="41" t="s">
        <v>644</v>
      </c>
      <c r="D22" s="41" t="s">
        <v>645</v>
      </c>
      <c r="E22" s="41" t="s">
        <v>646</v>
      </c>
      <c r="F22" s="41" t="n">
        <v>2018</v>
      </c>
      <c r="G22" s="42" t="s">
        <v>647</v>
      </c>
      <c r="H22" s="23" t="s">
        <v>51</v>
      </c>
      <c r="I22" s="23" t="s">
        <v>33</v>
      </c>
      <c r="J22" s="27"/>
      <c r="K22" s="23" t="n">
        <v>360</v>
      </c>
      <c r="L22" s="23" t="n">
        <v>1</v>
      </c>
      <c r="M22" s="24" t="n">
        <v>21</v>
      </c>
      <c r="N22" s="24" t="n">
        <v>7560</v>
      </c>
      <c r="P22" s="23" t="n">
        <v>5</v>
      </c>
      <c r="Q22" s="24" t="n">
        <v>6</v>
      </c>
      <c r="R22" s="23" t="n">
        <v>103</v>
      </c>
      <c r="S22" s="23" t="n">
        <v>11</v>
      </c>
      <c r="T22" s="23" t="n">
        <v>6</v>
      </c>
      <c r="U22" s="23" t="n">
        <v>6</v>
      </c>
      <c r="V22" s="26" t="n">
        <f aca="false">S22*(SQRT(U22))</f>
        <v>26.944387170615</v>
      </c>
      <c r="X22" s="23" t="n">
        <v>57</v>
      </c>
      <c r="Y22" s="23" t="n">
        <v>3</v>
      </c>
      <c r="Z22" s="23" t="n">
        <v>6</v>
      </c>
      <c r="AA22" s="23" t="n">
        <v>6</v>
      </c>
      <c r="AB22" s="26" t="n">
        <f aca="false">Y22*(SQRT(AA22))</f>
        <v>7.34846922834953</v>
      </c>
      <c r="AD22" s="0"/>
      <c r="AE22" s="0"/>
    </row>
    <row r="23" s="23" customFormat="true" ht="15" hidden="false" customHeight="false" outlineLevel="0" collapsed="false">
      <c r="A23" s="23" t="n">
        <v>3263</v>
      </c>
      <c r="C23" s="23" t="s">
        <v>134</v>
      </c>
      <c r="D23" s="23" t="s">
        <v>135</v>
      </c>
      <c r="E23" s="23" t="s">
        <v>136</v>
      </c>
      <c r="F23" s="23" t="n">
        <v>2023</v>
      </c>
      <c r="G23" s="23" t="s">
        <v>137</v>
      </c>
      <c r="H23" s="23" t="s">
        <v>51</v>
      </c>
      <c r="I23" s="23" t="s">
        <v>33</v>
      </c>
      <c r="J23" s="27"/>
      <c r="K23" s="40" t="s">
        <v>138</v>
      </c>
      <c r="L23" s="40"/>
      <c r="M23" s="40"/>
      <c r="N23" s="24" t="n">
        <v>98</v>
      </c>
      <c r="P23" s="23" t="n">
        <v>5</v>
      </c>
      <c r="Q23" s="28"/>
      <c r="R23" s="46"/>
      <c r="S23" s="46"/>
      <c r="T23" s="46"/>
      <c r="U23" s="46"/>
      <c r="V23" s="46"/>
      <c r="X23" s="46"/>
      <c r="Y23" s="46"/>
      <c r="Z23" s="46"/>
      <c r="AA23" s="46"/>
      <c r="AB23" s="46"/>
      <c r="AD23" s="0"/>
      <c r="AE23" s="0"/>
    </row>
    <row r="24" s="23" customFormat="true" ht="15" hidden="false" customHeight="false" outlineLevel="0" collapsed="false">
      <c r="A24" s="23" t="n">
        <v>3459</v>
      </c>
      <c r="B24" s="23" t="n">
        <v>30458283</v>
      </c>
      <c r="C24" s="23" t="s">
        <v>648</v>
      </c>
      <c r="D24" s="23" t="s">
        <v>649</v>
      </c>
      <c r="E24" s="23" t="s">
        <v>650</v>
      </c>
      <c r="F24" s="23" t="n">
        <v>2019</v>
      </c>
      <c r="G24" s="23" t="s">
        <v>651</v>
      </c>
      <c r="H24" s="23" t="s">
        <v>51</v>
      </c>
      <c r="I24" s="23" t="s">
        <v>33</v>
      </c>
      <c r="J24" s="27"/>
      <c r="K24" s="23" t="n">
        <v>360</v>
      </c>
      <c r="L24" s="23" t="n">
        <v>1</v>
      </c>
      <c r="M24" s="24" t="n">
        <v>10</v>
      </c>
      <c r="N24" s="24" t="n">
        <v>3600</v>
      </c>
      <c r="P24" s="23" t="n">
        <v>5</v>
      </c>
      <c r="Q24" s="24" t="s">
        <v>297</v>
      </c>
      <c r="R24" s="23" t="n">
        <v>81</v>
      </c>
      <c r="S24" s="23" t="n">
        <v>11</v>
      </c>
      <c r="T24" s="27" t="s">
        <v>652</v>
      </c>
      <c r="U24" s="23" t="n">
        <v>12</v>
      </c>
      <c r="V24" s="26" t="n">
        <f aca="false">S24*(SQRT(U24))</f>
        <v>38.1051177665153</v>
      </c>
      <c r="X24" s="23" t="n">
        <v>80</v>
      </c>
      <c r="Y24" s="23" t="n">
        <v>12</v>
      </c>
      <c r="Z24" s="27" t="s">
        <v>653</v>
      </c>
      <c r="AA24" s="23" t="n">
        <v>11</v>
      </c>
      <c r="AB24" s="26" t="n">
        <f aca="false">Y24*(SQRT(AA24))</f>
        <v>39.7994974842648</v>
      </c>
      <c r="AD24" s="0"/>
      <c r="AE24" s="0"/>
    </row>
    <row r="25" s="23" customFormat="true" ht="15" hidden="false" customHeight="false" outlineLevel="0" collapsed="false">
      <c r="A25" s="23" t="n">
        <v>3733</v>
      </c>
      <c r="C25" s="23" t="s">
        <v>654</v>
      </c>
      <c r="D25" s="23" t="s">
        <v>655</v>
      </c>
      <c r="E25" s="23" t="s">
        <v>656</v>
      </c>
      <c r="F25" s="23" t="n">
        <v>2025</v>
      </c>
      <c r="G25" s="23" t="s">
        <v>657</v>
      </c>
      <c r="H25" s="23" t="s">
        <v>51</v>
      </c>
      <c r="I25" s="23" t="s">
        <v>33</v>
      </c>
      <c r="J25" s="27"/>
      <c r="K25" s="23" t="n">
        <v>360</v>
      </c>
      <c r="L25" s="23" t="n">
        <v>1</v>
      </c>
      <c r="M25" s="24" t="n">
        <v>21</v>
      </c>
      <c r="N25" s="24" t="n">
        <v>7560</v>
      </c>
      <c r="P25" s="23" t="n">
        <v>5</v>
      </c>
      <c r="Q25" s="24" t="n">
        <v>5</v>
      </c>
      <c r="R25" s="23" t="n">
        <v>107</v>
      </c>
      <c r="S25" s="23" t="n">
        <v>24</v>
      </c>
      <c r="T25" s="23" t="n">
        <v>8</v>
      </c>
      <c r="U25" s="23" t="n">
        <v>8</v>
      </c>
      <c r="V25" s="26" t="n">
        <f aca="false">S25*(SQRT(U25))</f>
        <v>67.8822509939086</v>
      </c>
      <c r="X25" s="23" t="n">
        <v>28</v>
      </c>
      <c r="Y25" s="46"/>
      <c r="Z25" s="23" t="n">
        <v>8</v>
      </c>
      <c r="AA25" s="23" t="n">
        <v>8</v>
      </c>
      <c r="AB25" s="26" t="n">
        <f aca="false">Y25*(SQRT(AA25))</f>
        <v>0</v>
      </c>
      <c r="AD25" s="0"/>
      <c r="AE25" s="0"/>
    </row>
    <row r="26" s="23" customFormat="true" ht="15" hidden="false" customHeight="false" outlineLevel="0" collapsed="false">
      <c r="A26" s="23" t="n">
        <v>3772</v>
      </c>
      <c r="C26" s="23" t="s">
        <v>658</v>
      </c>
      <c r="D26" s="23" t="s">
        <v>659</v>
      </c>
      <c r="E26" s="23" t="s">
        <v>660</v>
      </c>
      <c r="F26" s="23" t="n">
        <v>2023</v>
      </c>
      <c r="G26" s="23" t="s">
        <v>661</v>
      </c>
      <c r="H26" s="23" t="s">
        <v>32</v>
      </c>
      <c r="I26" s="23" t="s">
        <v>33</v>
      </c>
      <c r="J26" s="27"/>
      <c r="K26" s="23" t="n">
        <v>360</v>
      </c>
      <c r="L26" s="23" t="n">
        <v>1</v>
      </c>
      <c r="M26" s="24" t="n">
        <v>7</v>
      </c>
      <c r="N26" s="24" t="n">
        <v>2520</v>
      </c>
      <c r="P26" s="23" t="n">
        <v>5</v>
      </c>
      <c r="Q26" s="24" t="s">
        <v>140</v>
      </c>
      <c r="R26" s="46"/>
      <c r="S26" s="46"/>
      <c r="T26" s="46"/>
      <c r="U26" s="46"/>
      <c r="V26" s="46"/>
      <c r="X26" s="46"/>
      <c r="Y26" s="46"/>
      <c r="Z26" s="46"/>
      <c r="AA26" s="46"/>
      <c r="AB26" s="46"/>
      <c r="AD26" s="0"/>
      <c r="AE26" s="0"/>
    </row>
    <row r="27" s="23" customFormat="true" ht="15" hidden="false" customHeight="false" outlineLevel="0" collapsed="false">
      <c r="A27" s="23" t="n">
        <v>3822</v>
      </c>
      <c r="C27" s="23" t="s">
        <v>662</v>
      </c>
      <c r="D27" s="23" t="s">
        <v>663</v>
      </c>
      <c r="E27" s="23" t="s">
        <v>49</v>
      </c>
      <c r="F27" s="23" t="n">
        <v>2019</v>
      </c>
      <c r="G27" s="23" t="s">
        <v>664</v>
      </c>
      <c r="H27" s="23" t="s">
        <v>51</v>
      </c>
      <c r="I27" s="23" t="s">
        <v>33</v>
      </c>
      <c r="J27" s="27"/>
      <c r="K27" s="23" t="n">
        <v>360</v>
      </c>
      <c r="L27" s="23" t="n">
        <v>1</v>
      </c>
      <c r="M27" s="24" t="n">
        <v>21</v>
      </c>
      <c r="N27" s="24" t="n">
        <v>7560</v>
      </c>
      <c r="P27" s="23" t="n">
        <v>5</v>
      </c>
      <c r="Q27" s="24" t="s">
        <v>189</v>
      </c>
      <c r="R27" s="23" t="n">
        <v>24</v>
      </c>
      <c r="S27" s="23" t="n">
        <v>2</v>
      </c>
      <c r="T27" s="23" t="n">
        <v>10</v>
      </c>
      <c r="U27" s="23" t="n">
        <v>10</v>
      </c>
      <c r="V27" s="26" t="n">
        <f aca="false">S27*(SQRT(U27))</f>
        <v>6.32455532033676</v>
      </c>
      <c r="X27" s="23" t="n">
        <v>12</v>
      </c>
      <c r="Y27" s="23" t="n">
        <v>3</v>
      </c>
      <c r="Z27" s="23" t="n">
        <v>10</v>
      </c>
      <c r="AA27" s="23" t="n">
        <v>10</v>
      </c>
      <c r="AB27" s="26" t="n">
        <f aca="false">Y27*(SQRT(AA27))</f>
        <v>9.48683298050514</v>
      </c>
      <c r="AD27" s="0"/>
      <c r="AE27" s="0"/>
    </row>
    <row r="28" s="23" customFormat="true" ht="15" hidden="false" customHeight="false" outlineLevel="0" collapsed="false">
      <c r="A28" s="23" t="n">
        <v>3856</v>
      </c>
      <c r="C28" s="23" t="s">
        <v>665</v>
      </c>
      <c r="D28" s="23" t="s">
        <v>666</v>
      </c>
      <c r="E28" s="23" t="s">
        <v>74</v>
      </c>
      <c r="F28" s="23" t="n">
        <v>2015</v>
      </c>
      <c r="G28" s="23" t="s">
        <v>667</v>
      </c>
      <c r="H28" s="23" t="s">
        <v>668</v>
      </c>
      <c r="I28" s="23" t="s">
        <v>33</v>
      </c>
      <c r="J28" s="27" t="s">
        <v>168</v>
      </c>
      <c r="K28" s="23" t="n">
        <v>120</v>
      </c>
      <c r="L28" s="23" t="n">
        <v>1</v>
      </c>
      <c r="M28" s="24" t="n">
        <v>21</v>
      </c>
      <c r="N28" s="24" t="n">
        <v>2520</v>
      </c>
      <c r="P28" s="23" t="n">
        <v>5</v>
      </c>
      <c r="Q28" s="24" t="n">
        <v>1</v>
      </c>
      <c r="R28" s="23" t="n">
        <v>8</v>
      </c>
      <c r="S28" s="23" t="n">
        <v>3</v>
      </c>
      <c r="T28" s="23" t="n">
        <v>8</v>
      </c>
      <c r="U28" s="23" t="n">
        <v>8</v>
      </c>
      <c r="V28" s="26" t="n">
        <f aca="false">S28*(SQRT(U28))</f>
        <v>8.48528137423857</v>
      </c>
      <c r="X28" s="23" t="n">
        <v>12</v>
      </c>
      <c r="Y28" s="23" t="n">
        <v>6</v>
      </c>
      <c r="Z28" s="23" t="n">
        <v>8</v>
      </c>
      <c r="AA28" s="23" t="n">
        <v>8</v>
      </c>
      <c r="AB28" s="26" t="n">
        <f aca="false">Y28*(SQRT(AA28))</f>
        <v>16.9705627484771</v>
      </c>
      <c r="AD28" s="0"/>
      <c r="AE28" s="0"/>
    </row>
    <row r="29" s="23" customFormat="true" ht="15" hidden="false" customHeight="false" outlineLevel="0" collapsed="false">
      <c r="A29" s="37" t="n">
        <v>3926</v>
      </c>
      <c r="B29" s="37"/>
      <c r="C29" s="37" t="s">
        <v>164</v>
      </c>
      <c r="D29" s="37" t="s">
        <v>165</v>
      </c>
      <c r="E29" s="37" t="s">
        <v>166</v>
      </c>
      <c r="F29" s="37" t="n">
        <v>2023</v>
      </c>
      <c r="G29" s="37" t="s">
        <v>167</v>
      </c>
      <c r="H29" s="23" t="s">
        <v>32</v>
      </c>
      <c r="I29" s="37" t="s">
        <v>33</v>
      </c>
      <c r="J29" s="27" t="s">
        <v>34</v>
      </c>
      <c r="K29" s="23" t="n">
        <v>240</v>
      </c>
      <c r="L29" s="23" t="n">
        <v>1</v>
      </c>
      <c r="M29" s="24" t="n">
        <v>21</v>
      </c>
      <c r="N29" s="24" t="n">
        <v>5040</v>
      </c>
      <c r="P29" s="23" t="n">
        <v>10</v>
      </c>
      <c r="Q29" s="24" t="s">
        <v>46</v>
      </c>
      <c r="R29" s="23" t="n">
        <v>18</v>
      </c>
      <c r="S29" s="23" t="n">
        <v>8</v>
      </c>
      <c r="T29" s="23" t="n">
        <v>6</v>
      </c>
      <c r="U29" s="23" t="n">
        <v>6</v>
      </c>
      <c r="V29" s="26" t="n">
        <f aca="false">S29*(SQRT(U29))</f>
        <v>19.5959179422654</v>
      </c>
      <c r="X29" s="23" t="n">
        <v>4</v>
      </c>
      <c r="Y29" s="23" t="n">
        <v>5</v>
      </c>
      <c r="Z29" s="23" t="n">
        <v>6</v>
      </c>
      <c r="AA29" s="23" t="n">
        <v>6</v>
      </c>
      <c r="AB29" s="26" t="n">
        <f aca="false">Y29*(SQRT(AA29))</f>
        <v>12.2474487139159</v>
      </c>
      <c r="AD29" s="0"/>
      <c r="AE29" s="0"/>
    </row>
    <row r="30" s="23" customFormat="true" ht="15" hidden="false" customHeight="false" outlineLevel="0" collapsed="false">
      <c r="A30" s="37" t="n">
        <v>3926</v>
      </c>
      <c r="B30" s="37"/>
      <c r="C30" s="37" t="s">
        <v>164</v>
      </c>
      <c r="D30" s="37" t="s">
        <v>165</v>
      </c>
      <c r="E30" s="37" t="s">
        <v>166</v>
      </c>
      <c r="F30" s="37" t="n">
        <v>2023</v>
      </c>
      <c r="G30" s="37" t="s">
        <v>167</v>
      </c>
      <c r="H30" s="23" t="s">
        <v>32</v>
      </c>
      <c r="I30" s="37" t="s">
        <v>97</v>
      </c>
      <c r="J30" s="27" t="s">
        <v>34</v>
      </c>
      <c r="K30" s="23" t="n">
        <v>240</v>
      </c>
      <c r="L30" s="23" t="n">
        <v>1</v>
      </c>
      <c r="M30" s="24" t="n">
        <v>21</v>
      </c>
      <c r="N30" s="24" t="n">
        <v>5040</v>
      </c>
      <c r="P30" s="23" t="n">
        <v>10</v>
      </c>
      <c r="Q30" s="62"/>
      <c r="R30" s="43"/>
      <c r="S30" s="43"/>
      <c r="T30" s="43"/>
      <c r="U30" s="43"/>
      <c r="V30" s="43"/>
      <c r="X30" s="43"/>
      <c r="Y30" s="43"/>
      <c r="Z30" s="43"/>
      <c r="AA30" s="43"/>
      <c r="AB30" s="43"/>
      <c r="AD30" s="0"/>
      <c r="AE30" s="0"/>
    </row>
    <row r="31" s="23" customFormat="true" ht="15" hidden="false" customHeight="false" outlineLevel="0" collapsed="false">
      <c r="A31" s="37" t="n">
        <v>3972</v>
      </c>
      <c r="B31" s="37" t="n">
        <v>32768618</v>
      </c>
      <c r="C31" s="37" t="s">
        <v>669</v>
      </c>
      <c r="D31" s="37" t="s">
        <v>670</v>
      </c>
      <c r="E31" s="37" t="s">
        <v>488</v>
      </c>
      <c r="F31" s="37" t="n">
        <v>2020</v>
      </c>
      <c r="G31" s="37" t="s">
        <v>671</v>
      </c>
      <c r="H31" s="37" t="s">
        <v>123</v>
      </c>
      <c r="I31" s="23" t="s">
        <v>33</v>
      </c>
      <c r="J31" s="27" t="s">
        <v>200</v>
      </c>
      <c r="K31" s="23" t="n">
        <v>120</v>
      </c>
      <c r="L31" s="23" t="n">
        <v>1</v>
      </c>
      <c r="M31" s="24" t="n">
        <v>14</v>
      </c>
      <c r="N31" s="24" t="n">
        <v>1680</v>
      </c>
      <c r="P31" s="23" t="n">
        <v>5</v>
      </c>
      <c r="Q31" s="28"/>
      <c r="R31" s="46"/>
      <c r="S31" s="46"/>
      <c r="T31" s="46"/>
      <c r="U31" s="46"/>
      <c r="V31" s="46"/>
      <c r="X31" s="46"/>
      <c r="Y31" s="46"/>
      <c r="Z31" s="46"/>
      <c r="AA31" s="46"/>
      <c r="AB31" s="46"/>
      <c r="AD31" s="0"/>
      <c r="AE31" s="0"/>
    </row>
    <row r="32" s="23" customFormat="true" ht="15" hidden="false" customHeight="false" outlineLevel="0" collapsed="false">
      <c r="A32" s="37" t="n">
        <v>3972</v>
      </c>
      <c r="B32" s="37" t="n">
        <v>32768618</v>
      </c>
      <c r="C32" s="37" t="s">
        <v>669</v>
      </c>
      <c r="D32" s="37" t="s">
        <v>670</v>
      </c>
      <c r="E32" s="37" t="s">
        <v>488</v>
      </c>
      <c r="F32" s="37" t="n">
        <v>2020</v>
      </c>
      <c r="G32" s="37" t="s">
        <v>671</v>
      </c>
      <c r="H32" s="37" t="s">
        <v>672</v>
      </c>
      <c r="I32" s="23" t="s">
        <v>33</v>
      </c>
      <c r="J32" s="27" t="s">
        <v>200</v>
      </c>
      <c r="K32" s="23" t="n">
        <v>120</v>
      </c>
      <c r="L32" s="23" t="n">
        <v>1</v>
      </c>
      <c r="M32" s="24" t="n">
        <v>14</v>
      </c>
      <c r="N32" s="24" t="n">
        <v>1680</v>
      </c>
      <c r="P32" s="23" t="n">
        <v>5</v>
      </c>
      <c r="Q32" s="28"/>
      <c r="R32" s="46"/>
      <c r="S32" s="46"/>
      <c r="T32" s="46"/>
      <c r="U32" s="46"/>
      <c r="V32" s="46"/>
      <c r="X32" s="46"/>
      <c r="Y32" s="46"/>
      <c r="Z32" s="46"/>
      <c r="AA32" s="46"/>
      <c r="AB32" s="46"/>
      <c r="AD32" s="0"/>
      <c r="AE32" s="0"/>
    </row>
    <row r="33" s="23" customFormat="true" ht="15" hidden="false" customHeight="false" outlineLevel="0" collapsed="false">
      <c r="A33" s="23" t="n">
        <v>4027</v>
      </c>
      <c r="B33" s="23" t="n">
        <v>39411919</v>
      </c>
      <c r="C33" s="23" t="s">
        <v>180</v>
      </c>
      <c r="D33" s="23" t="s">
        <v>181</v>
      </c>
      <c r="E33" s="23" t="s">
        <v>182</v>
      </c>
      <c r="F33" s="23" t="n">
        <v>2025</v>
      </c>
      <c r="G33" s="23" t="s">
        <v>183</v>
      </c>
      <c r="H33" s="23" t="s">
        <v>32</v>
      </c>
      <c r="I33" s="23" t="s">
        <v>33</v>
      </c>
      <c r="J33" s="27" t="s">
        <v>61</v>
      </c>
      <c r="K33" s="23" t="n">
        <v>120</v>
      </c>
      <c r="L33" s="23" t="n">
        <v>1</v>
      </c>
      <c r="M33" s="24" t="n">
        <v>10</v>
      </c>
      <c r="N33" s="24" t="n">
        <v>1200</v>
      </c>
      <c r="P33" s="23" t="n">
        <v>5</v>
      </c>
      <c r="Q33" s="24" t="s">
        <v>59</v>
      </c>
      <c r="R33" s="23" t="n">
        <v>85</v>
      </c>
      <c r="S33" s="23" t="n">
        <v>17</v>
      </c>
      <c r="T33" s="23" t="n">
        <v>4</v>
      </c>
      <c r="U33" s="23" t="n">
        <v>4</v>
      </c>
      <c r="V33" s="26" t="n">
        <f aca="false">S33*(SQRT(U33))</f>
        <v>34</v>
      </c>
      <c r="X33" s="23" t="n">
        <v>45</v>
      </c>
      <c r="Y33" s="23" t="n">
        <v>6</v>
      </c>
      <c r="Z33" s="23" t="n">
        <v>4</v>
      </c>
      <c r="AA33" s="23" t="n">
        <v>4</v>
      </c>
      <c r="AB33" s="26" t="n">
        <f aca="false">Y33*(SQRT(AA33))</f>
        <v>12</v>
      </c>
      <c r="AD33" s="0"/>
      <c r="AE33" s="0"/>
    </row>
    <row r="34" s="23" customFormat="true" ht="15" hidden="false" customHeight="false" outlineLevel="0" collapsed="false">
      <c r="A34" s="23" t="n">
        <v>4070</v>
      </c>
      <c r="B34" s="23" t="n">
        <v>29317595</v>
      </c>
      <c r="C34" s="23" t="s">
        <v>190</v>
      </c>
      <c r="D34" s="23" t="s">
        <v>191</v>
      </c>
      <c r="E34" s="23" t="s">
        <v>192</v>
      </c>
      <c r="F34" s="23" t="n">
        <v>2018</v>
      </c>
      <c r="G34" s="23" t="s">
        <v>193</v>
      </c>
      <c r="H34" s="23" t="s">
        <v>32</v>
      </c>
      <c r="I34" s="23" t="s">
        <v>33</v>
      </c>
      <c r="J34" s="27"/>
      <c r="K34" s="23" t="n">
        <v>360</v>
      </c>
      <c r="L34" s="23" t="n">
        <v>1</v>
      </c>
      <c r="M34" s="24" t="n">
        <v>21</v>
      </c>
      <c r="N34" s="24" t="n">
        <v>7560</v>
      </c>
      <c r="P34" s="23" t="n">
        <v>5</v>
      </c>
      <c r="Q34" s="24" t="s">
        <v>673</v>
      </c>
      <c r="R34" s="46"/>
      <c r="S34" s="46"/>
      <c r="T34" s="46"/>
      <c r="U34" s="46"/>
      <c r="V34" s="46"/>
      <c r="X34" s="46"/>
      <c r="Y34" s="46"/>
      <c r="Z34" s="46"/>
      <c r="AA34" s="46"/>
      <c r="AB34" s="46"/>
      <c r="AD34" s="0"/>
      <c r="AE34" s="0"/>
    </row>
    <row r="35" s="23" customFormat="true" ht="15" hidden="false" customHeight="false" outlineLevel="0" collapsed="false">
      <c r="A35" s="23" t="n">
        <v>4265</v>
      </c>
      <c r="C35" s="23" t="s">
        <v>674</v>
      </c>
      <c r="D35" s="23" t="s">
        <v>675</v>
      </c>
      <c r="E35" s="23" t="s">
        <v>74</v>
      </c>
      <c r="F35" s="23" t="n">
        <v>2020</v>
      </c>
      <c r="G35" s="23" t="s">
        <v>676</v>
      </c>
      <c r="H35" s="23" t="s">
        <v>32</v>
      </c>
      <c r="I35" s="23" t="s">
        <v>33</v>
      </c>
      <c r="J35" s="27"/>
      <c r="K35" s="23" t="n">
        <v>360</v>
      </c>
      <c r="L35" s="23" t="n">
        <v>1</v>
      </c>
      <c r="M35" s="24" t="n">
        <v>21</v>
      </c>
      <c r="N35" s="24" t="n">
        <v>7560</v>
      </c>
      <c r="P35" s="23" t="n">
        <v>5</v>
      </c>
      <c r="Q35" s="24" t="s">
        <v>70</v>
      </c>
      <c r="R35" s="23" t="n">
        <v>95</v>
      </c>
      <c r="S35" s="23" t="s">
        <v>71</v>
      </c>
      <c r="T35" s="23" t="n">
        <v>12</v>
      </c>
      <c r="V35" s="23" t="n">
        <v>17</v>
      </c>
      <c r="X35" s="23" t="n">
        <v>67</v>
      </c>
      <c r="Y35" s="23" t="s">
        <v>71</v>
      </c>
      <c r="Z35" s="23" t="n">
        <v>12</v>
      </c>
      <c r="AB35" s="23" t="n">
        <v>12</v>
      </c>
      <c r="AD35" s="0"/>
      <c r="AE35" s="0"/>
    </row>
    <row r="36" customFormat="false" ht="15" hidden="false" customHeight="false" outlineLevel="0" collapsed="false">
      <c r="A36" s="23" t="n">
        <v>4485</v>
      </c>
      <c r="C36" s="23" t="s">
        <v>677</v>
      </c>
      <c r="D36" s="23" t="s">
        <v>678</v>
      </c>
      <c r="E36" s="23" t="s">
        <v>56</v>
      </c>
      <c r="F36" s="23" t="n">
        <v>2023</v>
      </c>
      <c r="G36" s="23" t="s">
        <v>679</v>
      </c>
      <c r="H36" s="23" t="s">
        <v>51</v>
      </c>
      <c r="I36" s="23" t="s">
        <v>33</v>
      </c>
      <c r="J36" s="27"/>
      <c r="K36" s="23" t="n">
        <v>60</v>
      </c>
      <c r="L36" s="23" t="n">
        <v>1</v>
      </c>
      <c r="M36" s="24" t="n">
        <v>15</v>
      </c>
      <c r="N36" s="24" t="n">
        <v>900</v>
      </c>
      <c r="O36" s="23" t="s">
        <v>76</v>
      </c>
      <c r="P36" s="23" t="n">
        <v>5</v>
      </c>
      <c r="Q36" s="28"/>
      <c r="R36" s="46"/>
      <c r="S36" s="46"/>
      <c r="T36" s="46"/>
      <c r="U36" s="46"/>
      <c r="V36" s="46"/>
      <c r="W36" s="23"/>
      <c r="X36" s="46"/>
      <c r="Y36" s="46"/>
      <c r="Z36" s="46"/>
      <c r="AA36" s="46"/>
      <c r="AB36" s="46"/>
      <c r="AC36" s="23"/>
    </row>
    <row r="37" s="23" customFormat="true" ht="15" hidden="false" customHeight="false" outlineLevel="0" collapsed="false">
      <c r="A37" s="23" t="n">
        <v>4548</v>
      </c>
      <c r="C37" s="23" t="s">
        <v>680</v>
      </c>
      <c r="D37" s="23" t="s">
        <v>681</v>
      </c>
      <c r="E37" s="23" t="s">
        <v>682</v>
      </c>
      <c r="F37" s="23" t="n">
        <v>2023</v>
      </c>
      <c r="G37" s="23" t="s">
        <v>683</v>
      </c>
      <c r="H37" s="23" t="s">
        <v>51</v>
      </c>
      <c r="I37" s="23" t="s">
        <v>33</v>
      </c>
      <c r="J37" s="27"/>
      <c r="K37" s="23" t="n">
        <v>240</v>
      </c>
      <c r="L37" s="23" t="n">
        <v>1</v>
      </c>
      <c r="M37" s="24" t="n">
        <v>14</v>
      </c>
      <c r="N37" s="24" t="n">
        <v>3360</v>
      </c>
      <c r="P37" s="23" t="n">
        <v>5</v>
      </c>
      <c r="Q37" s="24" t="s">
        <v>89</v>
      </c>
      <c r="R37" s="23" t="n">
        <v>11</v>
      </c>
      <c r="S37" s="23" t="n">
        <v>0.5</v>
      </c>
      <c r="T37" s="23" t="n">
        <v>8</v>
      </c>
      <c r="U37" s="23" t="n">
        <v>8</v>
      </c>
      <c r="V37" s="26" t="n">
        <f aca="false">S37*(SQRT(U37))</f>
        <v>1.4142135623731</v>
      </c>
      <c r="X37" s="23" t="n">
        <v>3</v>
      </c>
      <c r="Y37" s="23" t="n">
        <v>0.7</v>
      </c>
      <c r="Z37" s="23" t="n">
        <v>8</v>
      </c>
      <c r="AA37" s="23" t="n">
        <v>8</v>
      </c>
      <c r="AB37" s="26" t="n">
        <f aca="false">Y37*(SQRT(AA37))</f>
        <v>1.97989898732233</v>
      </c>
      <c r="AD37" s="0"/>
      <c r="AE37" s="0"/>
    </row>
    <row r="38" s="23" customFormat="true" ht="15" hidden="false" customHeight="false" outlineLevel="0" collapsed="false">
      <c r="A38" s="23" t="n">
        <v>4560</v>
      </c>
      <c r="C38" s="23" t="s">
        <v>684</v>
      </c>
      <c r="D38" s="23" t="s">
        <v>685</v>
      </c>
      <c r="E38" s="23" t="s">
        <v>686</v>
      </c>
      <c r="F38" s="23" t="n">
        <v>2015</v>
      </c>
      <c r="G38" s="23" t="s">
        <v>687</v>
      </c>
      <c r="H38" s="23" t="s">
        <v>51</v>
      </c>
      <c r="I38" s="23" t="s">
        <v>33</v>
      </c>
      <c r="J38" s="27"/>
      <c r="K38" s="23" t="n">
        <v>60</v>
      </c>
      <c r="L38" s="23" t="n">
        <v>1</v>
      </c>
      <c r="M38" s="24" t="n">
        <v>15</v>
      </c>
      <c r="N38" s="24" t="n">
        <v>900</v>
      </c>
      <c r="P38" s="23" t="n">
        <v>5</v>
      </c>
      <c r="Q38" s="24" t="s">
        <v>189</v>
      </c>
      <c r="T38" s="46"/>
      <c r="U38" s="46"/>
      <c r="V38" s="26"/>
      <c r="Z38" s="46"/>
      <c r="AA38" s="46"/>
      <c r="AB38" s="26"/>
      <c r="AD38" s="0"/>
      <c r="AE38" s="0"/>
    </row>
    <row r="39" s="23" customFormat="true" ht="15" hidden="false" customHeight="false" outlineLevel="0" collapsed="false">
      <c r="A39" s="37" t="n">
        <v>4735</v>
      </c>
      <c r="B39" s="37"/>
      <c r="C39" s="37" t="s">
        <v>688</v>
      </c>
      <c r="D39" s="37" t="s">
        <v>689</v>
      </c>
      <c r="E39" s="37" t="s">
        <v>690</v>
      </c>
      <c r="F39" s="37" t="n">
        <v>2025</v>
      </c>
      <c r="G39" s="37" t="s">
        <v>691</v>
      </c>
      <c r="H39" s="23" t="s">
        <v>32</v>
      </c>
      <c r="I39" s="37" t="s">
        <v>33</v>
      </c>
      <c r="J39" s="27" t="s">
        <v>605</v>
      </c>
      <c r="K39" s="23" t="n">
        <v>360</v>
      </c>
      <c r="L39" s="23" t="n">
        <v>1</v>
      </c>
      <c r="M39" s="24" t="n">
        <v>10</v>
      </c>
      <c r="N39" s="24" t="n">
        <v>3600</v>
      </c>
      <c r="P39" s="23" t="n">
        <v>5</v>
      </c>
      <c r="Q39" s="28"/>
      <c r="R39" s="46"/>
      <c r="S39" s="46"/>
      <c r="T39" s="46"/>
      <c r="U39" s="46"/>
      <c r="V39" s="46"/>
      <c r="X39" s="46"/>
      <c r="Y39" s="46"/>
      <c r="Z39" s="46"/>
      <c r="AA39" s="46"/>
      <c r="AB39" s="46"/>
      <c r="AD39" s="0"/>
      <c r="AE39" s="0"/>
    </row>
    <row r="40" s="23" customFormat="true" ht="15" hidden="false" customHeight="false" outlineLevel="0" collapsed="false">
      <c r="A40" s="37" t="n">
        <v>4735</v>
      </c>
      <c r="B40" s="37"/>
      <c r="C40" s="37" t="s">
        <v>688</v>
      </c>
      <c r="D40" s="37" t="s">
        <v>689</v>
      </c>
      <c r="E40" s="37" t="s">
        <v>690</v>
      </c>
      <c r="F40" s="37" t="n">
        <v>2025</v>
      </c>
      <c r="G40" s="37" t="s">
        <v>691</v>
      </c>
      <c r="H40" s="23" t="s">
        <v>32</v>
      </c>
      <c r="I40" s="37" t="s">
        <v>97</v>
      </c>
      <c r="J40" s="27" t="s">
        <v>605</v>
      </c>
      <c r="K40" s="23" t="n">
        <v>360</v>
      </c>
      <c r="L40" s="23" t="n">
        <v>1</v>
      </c>
      <c r="M40" s="24" t="n">
        <v>10</v>
      </c>
      <c r="N40" s="24" t="n">
        <v>3600</v>
      </c>
      <c r="P40" s="23" t="n">
        <v>5</v>
      </c>
      <c r="Q40" s="28"/>
      <c r="R40" s="46"/>
      <c r="S40" s="46"/>
      <c r="T40" s="46"/>
      <c r="U40" s="46"/>
      <c r="V40" s="46"/>
      <c r="X40" s="46"/>
      <c r="Y40" s="46"/>
      <c r="Z40" s="46"/>
      <c r="AA40" s="46"/>
      <c r="AB40" s="46"/>
      <c r="AD40" s="0"/>
      <c r="AE40" s="0"/>
    </row>
    <row r="41" s="23" customFormat="true" ht="15" hidden="false" customHeight="false" outlineLevel="0" collapsed="false">
      <c r="A41" s="23" t="n">
        <v>4794</v>
      </c>
      <c r="B41" s="23" t="n">
        <v>35780963</v>
      </c>
      <c r="C41" s="23" t="s">
        <v>518</v>
      </c>
      <c r="D41" s="23" t="s">
        <v>519</v>
      </c>
      <c r="E41" s="23" t="s">
        <v>110</v>
      </c>
      <c r="F41" s="23" t="n">
        <v>2022</v>
      </c>
      <c r="G41" s="23" t="s">
        <v>520</v>
      </c>
      <c r="H41" s="23" t="s">
        <v>32</v>
      </c>
      <c r="I41" s="23" t="s">
        <v>33</v>
      </c>
      <c r="J41" s="27"/>
      <c r="K41" s="23" t="n">
        <v>360</v>
      </c>
      <c r="L41" s="23" t="n">
        <v>1</v>
      </c>
      <c r="M41" s="24" t="n">
        <v>21</v>
      </c>
      <c r="N41" s="24" t="n">
        <v>7560</v>
      </c>
      <c r="P41" s="23" t="n">
        <v>5</v>
      </c>
      <c r="Q41" s="24" t="s">
        <v>692</v>
      </c>
      <c r="R41" s="23" t="n">
        <v>21</v>
      </c>
      <c r="S41" s="23" t="n">
        <v>7</v>
      </c>
      <c r="T41" s="23" t="n">
        <v>10</v>
      </c>
      <c r="U41" s="23" t="n">
        <v>10</v>
      </c>
      <c r="V41" s="26" t="n">
        <f aca="false">S41*(SQRT(U41))</f>
        <v>22.1359436211787</v>
      </c>
      <c r="X41" s="23" t="n">
        <v>21</v>
      </c>
      <c r="Y41" s="23" t="n">
        <v>10</v>
      </c>
      <c r="Z41" s="23" t="n">
        <v>10</v>
      </c>
      <c r="AA41" s="23" t="n">
        <v>10</v>
      </c>
      <c r="AB41" s="26" t="n">
        <f aca="false">Y41*(SQRT(AA41))</f>
        <v>31.6227766016838</v>
      </c>
      <c r="AD41" s="0"/>
      <c r="AE41" s="0"/>
    </row>
    <row r="42" customFormat="false" ht="15" hidden="false" customHeight="false" outlineLevel="0" collapsed="false">
      <c r="A42" s="23" t="n">
        <v>4832</v>
      </c>
      <c r="B42" s="23" t="n">
        <v>26555398</v>
      </c>
      <c r="C42" s="23" t="s">
        <v>195</v>
      </c>
      <c r="D42" s="23" t="s">
        <v>196</v>
      </c>
      <c r="E42" s="23" t="s">
        <v>197</v>
      </c>
      <c r="F42" s="23" t="n">
        <v>2016</v>
      </c>
      <c r="G42" s="23" t="s">
        <v>198</v>
      </c>
      <c r="H42" s="23" t="s">
        <v>32</v>
      </c>
      <c r="I42" s="23" t="s">
        <v>33</v>
      </c>
      <c r="J42" s="27"/>
      <c r="K42" s="23" t="n">
        <v>240</v>
      </c>
      <c r="L42" s="23" t="n">
        <v>1</v>
      </c>
      <c r="M42" s="24" t="n">
        <v>5</v>
      </c>
      <c r="N42" s="24" t="n">
        <v>1200</v>
      </c>
      <c r="O42" s="23" t="s">
        <v>199</v>
      </c>
      <c r="P42" s="23" t="n">
        <v>5</v>
      </c>
      <c r="Q42" s="24" t="s">
        <v>693</v>
      </c>
      <c r="R42" s="23" t="n">
        <v>27</v>
      </c>
      <c r="S42" s="23" t="n">
        <v>7</v>
      </c>
      <c r="T42" s="27" t="s">
        <v>652</v>
      </c>
      <c r="U42" s="23" t="n">
        <v>12</v>
      </c>
      <c r="V42" s="26" t="n">
        <f aca="false">S42*(SQRT(U42))</f>
        <v>24.2487113059643</v>
      </c>
      <c r="W42" s="23"/>
      <c r="X42" s="23" t="n">
        <v>33</v>
      </c>
      <c r="Y42" s="23" t="n">
        <v>9</v>
      </c>
      <c r="Z42" s="27" t="s">
        <v>652</v>
      </c>
      <c r="AA42" s="23" t="n">
        <v>12</v>
      </c>
      <c r="AB42" s="26" t="n">
        <f aca="false">Y42*(SQRT(AA42))</f>
        <v>31.1769145362398</v>
      </c>
      <c r="AC42" s="23"/>
    </row>
    <row r="43" s="23" customFormat="true" ht="15" hidden="false" customHeight="false" outlineLevel="0" collapsed="false">
      <c r="A43" s="23" t="n">
        <v>4833</v>
      </c>
      <c r="C43" s="23" t="s">
        <v>694</v>
      </c>
      <c r="D43" s="23" t="s">
        <v>695</v>
      </c>
      <c r="E43" s="23" t="s">
        <v>44</v>
      </c>
      <c r="F43" s="23" t="n">
        <v>2022</v>
      </c>
      <c r="G43" s="23" t="s">
        <v>696</v>
      </c>
      <c r="H43" s="23" t="s">
        <v>51</v>
      </c>
      <c r="I43" s="23" t="s">
        <v>33</v>
      </c>
      <c r="J43" s="27"/>
      <c r="K43" s="23" t="n">
        <v>240</v>
      </c>
      <c r="L43" s="23" t="n">
        <v>1</v>
      </c>
      <c r="M43" s="24" t="n">
        <v>20</v>
      </c>
      <c r="N43" s="24" t="n">
        <v>4800</v>
      </c>
      <c r="P43" s="23" t="n">
        <v>5</v>
      </c>
      <c r="Q43" s="24" t="n">
        <v>3</v>
      </c>
      <c r="R43" s="23" t="n">
        <v>85</v>
      </c>
      <c r="S43" s="23" t="n">
        <v>20</v>
      </c>
      <c r="T43" s="23" t="n">
        <v>10</v>
      </c>
      <c r="U43" s="23" t="n">
        <v>10</v>
      </c>
      <c r="V43" s="26" t="n">
        <f aca="false">S43*(SQRT(U43))</f>
        <v>63.2455532033676</v>
      </c>
      <c r="X43" s="23" t="n">
        <v>10</v>
      </c>
      <c r="Y43" s="23" t="n">
        <v>4</v>
      </c>
      <c r="Z43" s="23" t="n">
        <v>10</v>
      </c>
      <c r="AA43" s="23" t="n">
        <v>10</v>
      </c>
      <c r="AB43" s="26" t="n">
        <f aca="false">Y43*(SQRT(AA43))</f>
        <v>12.6491106406735</v>
      </c>
      <c r="AD43" s="0"/>
      <c r="AE43" s="0"/>
    </row>
    <row r="44" customFormat="false" ht="15" hidden="false" customHeight="false" outlineLevel="0" collapsed="false">
      <c r="A44" s="37" t="n">
        <v>4887</v>
      </c>
      <c r="B44" s="37" t="n">
        <v>36921909</v>
      </c>
      <c r="C44" s="37" t="s">
        <v>521</v>
      </c>
      <c r="D44" s="37" t="s">
        <v>522</v>
      </c>
      <c r="E44" s="37" t="s">
        <v>523</v>
      </c>
      <c r="F44" s="37" t="n">
        <v>2023</v>
      </c>
      <c r="G44" s="37" t="s">
        <v>524</v>
      </c>
      <c r="H44" s="23" t="s">
        <v>51</v>
      </c>
      <c r="I44" s="37" t="s">
        <v>33</v>
      </c>
      <c r="J44" s="27"/>
      <c r="K44" s="23" t="n">
        <v>360</v>
      </c>
      <c r="L44" s="23" t="n">
        <v>1</v>
      </c>
      <c r="M44" s="45" t="n">
        <v>11</v>
      </c>
      <c r="N44" s="24" t="n">
        <v>3960</v>
      </c>
      <c r="P44" s="23" t="n">
        <v>5</v>
      </c>
      <c r="Q44" s="24" t="n">
        <v>3</v>
      </c>
      <c r="R44" s="23" t="n">
        <v>24</v>
      </c>
      <c r="S44" s="23" t="n">
        <v>6</v>
      </c>
      <c r="T44" s="23" t="n">
        <v>10</v>
      </c>
      <c r="U44" s="23" t="n">
        <v>10</v>
      </c>
      <c r="V44" s="26" t="n">
        <f aca="false">S44*(SQRT(U44))</f>
        <v>18.9736659610103</v>
      </c>
      <c r="W44" s="23"/>
      <c r="X44" s="23" t="n">
        <v>14</v>
      </c>
      <c r="Y44" s="23" t="n">
        <v>3</v>
      </c>
      <c r="Z44" s="23" t="n">
        <v>10</v>
      </c>
      <c r="AA44" s="23" t="n">
        <v>10</v>
      </c>
      <c r="AB44" s="26" t="n">
        <f aca="false">Y44*(SQRT(AA44))</f>
        <v>9.48683298050514</v>
      </c>
      <c r="AC44" s="23"/>
    </row>
    <row r="45" customFormat="false" ht="15" hidden="false" customHeight="false" outlineLevel="0" collapsed="false">
      <c r="A45" s="37" t="n">
        <v>4887</v>
      </c>
      <c r="B45" s="37" t="n">
        <v>36921909</v>
      </c>
      <c r="C45" s="37" t="s">
        <v>521</v>
      </c>
      <c r="D45" s="37" t="s">
        <v>522</v>
      </c>
      <c r="E45" s="37" t="s">
        <v>523</v>
      </c>
      <c r="F45" s="37" t="n">
        <v>2023</v>
      </c>
      <c r="G45" s="37" t="s">
        <v>524</v>
      </c>
      <c r="H45" s="23" t="s">
        <v>51</v>
      </c>
      <c r="I45" s="37" t="s">
        <v>97</v>
      </c>
      <c r="J45" s="27"/>
      <c r="K45" s="23" t="n">
        <v>360</v>
      </c>
      <c r="L45" s="23" t="n">
        <v>1</v>
      </c>
      <c r="M45" s="45" t="n">
        <v>11</v>
      </c>
      <c r="N45" s="24" t="n">
        <v>3960</v>
      </c>
      <c r="P45" s="23" t="n">
        <v>5</v>
      </c>
      <c r="Q45" s="24" t="n">
        <v>3</v>
      </c>
      <c r="R45" s="23" t="n">
        <v>31</v>
      </c>
      <c r="S45" s="23" t="n">
        <v>4</v>
      </c>
      <c r="T45" s="23" t="n">
        <v>10</v>
      </c>
      <c r="U45" s="23" t="n">
        <v>10</v>
      </c>
      <c r="V45" s="26" t="n">
        <f aca="false">S45*(SQRT(U45))</f>
        <v>12.6491106406735</v>
      </c>
      <c r="W45" s="23"/>
      <c r="X45" s="23" t="n">
        <v>31</v>
      </c>
      <c r="Y45" s="23" t="n">
        <v>7</v>
      </c>
      <c r="Z45" s="23" t="n">
        <v>10</v>
      </c>
      <c r="AA45" s="23" t="n">
        <v>10</v>
      </c>
      <c r="AB45" s="26" t="n">
        <f aca="false">Y45*(SQRT(AA45))</f>
        <v>22.1359436211787</v>
      </c>
      <c r="AC45" s="23"/>
    </row>
    <row r="46" customFormat="false" ht="15" hidden="false" customHeight="false" outlineLevel="0" collapsed="false">
      <c r="A46" s="37" t="n">
        <v>4887</v>
      </c>
      <c r="B46" s="37" t="n">
        <v>36921909</v>
      </c>
      <c r="C46" s="37" t="s">
        <v>521</v>
      </c>
      <c r="D46" s="37" t="s">
        <v>522</v>
      </c>
      <c r="E46" s="37" t="s">
        <v>523</v>
      </c>
      <c r="F46" s="37" t="n">
        <v>2023</v>
      </c>
      <c r="G46" s="37" t="s">
        <v>524</v>
      </c>
      <c r="H46" s="23" t="s">
        <v>51</v>
      </c>
      <c r="I46" s="37" t="s">
        <v>33</v>
      </c>
      <c r="J46" s="27"/>
      <c r="K46" s="23" t="n">
        <v>360</v>
      </c>
      <c r="L46" s="23" t="n">
        <v>1</v>
      </c>
      <c r="M46" s="45" t="n">
        <v>22</v>
      </c>
      <c r="N46" s="24" t="n">
        <v>7920</v>
      </c>
      <c r="P46" s="23" t="n">
        <v>5</v>
      </c>
      <c r="Q46" s="24" t="n">
        <v>3</v>
      </c>
      <c r="R46" s="23" t="n">
        <v>29</v>
      </c>
      <c r="S46" s="23" t="n">
        <v>7</v>
      </c>
      <c r="T46" s="23" t="n">
        <v>10</v>
      </c>
      <c r="U46" s="23" t="n">
        <v>10</v>
      </c>
      <c r="V46" s="26" t="n">
        <f aca="false">S46*(SQRT(U46))</f>
        <v>22.1359436211787</v>
      </c>
      <c r="W46" s="23"/>
      <c r="X46" s="23" t="n">
        <v>36</v>
      </c>
      <c r="Y46" s="23" t="n">
        <v>2</v>
      </c>
      <c r="Z46" s="23" t="n">
        <v>10</v>
      </c>
      <c r="AA46" s="23" t="n">
        <v>10</v>
      </c>
      <c r="AB46" s="26" t="n">
        <f aca="false">Y46*(SQRT(AA46))</f>
        <v>6.32455532033676</v>
      </c>
      <c r="AC46" s="23"/>
    </row>
    <row r="47" customFormat="false" ht="15" hidden="false" customHeight="false" outlineLevel="0" collapsed="false">
      <c r="A47" s="37" t="n">
        <v>4887</v>
      </c>
      <c r="B47" s="37" t="n">
        <v>36921909</v>
      </c>
      <c r="C47" s="37" t="s">
        <v>521</v>
      </c>
      <c r="D47" s="37" t="s">
        <v>522</v>
      </c>
      <c r="E47" s="37" t="s">
        <v>523</v>
      </c>
      <c r="F47" s="37" t="n">
        <v>2023</v>
      </c>
      <c r="G47" s="37" t="s">
        <v>524</v>
      </c>
      <c r="H47" s="23" t="s">
        <v>51</v>
      </c>
      <c r="I47" s="37" t="s">
        <v>97</v>
      </c>
      <c r="J47" s="27"/>
      <c r="K47" s="23" t="n">
        <v>360</v>
      </c>
      <c r="L47" s="23" t="n">
        <v>1</v>
      </c>
      <c r="M47" s="45" t="n">
        <v>22</v>
      </c>
      <c r="N47" s="24" t="n">
        <v>7920</v>
      </c>
      <c r="P47" s="23" t="n">
        <v>5</v>
      </c>
      <c r="Q47" s="24" t="n">
        <v>3</v>
      </c>
      <c r="R47" s="23" t="n">
        <v>35</v>
      </c>
      <c r="S47" s="23" t="n">
        <v>3</v>
      </c>
      <c r="T47" s="23" t="n">
        <v>10</v>
      </c>
      <c r="U47" s="23" t="n">
        <v>10</v>
      </c>
      <c r="V47" s="26" t="n">
        <f aca="false">S47*(SQRT(U47))</f>
        <v>9.48683298050514</v>
      </c>
      <c r="W47" s="23"/>
      <c r="X47" s="23" t="n">
        <v>24</v>
      </c>
      <c r="Y47" s="23" t="n">
        <v>4</v>
      </c>
      <c r="Z47" s="23" t="n">
        <v>10</v>
      </c>
      <c r="AA47" s="23" t="n">
        <v>10</v>
      </c>
      <c r="AB47" s="26" t="n">
        <f aca="false">Y47*(SQRT(AA47))</f>
        <v>12.6491106406735</v>
      </c>
      <c r="AC47" s="23"/>
    </row>
    <row r="48" s="23" customFormat="true" ht="15" hidden="false" customHeight="false" outlineLevel="0" collapsed="false">
      <c r="A48" s="23" t="n">
        <v>4961</v>
      </c>
      <c r="B48" s="23" t="n">
        <v>38882046</v>
      </c>
      <c r="C48" s="23" t="s">
        <v>212</v>
      </c>
      <c r="D48" s="23" t="s">
        <v>213</v>
      </c>
      <c r="E48" s="23" t="s">
        <v>214</v>
      </c>
      <c r="F48" s="23" t="n">
        <v>2024</v>
      </c>
      <c r="G48" s="23" t="s">
        <v>215</v>
      </c>
      <c r="H48" s="23" t="s">
        <v>32</v>
      </c>
      <c r="I48" s="23" t="s">
        <v>33</v>
      </c>
      <c r="J48" s="27"/>
      <c r="K48" s="23" t="n">
        <v>180</v>
      </c>
      <c r="L48" s="23" t="n">
        <v>1</v>
      </c>
      <c r="M48" s="24" t="n">
        <v>28</v>
      </c>
      <c r="N48" s="24" t="n">
        <v>5040</v>
      </c>
      <c r="P48" s="23" t="n">
        <v>5</v>
      </c>
      <c r="Q48" s="24" t="s">
        <v>494</v>
      </c>
      <c r="R48" s="23" t="n">
        <v>27</v>
      </c>
      <c r="S48" s="23" t="s">
        <v>71</v>
      </c>
      <c r="T48" s="23" t="n">
        <v>6</v>
      </c>
      <c r="U48" s="25"/>
      <c r="V48" s="23" t="n">
        <v>5.5</v>
      </c>
      <c r="X48" s="23" t="n">
        <v>20</v>
      </c>
      <c r="Y48" s="23" t="s">
        <v>71</v>
      </c>
      <c r="Z48" s="23" t="n">
        <v>6</v>
      </c>
      <c r="AB48" s="23" t="n">
        <v>2.7</v>
      </c>
      <c r="AD48" s="0"/>
      <c r="AE48" s="0"/>
    </row>
    <row r="49" s="23" customFormat="true" ht="16.4" hidden="false" customHeight="false" outlineLevel="0" collapsed="false">
      <c r="A49" s="23" t="n">
        <v>4973</v>
      </c>
      <c r="C49" s="41" t="s">
        <v>217</v>
      </c>
      <c r="D49" s="41" t="s">
        <v>218</v>
      </c>
      <c r="E49" s="41" t="s">
        <v>219</v>
      </c>
      <c r="F49" s="41" t="n">
        <v>2022</v>
      </c>
      <c r="G49" s="42" t="s">
        <v>220</v>
      </c>
      <c r="H49" s="23" t="s">
        <v>32</v>
      </c>
      <c r="I49" s="23" t="s">
        <v>33</v>
      </c>
      <c r="J49" s="27"/>
      <c r="K49" s="23" t="n">
        <v>150</v>
      </c>
      <c r="L49" s="23" t="n">
        <v>1</v>
      </c>
      <c r="M49" s="24" t="n">
        <v>13</v>
      </c>
      <c r="N49" s="24" t="n">
        <v>1950</v>
      </c>
      <c r="P49" s="23" t="n">
        <v>5</v>
      </c>
      <c r="Q49" s="24" t="s">
        <v>174</v>
      </c>
      <c r="R49" s="23" t="n">
        <v>3.7</v>
      </c>
      <c r="S49" s="23" t="n">
        <v>1</v>
      </c>
      <c r="T49" s="23" t="n">
        <v>16</v>
      </c>
      <c r="U49" s="23" t="n">
        <v>16</v>
      </c>
      <c r="V49" s="26" t="n">
        <f aca="false">S49*(SQRT(U49))</f>
        <v>4</v>
      </c>
      <c r="X49" s="23" t="n">
        <v>9.6</v>
      </c>
      <c r="Y49" s="23" t="n">
        <v>2</v>
      </c>
      <c r="Z49" s="23" t="n">
        <v>20</v>
      </c>
      <c r="AA49" s="23" t="n">
        <v>20</v>
      </c>
      <c r="AB49" s="26" t="n">
        <f aca="false">Y49*(SQRT(AA49))</f>
        <v>8.94427190999916</v>
      </c>
      <c r="AD49" s="0"/>
      <c r="AE49" s="0"/>
    </row>
    <row r="50" s="23" customFormat="true" ht="15" hidden="false" customHeight="false" outlineLevel="0" collapsed="false">
      <c r="A50" s="23" t="n">
        <v>5014</v>
      </c>
      <c r="B50" s="23" t="n">
        <v>38703343</v>
      </c>
      <c r="C50" s="23" t="s">
        <v>221</v>
      </c>
      <c r="D50" s="23" t="s">
        <v>222</v>
      </c>
      <c r="E50" s="23" t="s">
        <v>223</v>
      </c>
      <c r="F50" s="23" t="n">
        <v>2024</v>
      </c>
      <c r="G50" s="23" t="s">
        <v>224</v>
      </c>
      <c r="H50" s="23" t="s">
        <v>51</v>
      </c>
      <c r="I50" s="23" t="s">
        <v>33</v>
      </c>
      <c r="J50" s="27" t="s">
        <v>94</v>
      </c>
      <c r="K50" s="23" t="n">
        <v>360</v>
      </c>
      <c r="L50" s="23" t="n">
        <v>1</v>
      </c>
      <c r="M50" s="24" t="n">
        <v>21</v>
      </c>
      <c r="N50" s="24" t="n">
        <v>7560</v>
      </c>
      <c r="P50" s="23" t="n">
        <v>5</v>
      </c>
      <c r="Q50" s="24" t="s">
        <v>697</v>
      </c>
      <c r="R50" s="46" t="s">
        <v>698</v>
      </c>
      <c r="S50" s="46"/>
      <c r="T50" s="46"/>
      <c r="U50" s="46"/>
      <c r="V50" s="46"/>
      <c r="X50" s="46" t="s">
        <v>698</v>
      </c>
      <c r="Y50" s="46"/>
      <c r="Z50" s="46"/>
      <c r="AA50" s="46"/>
      <c r="AB50" s="46"/>
      <c r="AD50" s="0"/>
      <c r="AE50" s="0"/>
    </row>
    <row r="51" s="23" customFormat="true" ht="15" hidden="false" customHeight="false" outlineLevel="0" collapsed="false">
      <c r="A51" s="23" t="n">
        <v>5278</v>
      </c>
      <c r="C51" s="23" t="s">
        <v>699</v>
      </c>
      <c r="D51" s="23" t="s">
        <v>700</v>
      </c>
      <c r="E51" s="23" t="s">
        <v>701</v>
      </c>
      <c r="F51" s="23" t="n">
        <v>2017</v>
      </c>
      <c r="G51" s="23" t="s">
        <v>702</v>
      </c>
      <c r="H51" s="23" t="s">
        <v>51</v>
      </c>
      <c r="I51" s="23" t="s">
        <v>33</v>
      </c>
      <c r="J51" s="23" t="s">
        <v>41</v>
      </c>
      <c r="K51" s="23" t="n">
        <v>180</v>
      </c>
      <c r="L51" s="23" t="n">
        <v>1</v>
      </c>
      <c r="M51" s="24" t="n">
        <v>14</v>
      </c>
      <c r="N51" s="24" t="n">
        <v>2520</v>
      </c>
      <c r="P51" s="23" t="n">
        <v>5</v>
      </c>
      <c r="Q51" s="24" t="s">
        <v>77</v>
      </c>
      <c r="R51" s="23" t="n">
        <v>80</v>
      </c>
      <c r="S51" s="23" t="n">
        <v>30</v>
      </c>
      <c r="T51" s="23" t="n">
        <v>10</v>
      </c>
      <c r="U51" s="23" t="n">
        <v>10</v>
      </c>
      <c r="V51" s="26" t="n">
        <f aca="false">S51*(SQRT(U51))</f>
        <v>94.8683298050514</v>
      </c>
      <c r="X51" s="23" t="n">
        <v>21</v>
      </c>
      <c r="Y51" s="23" t="n">
        <v>14</v>
      </c>
      <c r="Z51" s="23" t="n">
        <v>10</v>
      </c>
      <c r="AA51" s="23" t="n">
        <v>10</v>
      </c>
      <c r="AB51" s="26" t="n">
        <f aca="false">Y51*(SQRT(AA51))</f>
        <v>44.2718872423573</v>
      </c>
      <c r="AD51" s="0"/>
      <c r="AE51" s="0"/>
    </row>
    <row r="52" customFormat="false" ht="15" hidden="false" customHeight="false" outlineLevel="0" collapsed="false">
      <c r="A52" s="23" t="n">
        <v>5304</v>
      </c>
      <c r="C52" s="23" t="s">
        <v>703</v>
      </c>
      <c r="D52" s="23" t="s">
        <v>704</v>
      </c>
      <c r="E52" s="23" t="s">
        <v>705</v>
      </c>
      <c r="F52" s="23" t="n">
        <v>2017</v>
      </c>
      <c r="G52" s="23" t="s">
        <v>706</v>
      </c>
      <c r="H52" s="23" t="s">
        <v>32</v>
      </c>
      <c r="I52" s="23" t="s">
        <v>33</v>
      </c>
      <c r="J52" s="27"/>
      <c r="K52" s="23" t="n">
        <v>60</v>
      </c>
      <c r="L52" s="23" t="n">
        <v>1</v>
      </c>
      <c r="M52" s="24" t="n">
        <v>16</v>
      </c>
      <c r="N52" s="24" t="n">
        <v>960</v>
      </c>
      <c r="O52" s="23" t="s">
        <v>707</v>
      </c>
      <c r="P52" s="23" t="n">
        <v>5</v>
      </c>
      <c r="Q52" s="24" t="n">
        <v>1</v>
      </c>
      <c r="R52" s="46"/>
      <c r="S52" s="46"/>
      <c r="T52" s="46"/>
      <c r="U52" s="46"/>
      <c r="V52" s="46"/>
      <c r="W52" s="23"/>
      <c r="X52" s="46"/>
      <c r="Y52" s="46"/>
      <c r="Z52" s="46"/>
      <c r="AA52" s="46"/>
      <c r="AB52" s="46"/>
      <c r="AC52" s="23"/>
    </row>
    <row r="53" customFormat="false" ht="15" hidden="false" customHeight="false" outlineLevel="0" collapsed="false">
      <c r="A53" s="37" t="n">
        <v>5533</v>
      </c>
      <c r="B53" s="37" t="n">
        <v>30464774</v>
      </c>
      <c r="C53" s="37" t="s">
        <v>708</v>
      </c>
      <c r="D53" s="37" t="s">
        <v>709</v>
      </c>
      <c r="E53" s="37" t="s">
        <v>710</v>
      </c>
      <c r="F53" s="37" t="n">
        <v>2018</v>
      </c>
      <c r="G53" s="37" t="s">
        <v>711</v>
      </c>
      <c r="H53" s="23" t="s">
        <v>51</v>
      </c>
      <c r="I53" s="23" t="s">
        <v>33</v>
      </c>
      <c r="J53" s="27"/>
      <c r="K53" s="23" t="n">
        <v>180</v>
      </c>
      <c r="L53" s="23" t="n">
        <v>1</v>
      </c>
      <c r="M53" s="45" t="n">
        <v>7</v>
      </c>
      <c r="N53" s="24" t="n">
        <v>1260</v>
      </c>
      <c r="P53" s="23" t="n">
        <v>5</v>
      </c>
      <c r="Q53" s="24" t="s">
        <v>140</v>
      </c>
      <c r="R53" s="23" t="n">
        <v>8</v>
      </c>
      <c r="S53" s="34" t="n">
        <v>2</v>
      </c>
      <c r="T53" s="23" t="n">
        <v>7</v>
      </c>
      <c r="U53" s="23" t="n">
        <v>7</v>
      </c>
      <c r="V53" s="26" t="n">
        <f aca="false">S53*(SQRT(U53))</f>
        <v>5.29150262212918</v>
      </c>
      <c r="W53" s="23"/>
      <c r="X53" s="23" t="n">
        <v>7</v>
      </c>
      <c r="Y53" s="23" t="n">
        <v>4</v>
      </c>
      <c r="Z53" s="23" t="n">
        <v>7</v>
      </c>
      <c r="AA53" s="23" t="n">
        <v>7</v>
      </c>
      <c r="AB53" s="26" t="n">
        <f aca="false">Y53*(SQRT(AA53))</f>
        <v>10.5830052442584</v>
      </c>
      <c r="AC53" s="23"/>
    </row>
    <row r="54" customFormat="false" ht="15" hidden="false" customHeight="false" outlineLevel="0" collapsed="false">
      <c r="A54" s="37" t="n">
        <v>5533</v>
      </c>
      <c r="B54" s="37" t="n">
        <v>30464774</v>
      </c>
      <c r="C54" s="37" t="s">
        <v>708</v>
      </c>
      <c r="D54" s="37" t="s">
        <v>709</v>
      </c>
      <c r="E54" s="37" t="s">
        <v>710</v>
      </c>
      <c r="F54" s="37" t="n">
        <v>2018</v>
      </c>
      <c r="G54" s="37" t="s">
        <v>711</v>
      </c>
      <c r="H54" s="23" t="s">
        <v>51</v>
      </c>
      <c r="I54" s="23" t="s">
        <v>33</v>
      </c>
      <c r="J54" s="27"/>
      <c r="K54" s="23" t="n">
        <v>180</v>
      </c>
      <c r="L54" s="23" t="n">
        <v>1</v>
      </c>
      <c r="M54" s="45" t="n">
        <v>28</v>
      </c>
      <c r="N54" s="24" t="n">
        <v>5040</v>
      </c>
      <c r="P54" s="23" t="n">
        <v>5</v>
      </c>
      <c r="Q54" s="24" t="s">
        <v>140</v>
      </c>
      <c r="R54" s="23" t="n">
        <v>7</v>
      </c>
      <c r="S54" s="23" t="n">
        <v>2</v>
      </c>
      <c r="T54" s="23" t="n">
        <v>7</v>
      </c>
      <c r="U54" s="23" t="n">
        <v>7</v>
      </c>
      <c r="V54" s="26" t="n">
        <f aca="false">S54*(SQRT(U54))</f>
        <v>5.29150262212918</v>
      </c>
      <c r="W54" s="23"/>
      <c r="X54" s="23" t="n">
        <v>7</v>
      </c>
      <c r="Y54" s="23" t="n">
        <v>2</v>
      </c>
      <c r="Z54" s="23" t="n">
        <v>7</v>
      </c>
      <c r="AA54" s="23" t="n">
        <v>7</v>
      </c>
      <c r="AB54" s="26" t="n">
        <f aca="false">Y54*(SQRT(AA54))</f>
        <v>5.29150262212918</v>
      </c>
      <c r="AC54" s="23"/>
    </row>
    <row r="55" customFormat="false" ht="434.3" hidden="false" customHeight="false" outlineLevel="0" collapsed="false">
      <c r="A55" s="23" t="n">
        <v>5610</v>
      </c>
      <c r="C55" s="41" t="s">
        <v>269</v>
      </c>
      <c r="D55" s="63" t="s">
        <v>528</v>
      </c>
      <c r="E55" s="41" t="s">
        <v>271</v>
      </c>
      <c r="F55" s="41" t="n">
        <v>2025</v>
      </c>
      <c r="G55" s="42" t="s">
        <v>272</v>
      </c>
      <c r="H55" s="23" t="s">
        <v>51</v>
      </c>
      <c r="I55" s="23" t="s">
        <v>33</v>
      </c>
      <c r="J55" s="27"/>
      <c r="K55" s="23" t="n">
        <v>480</v>
      </c>
      <c r="L55" s="23" t="n">
        <v>1</v>
      </c>
      <c r="M55" s="24" t="n">
        <v>14</v>
      </c>
      <c r="N55" s="24" t="n">
        <v>6720</v>
      </c>
      <c r="P55" s="23" t="n">
        <v>6</v>
      </c>
      <c r="Q55" s="24" t="s">
        <v>712</v>
      </c>
      <c r="R55" s="23" t="n">
        <v>30</v>
      </c>
      <c r="S55" s="23" t="n">
        <v>5</v>
      </c>
      <c r="T55" s="23" t="n">
        <v>8</v>
      </c>
      <c r="U55" s="23" t="n">
        <v>8</v>
      </c>
      <c r="V55" s="26" t="n">
        <f aca="false">S55*(SQRT(U55))</f>
        <v>14.142135623731</v>
      </c>
      <c r="W55" s="23"/>
      <c r="X55" s="23" t="n">
        <v>5</v>
      </c>
      <c r="Y55" s="23" t="n">
        <v>1</v>
      </c>
      <c r="Z55" s="23" t="n">
        <v>8</v>
      </c>
      <c r="AA55" s="23" t="n">
        <v>8</v>
      </c>
      <c r="AB55" s="26" t="n">
        <f aca="false">Y55*(SQRT(AA55))</f>
        <v>2.82842712474619</v>
      </c>
      <c r="AC55" s="23"/>
    </row>
    <row r="56" customFormat="false" ht="15" hidden="false" customHeight="false" outlineLevel="0" collapsed="false">
      <c r="A56" s="23" t="n">
        <v>5687</v>
      </c>
      <c r="C56" s="23" t="s">
        <v>284</v>
      </c>
      <c r="D56" s="23" t="s">
        <v>285</v>
      </c>
      <c r="E56" s="23" t="s">
        <v>286</v>
      </c>
      <c r="F56" s="23" t="n">
        <v>2022</v>
      </c>
      <c r="G56" s="23" t="s">
        <v>287</v>
      </c>
      <c r="H56" s="23" t="s">
        <v>32</v>
      </c>
      <c r="I56" s="23" t="s">
        <v>97</v>
      </c>
      <c r="J56" s="27" t="s">
        <v>84</v>
      </c>
      <c r="K56" s="23" t="n">
        <v>450</v>
      </c>
      <c r="L56" s="23" t="n">
        <v>1</v>
      </c>
      <c r="M56" s="24" t="n">
        <v>21</v>
      </c>
      <c r="N56" s="24" t="n">
        <v>9450</v>
      </c>
      <c r="P56" s="46"/>
      <c r="Q56" s="28"/>
      <c r="R56" s="46"/>
      <c r="S56" s="46"/>
      <c r="T56" s="46"/>
      <c r="U56" s="46"/>
      <c r="V56" s="46"/>
      <c r="W56" s="23"/>
      <c r="X56" s="46"/>
      <c r="Y56" s="46"/>
      <c r="Z56" s="46"/>
      <c r="AA56" s="46"/>
      <c r="AB56" s="46"/>
      <c r="AC56" s="23"/>
    </row>
    <row r="57" customFormat="false" ht="15" hidden="false" customHeight="false" outlineLevel="0" collapsed="false">
      <c r="A57" s="23" t="n">
        <v>5729</v>
      </c>
      <c r="B57" s="23" t="n">
        <v>39214423</v>
      </c>
      <c r="C57" s="23" t="s">
        <v>713</v>
      </c>
      <c r="D57" s="23" t="s">
        <v>714</v>
      </c>
      <c r="E57" s="23" t="s">
        <v>276</v>
      </c>
      <c r="F57" s="23" t="n">
        <v>2024</v>
      </c>
      <c r="G57" s="23" t="s">
        <v>715</v>
      </c>
      <c r="H57" s="23" t="s">
        <v>32</v>
      </c>
      <c r="I57" s="23" t="s">
        <v>33</v>
      </c>
      <c r="J57" s="27"/>
      <c r="K57" s="23" t="n">
        <v>360</v>
      </c>
      <c r="L57" s="23" t="n">
        <v>1</v>
      </c>
      <c r="M57" s="24" t="n">
        <v>28</v>
      </c>
      <c r="N57" s="24" t="n">
        <v>10080</v>
      </c>
      <c r="P57" s="23" t="n">
        <v>5</v>
      </c>
      <c r="Q57" s="24" t="s">
        <v>118</v>
      </c>
      <c r="R57" s="23" t="n">
        <v>37</v>
      </c>
      <c r="S57" s="23" t="n">
        <v>2.4</v>
      </c>
      <c r="T57" s="23" t="n">
        <v>6</v>
      </c>
      <c r="U57" s="23" t="n">
        <v>6</v>
      </c>
      <c r="V57" s="26" t="n">
        <f aca="false">S57*(SQRT(U57))</f>
        <v>5.87877538267963</v>
      </c>
      <c r="W57" s="23"/>
      <c r="X57" s="23" t="n">
        <v>11</v>
      </c>
      <c r="Y57" s="23" t="n">
        <v>0.8</v>
      </c>
      <c r="Z57" s="23" t="n">
        <v>6</v>
      </c>
      <c r="AA57" s="23" t="n">
        <v>6</v>
      </c>
      <c r="AB57" s="26" t="n">
        <f aca="false">Y57*(SQRT(AA57))</f>
        <v>1.95959179422654</v>
      </c>
      <c r="AC57" s="23"/>
    </row>
    <row r="58" customFormat="false" ht="15" hidden="false" customHeight="false" outlineLevel="0" collapsed="false">
      <c r="A58" s="23" t="n">
        <v>5740</v>
      </c>
      <c r="C58" s="23" t="s">
        <v>716</v>
      </c>
      <c r="D58" s="23" t="s">
        <v>717</v>
      </c>
      <c r="E58" s="23" t="s">
        <v>384</v>
      </c>
      <c r="F58" s="23" t="n">
        <v>2024</v>
      </c>
      <c r="G58" s="23" t="s">
        <v>718</v>
      </c>
      <c r="H58" s="23" t="s">
        <v>51</v>
      </c>
      <c r="I58" s="23" t="s">
        <v>33</v>
      </c>
      <c r="J58" s="27" t="s">
        <v>36</v>
      </c>
      <c r="K58" s="23" t="n">
        <v>120</v>
      </c>
      <c r="L58" s="23" t="n">
        <v>1</v>
      </c>
      <c r="M58" s="24" t="n">
        <v>14</v>
      </c>
      <c r="N58" s="24" t="n">
        <v>1680</v>
      </c>
      <c r="P58" s="23" t="n">
        <v>5</v>
      </c>
      <c r="Q58" s="24" t="s">
        <v>238</v>
      </c>
      <c r="R58" s="23" t="n">
        <v>41</v>
      </c>
      <c r="S58" s="23" t="n">
        <v>7</v>
      </c>
      <c r="T58" s="23" t="n">
        <v>8</v>
      </c>
      <c r="U58" s="23" t="n">
        <v>8</v>
      </c>
      <c r="V58" s="26" t="n">
        <f aca="false">S58*(SQRT(U58))</f>
        <v>19.7989898732233</v>
      </c>
      <c r="W58" s="23"/>
      <c r="X58" s="23" t="n">
        <v>21</v>
      </c>
      <c r="Y58" s="23" t="n">
        <v>3</v>
      </c>
      <c r="Z58" s="23" t="n">
        <v>8</v>
      </c>
      <c r="AA58" s="23" t="n">
        <v>8</v>
      </c>
      <c r="AB58" s="26" t="n">
        <f aca="false">Y58*(SQRT(AA58))</f>
        <v>8.48528137423857</v>
      </c>
      <c r="AC58" s="23"/>
    </row>
    <row r="59" customFormat="false" ht="15" hidden="false" customHeight="false" outlineLevel="0" collapsed="false">
      <c r="A59" s="23" t="n">
        <v>5759</v>
      </c>
      <c r="C59" s="23" t="s">
        <v>719</v>
      </c>
      <c r="D59" s="23" t="s">
        <v>720</v>
      </c>
      <c r="E59" s="23" t="s">
        <v>74</v>
      </c>
      <c r="F59" s="23" t="n">
        <v>2022</v>
      </c>
      <c r="G59" s="23" t="s">
        <v>721</v>
      </c>
      <c r="H59" s="23" t="s">
        <v>51</v>
      </c>
      <c r="I59" s="23" t="s">
        <v>33</v>
      </c>
      <c r="J59" s="27"/>
      <c r="K59" s="23" t="n">
        <v>20</v>
      </c>
      <c r="L59" s="23" t="n">
        <v>1</v>
      </c>
      <c r="M59" s="24" t="n">
        <v>14</v>
      </c>
      <c r="N59" s="24" t="n">
        <v>280</v>
      </c>
      <c r="P59" s="23" t="n">
        <v>5</v>
      </c>
      <c r="Q59" s="24" t="s">
        <v>722</v>
      </c>
      <c r="R59" s="46"/>
      <c r="S59" s="46"/>
      <c r="T59" s="46"/>
      <c r="U59" s="46"/>
      <c r="V59" s="46"/>
      <c r="W59" s="23"/>
      <c r="X59" s="46"/>
      <c r="Y59" s="46"/>
      <c r="Z59" s="46"/>
      <c r="AA59" s="46"/>
      <c r="AB59" s="46"/>
      <c r="AC59" s="23"/>
    </row>
    <row r="60" customFormat="false" ht="16.4" hidden="false" customHeight="false" outlineLevel="0" collapsed="false">
      <c r="A60" s="23" t="n">
        <v>5946</v>
      </c>
      <c r="C60" s="41" t="s">
        <v>723</v>
      </c>
      <c r="D60" s="41" t="s">
        <v>724</v>
      </c>
      <c r="E60" s="41" t="s">
        <v>725</v>
      </c>
      <c r="F60" s="41" t="n">
        <v>2022</v>
      </c>
      <c r="G60" s="42" t="s">
        <v>726</v>
      </c>
      <c r="H60" s="23" t="s">
        <v>727</v>
      </c>
      <c r="I60" s="23" t="s">
        <v>33</v>
      </c>
      <c r="J60" s="27" t="s">
        <v>144</v>
      </c>
      <c r="K60" s="23" t="n">
        <v>60</v>
      </c>
      <c r="L60" s="23" t="n">
        <v>1</v>
      </c>
      <c r="M60" s="24" t="n">
        <v>28</v>
      </c>
      <c r="N60" s="24" t="n">
        <v>1680</v>
      </c>
      <c r="P60" s="23" t="n">
        <v>5</v>
      </c>
      <c r="Q60" s="28"/>
      <c r="R60" s="46"/>
      <c r="S60" s="46"/>
      <c r="T60" s="46"/>
      <c r="U60" s="46"/>
      <c r="V60" s="46"/>
      <c r="W60" s="23"/>
      <c r="X60" s="46"/>
      <c r="Y60" s="46"/>
      <c r="Z60" s="46"/>
      <c r="AA60" s="46"/>
      <c r="AB60" s="46"/>
      <c r="AC60" s="23"/>
    </row>
    <row r="61" customFormat="false" ht="15" hidden="false" customHeight="false" outlineLevel="0" collapsed="false">
      <c r="A61" s="23" t="n">
        <v>6148</v>
      </c>
      <c r="C61" s="23" t="s">
        <v>728</v>
      </c>
      <c r="D61" s="23" t="s">
        <v>729</v>
      </c>
      <c r="E61" s="23" t="s">
        <v>730</v>
      </c>
      <c r="F61" s="23" t="n">
        <v>2018</v>
      </c>
      <c r="G61" s="23" t="s">
        <v>731</v>
      </c>
      <c r="H61" s="23" t="s">
        <v>51</v>
      </c>
      <c r="I61" s="23" t="s">
        <v>33</v>
      </c>
      <c r="J61" s="27" t="s">
        <v>732</v>
      </c>
      <c r="K61" s="23" t="n">
        <v>120</v>
      </c>
      <c r="L61" s="23" t="n">
        <v>1</v>
      </c>
      <c r="M61" s="24" t="n">
        <v>10</v>
      </c>
      <c r="N61" s="24" t="n">
        <v>1200</v>
      </c>
      <c r="P61" s="23" t="n">
        <v>5</v>
      </c>
      <c r="Q61" s="24" t="s">
        <v>35</v>
      </c>
      <c r="R61" s="23" t="n">
        <v>19</v>
      </c>
      <c r="S61" s="23" t="n">
        <v>4</v>
      </c>
      <c r="T61" s="64" t="s">
        <v>733</v>
      </c>
      <c r="U61" s="23" t="n">
        <v>10</v>
      </c>
      <c r="V61" s="26" t="n">
        <f aca="false">S61*(SQRT(U61))</f>
        <v>12.6491106406735</v>
      </c>
      <c r="W61" s="23"/>
      <c r="X61" s="23" t="n">
        <v>0.3</v>
      </c>
      <c r="Y61" s="23" t="n">
        <v>0.2</v>
      </c>
      <c r="Z61" s="64" t="s">
        <v>733</v>
      </c>
      <c r="AA61" s="23" t="n">
        <v>10</v>
      </c>
      <c r="AB61" s="26" t="n">
        <f aca="false">Y61*(SQRT(AA61))</f>
        <v>0.632455532033676</v>
      </c>
      <c r="AC61" s="23"/>
    </row>
    <row r="62" customFormat="false" ht="15" hidden="false" customHeight="false" outlineLevel="0" collapsed="false">
      <c r="A62" s="23" t="n">
        <v>6180</v>
      </c>
      <c r="C62" s="23" t="s">
        <v>734</v>
      </c>
      <c r="D62" s="23" t="s">
        <v>735</v>
      </c>
      <c r="E62" s="23" t="s">
        <v>736</v>
      </c>
      <c r="F62" s="23" t="n">
        <v>2021</v>
      </c>
      <c r="G62" s="23" t="str">
        <f aca="false">HYPERLINK("http://dx.doi.org/10.3389/fnins.2021.646537.s001","http://dx.doi.org/10.3389/fnins.2021.646537.s001")</f>
        <v>http://dx.doi.org/10.3389/fnins.2021.646537.s001</v>
      </c>
      <c r="H62" s="23" t="s">
        <v>32</v>
      </c>
      <c r="I62" s="23" t="s">
        <v>33</v>
      </c>
      <c r="J62" s="27" t="s">
        <v>41</v>
      </c>
      <c r="K62" s="23" t="n">
        <v>360</v>
      </c>
      <c r="L62" s="23" t="n">
        <v>1</v>
      </c>
      <c r="M62" s="24" t="n">
        <v>14</v>
      </c>
      <c r="N62" s="24" t="n">
        <v>5040</v>
      </c>
      <c r="P62" s="28" t="s">
        <v>153</v>
      </c>
      <c r="Q62" s="24" t="s">
        <v>52</v>
      </c>
      <c r="R62" s="23" t="n">
        <v>31</v>
      </c>
      <c r="S62" s="23" t="n">
        <v>1.3</v>
      </c>
      <c r="T62" s="23" t="n">
        <v>10</v>
      </c>
      <c r="U62" s="23" t="n">
        <v>10</v>
      </c>
      <c r="V62" s="26" t="n">
        <f aca="false">S62*(SQRT(U62))</f>
        <v>4.11096095821889</v>
      </c>
      <c r="W62" s="23"/>
      <c r="X62" s="23" t="n">
        <v>3</v>
      </c>
      <c r="Y62" s="23" t="n">
        <v>0.4</v>
      </c>
      <c r="Z62" s="23" t="n">
        <v>10</v>
      </c>
      <c r="AA62" s="23" t="n">
        <v>10</v>
      </c>
      <c r="AB62" s="26" t="n">
        <f aca="false">Y62*(SQRT(AA62))</f>
        <v>1.26491106406735</v>
      </c>
      <c r="AC62" s="23"/>
    </row>
    <row r="63" customFormat="false" ht="16.4" hidden="false" customHeight="false" outlineLevel="0" collapsed="false">
      <c r="A63" s="23" t="n">
        <v>6517</v>
      </c>
      <c r="C63" s="41" t="s">
        <v>553</v>
      </c>
      <c r="D63" s="41" t="s">
        <v>737</v>
      </c>
      <c r="E63" s="41" t="s">
        <v>555</v>
      </c>
      <c r="F63" s="41" t="n">
        <v>2024</v>
      </c>
      <c r="G63" s="42" t="s">
        <v>556</v>
      </c>
      <c r="H63" s="23" t="s">
        <v>32</v>
      </c>
      <c r="I63" s="23" t="s">
        <v>33</v>
      </c>
      <c r="J63" s="27"/>
      <c r="K63" s="23" t="n">
        <v>60</v>
      </c>
      <c r="L63" s="23" t="n">
        <v>2</v>
      </c>
      <c r="M63" s="24" t="n">
        <v>21</v>
      </c>
      <c r="N63" s="24" t="n">
        <v>2520</v>
      </c>
      <c r="P63" s="23" t="n">
        <v>10</v>
      </c>
      <c r="Q63" s="28"/>
      <c r="R63" s="46"/>
      <c r="S63" s="46"/>
      <c r="T63" s="46"/>
      <c r="U63" s="46"/>
      <c r="V63" s="46"/>
      <c r="W63" s="23"/>
      <c r="X63" s="46"/>
      <c r="Y63" s="46"/>
      <c r="Z63" s="46"/>
      <c r="AA63" s="46"/>
      <c r="AB63" s="46"/>
      <c r="AC63" s="23"/>
    </row>
    <row r="64" customFormat="false" ht="15" hidden="false" customHeight="false" outlineLevel="0" collapsed="false">
      <c r="A64" s="23" t="n">
        <v>6666</v>
      </c>
      <c r="C64" s="23" t="s">
        <v>738</v>
      </c>
      <c r="D64" s="23" t="s">
        <v>739</v>
      </c>
      <c r="E64" s="23" t="s">
        <v>740</v>
      </c>
      <c r="F64" s="23" t="n">
        <v>2017</v>
      </c>
      <c r="G64" s="23" t="s">
        <v>741</v>
      </c>
      <c r="H64" s="23" t="s">
        <v>51</v>
      </c>
      <c r="I64" s="23" t="s">
        <v>33</v>
      </c>
      <c r="J64" s="27" t="s">
        <v>34</v>
      </c>
      <c r="K64" s="23" t="n">
        <v>360</v>
      </c>
      <c r="L64" s="23" t="n">
        <v>1</v>
      </c>
      <c r="M64" s="24" t="n">
        <v>21</v>
      </c>
      <c r="N64" s="24" t="n">
        <v>7560</v>
      </c>
      <c r="P64" s="23" t="n">
        <v>2</v>
      </c>
      <c r="Q64" s="24" t="s">
        <v>59</v>
      </c>
      <c r="R64" s="46"/>
      <c r="S64" s="46"/>
      <c r="T64" s="46"/>
      <c r="U64" s="46"/>
      <c r="V64" s="46"/>
      <c r="W64" s="23"/>
      <c r="X64" s="46"/>
      <c r="Y64" s="46"/>
      <c r="Z64" s="46"/>
      <c r="AA64" s="46"/>
      <c r="AB64" s="46"/>
      <c r="AC64" s="23"/>
    </row>
    <row r="65" s="23" customFormat="true" ht="15" hidden="false" customHeight="false" outlineLevel="0" collapsed="false">
      <c r="A65" s="23" t="n">
        <v>6728</v>
      </c>
      <c r="B65" s="23" t="n">
        <v>35873784</v>
      </c>
      <c r="C65" s="23" t="s">
        <v>557</v>
      </c>
      <c r="D65" s="23" t="s">
        <v>558</v>
      </c>
      <c r="E65" s="23" t="s">
        <v>559</v>
      </c>
      <c r="F65" s="23" t="n">
        <v>2022</v>
      </c>
      <c r="G65" s="23" t="s">
        <v>560</v>
      </c>
      <c r="H65" s="23" t="s">
        <v>32</v>
      </c>
      <c r="I65" s="23" t="s">
        <v>33</v>
      </c>
      <c r="J65" s="27"/>
      <c r="K65" s="23" t="n">
        <v>180</v>
      </c>
      <c r="L65" s="23" t="n">
        <v>1</v>
      </c>
      <c r="M65" s="24" t="n">
        <v>21</v>
      </c>
      <c r="N65" s="24" t="n">
        <v>3780</v>
      </c>
      <c r="O65" s="0"/>
      <c r="P65" s="23" t="n">
        <v>5</v>
      </c>
      <c r="Q65" s="24" t="s">
        <v>189</v>
      </c>
      <c r="R65" s="23" t="n">
        <v>26</v>
      </c>
      <c r="S65" s="23" t="s">
        <v>71</v>
      </c>
      <c r="T65" s="23" t="n">
        <v>8</v>
      </c>
      <c r="V65" s="23" t="n">
        <v>17</v>
      </c>
      <c r="X65" s="23" t="n">
        <v>6</v>
      </c>
      <c r="Y65" s="23" t="s">
        <v>71</v>
      </c>
      <c r="Z65" s="23" t="n">
        <v>8</v>
      </c>
      <c r="AB65" s="23" t="n">
        <v>7</v>
      </c>
      <c r="AD65" s="0"/>
      <c r="AE65" s="0"/>
    </row>
    <row r="66" customFormat="false" ht="15" hidden="false" customHeight="false" outlineLevel="0" collapsed="false">
      <c r="A66" s="23" t="n">
        <v>6826</v>
      </c>
      <c r="B66" s="23" t="n">
        <v>34025340</v>
      </c>
      <c r="C66" s="23" t="s">
        <v>742</v>
      </c>
      <c r="D66" s="23" t="s">
        <v>743</v>
      </c>
      <c r="E66" s="23" t="s">
        <v>324</v>
      </c>
      <c r="F66" s="23" t="n">
        <v>2021</v>
      </c>
      <c r="G66" s="23" t="s">
        <v>744</v>
      </c>
      <c r="H66" s="23" t="s">
        <v>32</v>
      </c>
      <c r="I66" s="23" t="s">
        <v>33</v>
      </c>
      <c r="J66" s="27"/>
      <c r="K66" s="23" t="n">
        <v>360</v>
      </c>
      <c r="L66" s="23" t="n">
        <v>1</v>
      </c>
      <c r="M66" s="24" t="n">
        <v>14</v>
      </c>
      <c r="N66" s="24" t="n">
        <v>5040</v>
      </c>
      <c r="P66" s="46"/>
      <c r="Q66" s="28"/>
      <c r="R66" s="46"/>
      <c r="S66" s="46"/>
      <c r="T66" s="46"/>
      <c r="U66" s="46"/>
      <c r="V66" s="46"/>
      <c r="W66" s="23"/>
      <c r="X66" s="46"/>
      <c r="Y66" s="46"/>
      <c r="Z66" s="46"/>
      <c r="AA66" s="46"/>
      <c r="AB66" s="46"/>
      <c r="AC66" s="23"/>
    </row>
    <row r="67" customFormat="false" ht="15" hidden="false" customHeight="false" outlineLevel="0" collapsed="false">
      <c r="A67" s="23" t="n">
        <v>6987</v>
      </c>
      <c r="B67" s="23" t="n">
        <v>33276022</v>
      </c>
      <c r="C67" s="23" t="s">
        <v>327</v>
      </c>
      <c r="D67" s="23" t="s">
        <v>328</v>
      </c>
      <c r="E67" s="23" t="s">
        <v>308</v>
      </c>
      <c r="F67" s="23" t="n">
        <v>2021</v>
      </c>
      <c r="G67" s="23" t="s">
        <v>329</v>
      </c>
      <c r="H67" s="23" t="s">
        <v>32</v>
      </c>
      <c r="I67" s="23" t="s">
        <v>33</v>
      </c>
      <c r="J67" s="27" t="n">
        <v>12</v>
      </c>
      <c r="K67" s="23" t="n">
        <v>390</v>
      </c>
      <c r="L67" s="23" t="n">
        <v>1</v>
      </c>
      <c r="M67" s="24" t="n">
        <v>21</v>
      </c>
      <c r="N67" s="24" t="n">
        <v>8190</v>
      </c>
      <c r="P67" s="23" t="n">
        <v>5</v>
      </c>
      <c r="Q67" s="24" t="s">
        <v>745</v>
      </c>
      <c r="R67" s="23" t="n">
        <v>69</v>
      </c>
      <c r="S67" s="23" t="n">
        <v>23</v>
      </c>
      <c r="T67" s="23" t="n">
        <v>5</v>
      </c>
      <c r="U67" s="23" t="n">
        <v>5</v>
      </c>
      <c r="V67" s="26" t="n">
        <f aca="false">S67*(SQRT(U67))</f>
        <v>51.4295634824952</v>
      </c>
      <c r="W67" s="23"/>
      <c r="X67" s="23" t="n">
        <v>7</v>
      </c>
      <c r="Y67" s="23" t="n">
        <v>2</v>
      </c>
      <c r="Z67" s="23" t="n">
        <v>6</v>
      </c>
      <c r="AA67" s="23" t="n">
        <v>6</v>
      </c>
      <c r="AB67" s="26" t="n">
        <f aca="false">Y67*(SQRT(AA67))</f>
        <v>4.89897948556636</v>
      </c>
      <c r="AC67" s="23"/>
    </row>
    <row r="68" customFormat="false" ht="15" hidden="false" customHeight="false" outlineLevel="0" collapsed="false">
      <c r="A68" s="23" t="n">
        <v>7023</v>
      </c>
      <c r="B68" s="23" t="n">
        <v>26947756</v>
      </c>
      <c r="C68" s="23" t="s">
        <v>338</v>
      </c>
      <c r="D68" s="23" t="s">
        <v>339</v>
      </c>
      <c r="E68" s="23" t="s">
        <v>276</v>
      </c>
      <c r="F68" s="23" t="n">
        <v>2016</v>
      </c>
      <c r="G68" s="23" t="s">
        <v>340</v>
      </c>
      <c r="H68" s="23" t="s">
        <v>32</v>
      </c>
      <c r="I68" s="23" t="s">
        <v>33</v>
      </c>
      <c r="J68" s="27"/>
      <c r="K68" s="23" t="n">
        <v>360</v>
      </c>
      <c r="L68" s="23" t="n">
        <v>1</v>
      </c>
      <c r="M68" s="24" t="n">
        <v>21</v>
      </c>
      <c r="N68" s="24" t="n">
        <v>7560</v>
      </c>
      <c r="P68" s="23" t="n">
        <v>5</v>
      </c>
      <c r="Q68" s="24" t="s">
        <v>194</v>
      </c>
      <c r="R68" s="23" t="n">
        <v>33</v>
      </c>
      <c r="S68" s="23" t="n">
        <v>12</v>
      </c>
      <c r="T68" s="23" t="n">
        <v>8</v>
      </c>
      <c r="U68" s="23" t="n">
        <v>8</v>
      </c>
      <c r="V68" s="26" t="n">
        <f aca="false">S68*(SQRT(U68))</f>
        <v>33.9411254969543</v>
      </c>
      <c r="W68" s="23"/>
      <c r="X68" s="23" t="n">
        <v>26</v>
      </c>
      <c r="Y68" s="23" t="n">
        <v>16</v>
      </c>
      <c r="Z68" s="23" t="n">
        <v>8</v>
      </c>
      <c r="AA68" s="23" t="n">
        <v>8</v>
      </c>
      <c r="AB68" s="26" t="n">
        <f aca="false">Y68*(SQRT(AA68))</f>
        <v>45.254833995939</v>
      </c>
      <c r="AC68" s="23"/>
    </row>
    <row r="69" customFormat="false" ht="16.4" hidden="false" customHeight="false" outlineLevel="0" collapsed="false">
      <c r="A69" s="23" t="n">
        <v>7075</v>
      </c>
      <c r="C69" s="41" t="s">
        <v>746</v>
      </c>
      <c r="D69" s="41" t="s">
        <v>747</v>
      </c>
      <c r="E69" s="41" t="s">
        <v>748</v>
      </c>
      <c r="F69" s="41" t="n">
        <v>2019</v>
      </c>
      <c r="G69" s="42" t="s">
        <v>749</v>
      </c>
      <c r="H69" s="23" t="s">
        <v>51</v>
      </c>
      <c r="I69" s="23" t="s">
        <v>33</v>
      </c>
      <c r="J69" s="27"/>
      <c r="K69" s="23" t="n">
        <v>360</v>
      </c>
      <c r="L69" s="23" t="n">
        <v>1</v>
      </c>
      <c r="M69" s="24" t="n">
        <v>21</v>
      </c>
      <c r="N69" s="24" t="n">
        <v>7560</v>
      </c>
      <c r="P69" s="23" t="n">
        <v>5</v>
      </c>
      <c r="Q69" s="28"/>
      <c r="R69" s="46"/>
      <c r="S69" s="46"/>
      <c r="T69" s="46"/>
      <c r="U69" s="46"/>
      <c r="V69" s="46"/>
      <c r="W69" s="23"/>
      <c r="X69" s="46"/>
      <c r="Y69" s="46"/>
      <c r="Z69" s="46"/>
      <c r="AA69" s="46"/>
      <c r="AB69" s="46"/>
      <c r="AC69" s="23"/>
    </row>
    <row r="70" s="23" customFormat="true" ht="15" hidden="false" customHeight="false" outlineLevel="0" collapsed="false">
      <c r="A70" s="37" t="n">
        <v>7291</v>
      </c>
      <c r="B70" s="37" t="n">
        <v>39178027</v>
      </c>
      <c r="C70" s="37" t="s">
        <v>750</v>
      </c>
      <c r="D70" s="37" t="s">
        <v>751</v>
      </c>
      <c r="E70" s="37" t="s">
        <v>752</v>
      </c>
      <c r="F70" s="37" t="n">
        <v>2024</v>
      </c>
      <c r="G70" s="37" t="s">
        <v>753</v>
      </c>
      <c r="H70" s="23" t="s">
        <v>51</v>
      </c>
      <c r="I70" s="37" t="s">
        <v>33</v>
      </c>
      <c r="J70" s="27" t="n">
        <v>10</v>
      </c>
      <c r="K70" s="23" t="n">
        <v>60</v>
      </c>
      <c r="L70" s="23" t="n">
        <v>1</v>
      </c>
      <c r="M70" s="24" t="n">
        <v>28</v>
      </c>
      <c r="N70" s="24" t="n">
        <v>1680</v>
      </c>
      <c r="O70" s="0"/>
      <c r="P70" s="23" t="n">
        <v>5</v>
      </c>
      <c r="Q70" s="24" t="s">
        <v>77</v>
      </c>
      <c r="R70" s="23" t="n">
        <v>2.4</v>
      </c>
      <c r="S70" s="23" t="s">
        <v>71</v>
      </c>
      <c r="T70" s="23" t="n">
        <v>9</v>
      </c>
      <c r="V70" s="23" t="n">
        <v>3.8</v>
      </c>
      <c r="X70" s="23" t="n">
        <v>28.1</v>
      </c>
      <c r="Y70" s="23" t="s">
        <v>71</v>
      </c>
      <c r="Z70" s="23" t="n">
        <v>8</v>
      </c>
      <c r="AB70" s="23" t="n">
        <v>24</v>
      </c>
      <c r="AD70" s="0"/>
      <c r="AE70" s="0"/>
    </row>
    <row r="71" s="23" customFormat="true" ht="15" hidden="false" customHeight="false" outlineLevel="0" collapsed="false">
      <c r="A71" s="37" t="n">
        <v>7291</v>
      </c>
      <c r="B71" s="37" t="n">
        <v>39178027</v>
      </c>
      <c r="C71" s="37" t="s">
        <v>750</v>
      </c>
      <c r="D71" s="37" t="s">
        <v>751</v>
      </c>
      <c r="E71" s="37" t="s">
        <v>752</v>
      </c>
      <c r="F71" s="37" t="n">
        <v>2024</v>
      </c>
      <c r="G71" s="37" t="s">
        <v>753</v>
      </c>
      <c r="H71" s="23" t="s">
        <v>51</v>
      </c>
      <c r="I71" s="37" t="s">
        <v>97</v>
      </c>
      <c r="J71" s="27" t="n">
        <v>10</v>
      </c>
      <c r="K71" s="23" t="n">
        <v>60</v>
      </c>
      <c r="L71" s="23" t="n">
        <v>1</v>
      </c>
      <c r="M71" s="24" t="n">
        <v>28</v>
      </c>
      <c r="N71" s="24" t="n">
        <v>1680</v>
      </c>
      <c r="O71" s="0"/>
      <c r="P71" s="23" t="n">
        <v>5</v>
      </c>
      <c r="Q71" s="24" t="s">
        <v>77</v>
      </c>
      <c r="R71" s="23" t="n">
        <v>37.6</v>
      </c>
      <c r="S71" s="23" t="s">
        <v>71</v>
      </c>
      <c r="T71" s="23" t="n">
        <v>9</v>
      </c>
      <c r="V71" s="23" t="n">
        <v>25.2</v>
      </c>
      <c r="X71" s="23" t="n">
        <v>39</v>
      </c>
      <c r="Y71" s="23" t="s">
        <v>71</v>
      </c>
      <c r="Z71" s="23" t="n">
        <v>9</v>
      </c>
      <c r="AB71" s="23" t="n">
        <v>29.6</v>
      </c>
      <c r="AD71" s="0"/>
      <c r="AE71" s="0"/>
    </row>
    <row r="72" s="23" customFormat="true" ht="15" hidden="false" customHeight="false" outlineLevel="0" collapsed="false">
      <c r="A72" s="23" t="n">
        <v>7338</v>
      </c>
      <c r="B72" s="23" t="n">
        <v>34780859</v>
      </c>
      <c r="C72" s="23" t="s">
        <v>754</v>
      </c>
      <c r="D72" s="23" t="s">
        <v>755</v>
      </c>
      <c r="E72" s="23" t="s">
        <v>276</v>
      </c>
      <c r="F72" s="23" t="n">
        <v>2022</v>
      </c>
      <c r="G72" s="23" t="s">
        <v>756</v>
      </c>
      <c r="H72" s="23" t="s">
        <v>757</v>
      </c>
      <c r="I72" s="23" t="s">
        <v>33</v>
      </c>
      <c r="J72" s="27" t="n">
        <v>24</v>
      </c>
      <c r="K72" s="23" t="n">
        <v>60</v>
      </c>
      <c r="L72" s="23" t="n">
        <v>1</v>
      </c>
      <c r="M72" s="24" t="n">
        <v>14</v>
      </c>
      <c r="N72" s="24" t="n">
        <v>840</v>
      </c>
      <c r="P72" s="23" t="n">
        <v>5</v>
      </c>
      <c r="Q72" s="24" t="s">
        <v>238</v>
      </c>
      <c r="R72" s="23" t="n">
        <v>126</v>
      </c>
      <c r="S72" s="23" t="n">
        <v>20</v>
      </c>
      <c r="T72" s="23" t="n">
        <v>14</v>
      </c>
      <c r="U72" s="23" t="n">
        <v>14</v>
      </c>
      <c r="V72" s="26" t="n">
        <f aca="false">S72*(SQRT(U72))</f>
        <v>74.8331477354788</v>
      </c>
      <c r="X72" s="23" t="n">
        <v>61</v>
      </c>
      <c r="Y72" s="23" t="n">
        <v>9</v>
      </c>
      <c r="Z72" s="23" t="n">
        <v>15</v>
      </c>
      <c r="AA72" s="23" t="n">
        <v>15</v>
      </c>
      <c r="AB72" s="26" t="n">
        <f aca="false">Y72*(SQRT(AA72))</f>
        <v>34.8568501158668</v>
      </c>
      <c r="AD72" s="0"/>
      <c r="AE72" s="0"/>
    </row>
    <row r="73" s="23" customFormat="true" ht="15" hidden="false" customHeight="false" outlineLevel="0" collapsed="false">
      <c r="A73" s="23" t="n">
        <v>7339</v>
      </c>
      <c r="C73" s="23" t="s">
        <v>345</v>
      </c>
      <c r="D73" s="23" t="s">
        <v>346</v>
      </c>
      <c r="E73" s="23" t="s">
        <v>347</v>
      </c>
      <c r="F73" s="23" t="n">
        <v>2022</v>
      </c>
      <c r="G73" s="23" t="s">
        <v>348</v>
      </c>
      <c r="H73" s="23" t="s">
        <v>51</v>
      </c>
      <c r="I73" s="23" t="s">
        <v>33</v>
      </c>
      <c r="J73" s="27"/>
      <c r="K73" s="23" t="n">
        <v>120</v>
      </c>
      <c r="L73" s="23" t="n">
        <v>1</v>
      </c>
      <c r="M73" s="24" t="n">
        <v>14</v>
      </c>
      <c r="N73" s="24" t="n">
        <v>1680</v>
      </c>
      <c r="P73" s="23" t="n">
        <v>5</v>
      </c>
      <c r="Q73" s="24" t="s">
        <v>238</v>
      </c>
      <c r="R73" s="46"/>
      <c r="S73" s="46"/>
      <c r="T73" s="46"/>
      <c r="U73" s="46"/>
      <c r="V73" s="46"/>
      <c r="X73" s="46"/>
      <c r="Y73" s="46"/>
      <c r="Z73" s="46"/>
      <c r="AA73" s="46"/>
      <c r="AB73" s="46"/>
      <c r="AD73" s="0"/>
      <c r="AE73" s="0"/>
    </row>
    <row r="74" s="23" customFormat="true" ht="15" hidden="false" customHeight="false" outlineLevel="0" collapsed="false">
      <c r="A74" s="23" t="n">
        <v>7440</v>
      </c>
      <c r="B74" s="23" t="n">
        <v>37201894</v>
      </c>
      <c r="C74" s="23" t="s">
        <v>349</v>
      </c>
      <c r="D74" s="23" t="s">
        <v>350</v>
      </c>
      <c r="E74" s="23" t="s">
        <v>276</v>
      </c>
      <c r="F74" s="23" t="n">
        <v>2023</v>
      </c>
      <c r="G74" s="23" t="s">
        <v>351</v>
      </c>
      <c r="H74" s="23" t="s">
        <v>32</v>
      </c>
      <c r="I74" s="23" t="s">
        <v>33</v>
      </c>
      <c r="J74" s="27" t="s">
        <v>205</v>
      </c>
      <c r="K74" s="23" t="n">
        <v>240</v>
      </c>
      <c r="L74" s="23" t="n">
        <v>1</v>
      </c>
      <c r="M74" s="24" t="n">
        <v>35</v>
      </c>
      <c r="N74" s="24" t="n">
        <v>8400</v>
      </c>
      <c r="P74" s="23" t="n">
        <v>5</v>
      </c>
      <c r="Q74" s="24" t="s">
        <v>124</v>
      </c>
      <c r="R74" s="23" t="n">
        <v>40</v>
      </c>
      <c r="S74" s="23" t="s">
        <v>71</v>
      </c>
      <c r="T74" s="23" t="n">
        <v>11</v>
      </c>
      <c r="V74" s="23" t="n">
        <v>31</v>
      </c>
      <c r="X74" s="23" t="n">
        <v>15</v>
      </c>
      <c r="Y74" s="23" t="s">
        <v>71</v>
      </c>
      <c r="Z74" s="23" t="n">
        <v>10</v>
      </c>
      <c r="AB74" s="23" t="n">
        <v>21</v>
      </c>
      <c r="AD74" s="0"/>
      <c r="AE74" s="0"/>
    </row>
    <row r="75" customFormat="false" ht="15" hidden="false" customHeight="false" outlineLevel="0" collapsed="false">
      <c r="A75" s="23" t="n">
        <v>7660</v>
      </c>
      <c r="C75" s="23" t="s">
        <v>357</v>
      </c>
      <c r="D75" s="23" t="s">
        <v>358</v>
      </c>
      <c r="E75" s="23" t="s">
        <v>74</v>
      </c>
      <c r="F75" s="23" t="n">
        <v>2024</v>
      </c>
      <c r="G75" s="23" t="s">
        <v>359</v>
      </c>
      <c r="H75" s="23" t="s">
        <v>360</v>
      </c>
      <c r="I75" s="23" t="s">
        <v>360</v>
      </c>
      <c r="J75" s="23" t="s">
        <v>360</v>
      </c>
      <c r="K75" s="23" t="n">
        <v>360</v>
      </c>
      <c r="L75" s="23" t="n">
        <v>1</v>
      </c>
      <c r="M75" s="24" t="n">
        <v>21</v>
      </c>
      <c r="N75" s="24" t="n">
        <v>7560</v>
      </c>
      <c r="O75" s="23" t="s">
        <v>361</v>
      </c>
      <c r="P75" s="23" t="n">
        <v>5</v>
      </c>
      <c r="Q75" s="46"/>
      <c r="R75" s="46"/>
      <c r="S75" s="46"/>
      <c r="T75" s="46"/>
      <c r="U75" s="46"/>
      <c r="V75" s="46"/>
      <c r="W75" s="23"/>
      <c r="X75" s="46"/>
      <c r="Y75" s="46"/>
      <c r="Z75" s="46"/>
      <c r="AA75" s="46"/>
      <c r="AB75" s="46"/>
      <c r="AC75" s="23"/>
    </row>
    <row r="76" s="23" customFormat="true" ht="15" hidden="false" customHeight="false" outlineLevel="0" collapsed="false">
      <c r="A76" s="23" t="n">
        <v>8266</v>
      </c>
      <c r="B76" s="23" t="n">
        <v>37152003</v>
      </c>
      <c r="C76" s="23" t="s">
        <v>758</v>
      </c>
      <c r="D76" s="23" t="s">
        <v>759</v>
      </c>
      <c r="E76" s="23" t="s">
        <v>760</v>
      </c>
      <c r="F76" s="23" t="n">
        <v>2023</v>
      </c>
      <c r="G76" s="23" t="s">
        <v>761</v>
      </c>
      <c r="H76" s="23" t="s">
        <v>51</v>
      </c>
      <c r="I76" s="23" t="s">
        <v>33</v>
      </c>
      <c r="J76" s="27"/>
      <c r="K76" s="23" t="n">
        <v>120</v>
      </c>
      <c r="L76" s="23" t="n">
        <v>1</v>
      </c>
      <c r="M76" s="24" t="n">
        <v>14</v>
      </c>
      <c r="N76" s="24" t="n">
        <v>1680</v>
      </c>
      <c r="P76" s="23" t="n">
        <v>5</v>
      </c>
      <c r="Q76" s="24" t="s">
        <v>140</v>
      </c>
      <c r="R76" s="23" t="n">
        <v>43</v>
      </c>
      <c r="S76" s="23" t="n">
        <v>3</v>
      </c>
      <c r="T76" s="23" t="n">
        <v>8</v>
      </c>
      <c r="U76" s="23" t="n">
        <v>8</v>
      </c>
      <c r="V76" s="26" t="n">
        <f aca="false">S76*(SQRT(U76))</f>
        <v>8.48528137423857</v>
      </c>
      <c r="X76" s="23" t="n">
        <v>20</v>
      </c>
      <c r="Y76" s="23" t="n">
        <v>5</v>
      </c>
      <c r="Z76" s="23" t="n">
        <v>8</v>
      </c>
      <c r="AA76" s="23" t="n">
        <v>8</v>
      </c>
      <c r="AB76" s="26" t="n">
        <f aca="false">Y76*(SQRT(AA76))</f>
        <v>14.142135623731</v>
      </c>
      <c r="AD76" s="0"/>
      <c r="AE76" s="0"/>
    </row>
    <row r="77" s="23" customFormat="true" ht="15" hidden="false" customHeight="false" outlineLevel="0" collapsed="false">
      <c r="A77" s="23" t="n">
        <v>8548</v>
      </c>
      <c r="C77" s="23" t="s">
        <v>387</v>
      </c>
      <c r="D77" s="23" t="s">
        <v>388</v>
      </c>
      <c r="E77" s="23" t="s">
        <v>389</v>
      </c>
      <c r="F77" s="23" t="n">
        <v>2024</v>
      </c>
      <c r="G77" s="23" t="s">
        <v>390</v>
      </c>
      <c r="H77" s="23" t="s">
        <v>391</v>
      </c>
      <c r="I77" s="23" t="s">
        <v>33</v>
      </c>
      <c r="J77" s="27"/>
      <c r="K77" s="23" t="n">
        <v>120</v>
      </c>
      <c r="L77" s="23" t="n">
        <v>1</v>
      </c>
      <c r="M77" s="24" t="n">
        <v>14</v>
      </c>
      <c r="N77" s="24" t="n">
        <v>1680</v>
      </c>
      <c r="P77" s="23" t="n">
        <v>5</v>
      </c>
      <c r="Q77" s="24" t="s">
        <v>243</v>
      </c>
      <c r="R77" s="23" t="n">
        <v>6</v>
      </c>
      <c r="S77" s="34" t="n">
        <v>2.7</v>
      </c>
      <c r="T77" s="23" t="n">
        <v>12</v>
      </c>
      <c r="U77" s="23" t="n">
        <v>12</v>
      </c>
      <c r="V77" s="26" t="n">
        <f aca="false">S77*(SQRT(U77))</f>
        <v>9.35307436087194</v>
      </c>
      <c r="X77" s="23" t="n">
        <v>10</v>
      </c>
      <c r="Y77" s="23" t="n">
        <v>2.6</v>
      </c>
      <c r="Z77" s="23" t="n">
        <v>12</v>
      </c>
      <c r="AA77" s="23" t="n">
        <v>12</v>
      </c>
      <c r="AB77" s="26" t="n">
        <f aca="false">Y77*(SQRT(AA77))</f>
        <v>9.00666419935816</v>
      </c>
      <c r="AD77" s="0"/>
      <c r="AE77" s="0"/>
    </row>
    <row r="78" s="23" customFormat="true" ht="15" hidden="false" customHeight="false" outlineLevel="0" collapsed="false">
      <c r="A78" s="23" t="n">
        <v>8631</v>
      </c>
      <c r="B78" s="23" t="n">
        <v>32813905</v>
      </c>
      <c r="C78" s="23" t="s">
        <v>762</v>
      </c>
      <c r="D78" s="23" t="s">
        <v>763</v>
      </c>
      <c r="E78" s="23" t="s">
        <v>106</v>
      </c>
      <c r="F78" s="23" t="n">
        <v>2022</v>
      </c>
      <c r="G78" s="23" t="s">
        <v>764</v>
      </c>
      <c r="H78" s="23" t="s">
        <v>765</v>
      </c>
      <c r="I78" s="23" t="s">
        <v>33</v>
      </c>
      <c r="J78" s="27" t="n">
        <v>8</v>
      </c>
      <c r="K78" s="23" t="n">
        <v>240</v>
      </c>
      <c r="L78" s="23" t="n">
        <v>1</v>
      </c>
      <c r="M78" s="24" t="n">
        <v>15</v>
      </c>
      <c r="N78" s="24" t="n">
        <v>3600</v>
      </c>
      <c r="P78" s="23" t="n">
        <v>8</v>
      </c>
      <c r="Q78" s="24" t="s">
        <v>174</v>
      </c>
      <c r="R78" s="23" t="n">
        <v>132</v>
      </c>
      <c r="S78" s="23" t="n">
        <v>11</v>
      </c>
      <c r="T78" s="23" t="n">
        <v>10</v>
      </c>
      <c r="U78" s="23" t="n">
        <v>10</v>
      </c>
      <c r="V78" s="26" t="n">
        <f aca="false">S78*(SQRT(U78))</f>
        <v>34.7850542618522</v>
      </c>
      <c r="X78" s="23" t="n">
        <v>100</v>
      </c>
      <c r="Y78" s="23" t="n">
        <v>11</v>
      </c>
      <c r="Z78" s="23" t="n">
        <v>10</v>
      </c>
      <c r="AA78" s="23" t="n">
        <v>10</v>
      </c>
      <c r="AB78" s="26" t="n">
        <f aca="false">Y78*(SQRT(AA78))</f>
        <v>34.7850542618522</v>
      </c>
      <c r="AD78" s="0"/>
      <c r="AE78" s="0"/>
    </row>
    <row r="79" s="23" customFormat="true" ht="15" hidden="false" customHeight="false" outlineLevel="0" collapsed="false">
      <c r="A79" s="23" t="n">
        <v>8709</v>
      </c>
      <c r="C79" s="23" t="s">
        <v>766</v>
      </c>
      <c r="D79" s="23" t="s">
        <v>767</v>
      </c>
      <c r="E79" s="23" t="s">
        <v>768</v>
      </c>
      <c r="F79" s="23" t="n">
        <v>2023</v>
      </c>
      <c r="G79" s="23" t="s">
        <v>769</v>
      </c>
      <c r="H79" s="23" t="s">
        <v>32</v>
      </c>
      <c r="I79" s="23" t="s">
        <v>97</v>
      </c>
      <c r="J79" s="27" t="s">
        <v>605</v>
      </c>
      <c r="K79" s="23" t="n">
        <v>60</v>
      </c>
      <c r="L79" s="23" t="n">
        <v>1</v>
      </c>
      <c r="M79" s="24" t="n">
        <v>56</v>
      </c>
      <c r="N79" s="24" t="n">
        <v>3360</v>
      </c>
      <c r="P79" s="23" t="n">
        <v>5</v>
      </c>
      <c r="Q79" s="28"/>
      <c r="R79" s="46"/>
      <c r="S79" s="46"/>
      <c r="T79" s="46"/>
      <c r="U79" s="46"/>
      <c r="V79" s="46"/>
      <c r="X79" s="46"/>
      <c r="Y79" s="46"/>
      <c r="Z79" s="46"/>
      <c r="AA79" s="46"/>
      <c r="AB79" s="46"/>
      <c r="AD79" s="0"/>
      <c r="AE79" s="0"/>
    </row>
    <row r="80" s="23" customFormat="true" ht="16.4" hidden="false" customHeight="false" outlineLevel="0" collapsed="false">
      <c r="A80" s="23" t="n">
        <v>8743</v>
      </c>
      <c r="C80" s="41" t="s">
        <v>402</v>
      </c>
      <c r="D80" s="41" t="s">
        <v>770</v>
      </c>
      <c r="E80" s="41" t="s">
        <v>404</v>
      </c>
      <c r="F80" s="41" t="n">
        <v>2020</v>
      </c>
      <c r="G80" s="42" t="s">
        <v>405</v>
      </c>
      <c r="H80" s="23" t="s">
        <v>32</v>
      </c>
      <c r="I80" s="23" t="s">
        <v>33</v>
      </c>
      <c r="J80" s="27"/>
      <c r="K80" s="23" t="n">
        <v>150</v>
      </c>
      <c r="L80" s="23" t="n">
        <v>1</v>
      </c>
      <c r="M80" s="24" t="n">
        <v>13</v>
      </c>
      <c r="N80" s="24" t="n">
        <v>1950</v>
      </c>
      <c r="P80" s="23" t="n">
        <v>5</v>
      </c>
      <c r="Q80" s="24" t="n">
        <v>3</v>
      </c>
      <c r="R80" s="46"/>
      <c r="S80" s="46"/>
      <c r="T80" s="46"/>
      <c r="U80" s="46"/>
      <c r="V80" s="46"/>
      <c r="X80" s="46"/>
      <c r="Y80" s="46"/>
      <c r="Z80" s="46"/>
      <c r="AA80" s="46"/>
      <c r="AB80" s="46"/>
      <c r="AD80" s="0"/>
      <c r="AE80" s="0"/>
    </row>
    <row r="81" customFormat="false" ht="15" hidden="false" customHeight="false" outlineLevel="0" collapsed="false">
      <c r="A81" s="23" t="n">
        <v>8977</v>
      </c>
      <c r="C81" s="23" t="s">
        <v>591</v>
      </c>
      <c r="D81" s="23" t="s">
        <v>592</v>
      </c>
      <c r="E81" s="23" t="s">
        <v>593</v>
      </c>
      <c r="F81" s="23" t="n">
        <v>2020</v>
      </c>
      <c r="G81" s="23" t="s">
        <v>594</v>
      </c>
      <c r="H81" s="23" t="s">
        <v>32</v>
      </c>
      <c r="I81" s="23" t="s">
        <v>400</v>
      </c>
      <c r="J81" s="27" t="s">
        <v>41</v>
      </c>
      <c r="K81" s="23" t="n">
        <v>45</v>
      </c>
      <c r="L81" s="23" t="n">
        <v>3</v>
      </c>
      <c r="M81" s="24" t="n">
        <v>7</v>
      </c>
      <c r="N81" s="24" t="n">
        <v>945</v>
      </c>
      <c r="O81" s="23" t="s">
        <v>595</v>
      </c>
      <c r="P81" s="23" t="n">
        <v>5</v>
      </c>
      <c r="Q81" s="28"/>
      <c r="R81" s="46"/>
      <c r="S81" s="46"/>
      <c r="T81" s="46"/>
      <c r="U81" s="46"/>
      <c r="V81" s="46"/>
      <c r="W81" s="23"/>
      <c r="X81" s="46"/>
      <c r="Y81" s="46"/>
      <c r="Z81" s="46"/>
      <c r="AA81" s="46"/>
      <c r="AB81" s="46"/>
      <c r="AC81" s="23"/>
    </row>
    <row r="82" s="23" customFormat="true" ht="31.3" hidden="false" customHeight="false" outlineLevel="0" collapsed="false">
      <c r="A82" s="23" t="n">
        <v>9120</v>
      </c>
      <c r="C82" s="41" t="s">
        <v>434</v>
      </c>
      <c r="D82" s="63" t="s">
        <v>771</v>
      </c>
      <c r="E82" s="41" t="s">
        <v>436</v>
      </c>
      <c r="F82" s="41" t="n">
        <v>2023</v>
      </c>
      <c r="G82" s="42" t="s">
        <v>437</v>
      </c>
      <c r="H82" s="23" t="s">
        <v>438</v>
      </c>
      <c r="I82" s="23" t="s">
        <v>33</v>
      </c>
      <c r="J82" s="27" t="s">
        <v>168</v>
      </c>
      <c r="K82" s="23" t="n">
        <v>30</v>
      </c>
      <c r="L82" s="23" t="n">
        <v>1</v>
      </c>
      <c r="M82" s="24" t="n">
        <v>10</v>
      </c>
      <c r="N82" s="24" t="n">
        <v>300</v>
      </c>
      <c r="P82" s="28" t="s">
        <v>153</v>
      </c>
      <c r="Q82" s="24" t="n">
        <v>3</v>
      </c>
      <c r="R82" s="46"/>
      <c r="S82" s="46"/>
      <c r="T82" s="46"/>
      <c r="U82" s="46"/>
      <c r="V82" s="46"/>
      <c r="X82" s="46"/>
      <c r="Y82" s="46"/>
      <c r="Z82" s="46"/>
      <c r="AA82" s="46"/>
      <c r="AB82" s="46"/>
      <c r="AD82" s="0"/>
      <c r="AE82" s="0"/>
    </row>
    <row r="83" s="23" customFormat="true" ht="15" hidden="false" customHeight="false" outlineLevel="0" collapsed="false">
      <c r="A83" s="23" t="n">
        <v>9536</v>
      </c>
      <c r="B83" s="23" t="n">
        <v>28662512</v>
      </c>
      <c r="C83" s="23" t="s">
        <v>772</v>
      </c>
      <c r="D83" s="23" t="s">
        <v>773</v>
      </c>
      <c r="E83" s="23" t="s">
        <v>774</v>
      </c>
      <c r="F83" s="23" t="n">
        <v>2017</v>
      </c>
      <c r="G83" s="23" t="s">
        <v>775</v>
      </c>
      <c r="H83" s="23" t="s">
        <v>32</v>
      </c>
      <c r="I83" s="23" t="s">
        <v>33</v>
      </c>
      <c r="J83" s="27" t="s">
        <v>34</v>
      </c>
      <c r="K83" s="23" t="n">
        <v>360</v>
      </c>
      <c r="L83" s="23" t="n">
        <v>1</v>
      </c>
      <c r="M83" s="24" t="n">
        <v>21</v>
      </c>
      <c r="N83" s="24" t="n">
        <v>7560</v>
      </c>
      <c r="P83" s="23" t="n">
        <v>5</v>
      </c>
      <c r="Q83" s="24" t="s">
        <v>140</v>
      </c>
      <c r="R83" s="23" t="n">
        <v>11</v>
      </c>
      <c r="S83" s="23" t="s">
        <v>71</v>
      </c>
      <c r="T83" s="23" t="n">
        <v>20</v>
      </c>
      <c r="V83" s="23" t="n">
        <v>6</v>
      </c>
      <c r="X83" s="23" t="n">
        <v>3</v>
      </c>
      <c r="Y83" s="23" t="s">
        <v>71</v>
      </c>
      <c r="Z83" s="23" t="n">
        <v>20</v>
      </c>
      <c r="AB83" s="23" t="n">
        <v>1</v>
      </c>
      <c r="AD83" s="0"/>
      <c r="AE83" s="0"/>
    </row>
    <row r="84" s="23" customFormat="true" ht="15" hidden="false" customHeight="false" outlineLevel="0" collapsed="false">
      <c r="A84" s="37" t="n">
        <v>9542</v>
      </c>
      <c r="B84" s="37"/>
      <c r="C84" s="37" t="s">
        <v>447</v>
      </c>
      <c r="D84" s="37" t="s">
        <v>448</v>
      </c>
      <c r="E84" s="37" t="s">
        <v>56</v>
      </c>
      <c r="F84" s="37" t="n">
        <v>2025</v>
      </c>
      <c r="G84" s="37" t="s">
        <v>449</v>
      </c>
      <c r="H84" s="23" t="s">
        <v>51</v>
      </c>
      <c r="I84" s="23" t="s">
        <v>33</v>
      </c>
      <c r="J84" s="27" t="s">
        <v>94</v>
      </c>
      <c r="K84" s="23" t="n">
        <v>360</v>
      </c>
      <c r="L84" s="23" t="n">
        <v>1</v>
      </c>
      <c r="M84" s="45" t="n">
        <v>15</v>
      </c>
      <c r="N84" s="24" t="n">
        <v>5400</v>
      </c>
      <c r="P84" s="23" t="n">
        <v>5</v>
      </c>
      <c r="Q84" s="24" t="s">
        <v>118</v>
      </c>
      <c r="R84" s="23" t="n">
        <v>58</v>
      </c>
      <c r="S84" s="23" t="n">
        <v>3</v>
      </c>
      <c r="T84" s="23" t="n">
        <v>7</v>
      </c>
      <c r="U84" s="23" t="n">
        <v>7</v>
      </c>
      <c r="V84" s="26" t="n">
        <f aca="false">S84*(SQRT(U84))</f>
        <v>7.93725393319377</v>
      </c>
      <c r="X84" s="23" t="n">
        <v>24</v>
      </c>
      <c r="Y84" s="23" t="n">
        <v>2</v>
      </c>
      <c r="Z84" s="23" t="n">
        <v>7</v>
      </c>
      <c r="AA84" s="23" t="n">
        <v>7</v>
      </c>
      <c r="AB84" s="26" t="n">
        <f aca="false">Y84*(SQRT(AA84))</f>
        <v>5.29150262212918</v>
      </c>
      <c r="AD84" s="0"/>
      <c r="AE84" s="0"/>
    </row>
    <row r="85" s="23" customFormat="true" ht="15" hidden="false" customHeight="false" outlineLevel="0" collapsed="false">
      <c r="A85" s="37" t="n">
        <v>9542</v>
      </c>
      <c r="B85" s="37"/>
      <c r="C85" s="37" t="s">
        <v>447</v>
      </c>
      <c r="D85" s="37" t="s">
        <v>448</v>
      </c>
      <c r="E85" s="37" t="s">
        <v>56</v>
      </c>
      <c r="F85" s="37" t="n">
        <v>2025</v>
      </c>
      <c r="G85" s="37" t="s">
        <v>449</v>
      </c>
      <c r="H85" s="23" t="s">
        <v>51</v>
      </c>
      <c r="I85" s="23" t="s">
        <v>33</v>
      </c>
      <c r="J85" s="27" t="s">
        <v>94</v>
      </c>
      <c r="K85" s="23" t="n">
        <v>360</v>
      </c>
      <c r="L85" s="23" t="n">
        <v>1</v>
      </c>
      <c r="M85" s="45" t="n">
        <v>30</v>
      </c>
      <c r="N85" s="24" t="n">
        <v>10800</v>
      </c>
      <c r="P85" s="23" t="n">
        <v>5</v>
      </c>
      <c r="Q85" s="24" t="s">
        <v>118</v>
      </c>
      <c r="R85" s="23" t="n">
        <v>58</v>
      </c>
      <c r="S85" s="23" t="n">
        <v>2</v>
      </c>
      <c r="T85" s="23" t="n">
        <v>7</v>
      </c>
      <c r="U85" s="23" t="n">
        <v>7</v>
      </c>
      <c r="V85" s="26" t="n">
        <f aca="false">S85*(SQRT(U85))</f>
        <v>5.29150262212918</v>
      </c>
      <c r="X85" s="23" t="n">
        <v>13</v>
      </c>
      <c r="Y85" s="23" t="n">
        <v>3</v>
      </c>
      <c r="Z85" s="23" t="n">
        <v>7</v>
      </c>
      <c r="AA85" s="23" t="n">
        <v>7</v>
      </c>
      <c r="AB85" s="26" t="n">
        <f aca="false">Y85*(SQRT(AA85))</f>
        <v>7.93725393319377</v>
      </c>
      <c r="AD85" s="0"/>
      <c r="AE85" s="0"/>
    </row>
    <row r="86" customFormat="false" ht="15" hidden="false" customHeight="false" outlineLevel="0" collapsed="false">
      <c r="A86" s="37" t="n">
        <v>9663</v>
      </c>
      <c r="B86" s="37"/>
      <c r="C86" s="37" t="s">
        <v>464</v>
      </c>
      <c r="D86" s="37" t="s">
        <v>465</v>
      </c>
      <c r="E86" s="37" t="s">
        <v>466</v>
      </c>
      <c r="F86" s="37" t="n">
        <v>2015</v>
      </c>
      <c r="G86" s="37" t="s">
        <v>467</v>
      </c>
      <c r="H86" s="23" t="s">
        <v>32</v>
      </c>
      <c r="I86" s="23" t="s">
        <v>33</v>
      </c>
      <c r="J86" s="27"/>
      <c r="K86" s="23" t="n">
        <v>120</v>
      </c>
      <c r="L86" s="23" t="n">
        <v>1</v>
      </c>
      <c r="M86" s="24" t="n">
        <v>10</v>
      </c>
      <c r="N86" s="24" t="n">
        <v>1200</v>
      </c>
      <c r="O86" s="37" t="s">
        <v>468</v>
      </c>
      <c r="P86" s="23" t="n">
        <v>5</v>
      </c>
      <c r="Q86" s="24" t="s">
        <v>35</v>
      </c>
      <c r="R86" s="23" t="n">
        <v>27</v>
      </c>
      <c r="S86" s="23" t="n">
        <v>3</v>
      </c>
      <c r="T86" s="64" t="s">
        <v>469</v>
      </c>
      <c r="U86" s="23" t="n">
        <v>11</v>
      </c>
      <c r="V86" s="26" t="n">
        <f aca="false">S86*(SQRT(U86))</f>
        <v>9.9498743710662</v>
      </c>
      <c r="W86" s="23"/>
      <c r="X86" s="23" t="n">
        <v>15</v>
      </c>
      <c r="Y86" s="23" t="n">
        <v>4</v>
      </c>
      <c r="Z86" s="64" t="s">
        <v>469</v>
      </c>
      <c r="AA86" s="23" t="n">
        <v>11</v>
      </c>
      <c r="AB86" s="26" t="n">
        <f aca="false">Y86*(SQRT(AA86))</f>
        <v>13.2664991614216</v>
      </c>
      <c r="AC86" s="23"/>
    </row>
    <row r="87" customFormat="false" ht="15" hidden="false" customHeight="false" outlineLevel="0" collapsed="false">
      <c r="A87" s="37" t="n">
        <v>9663</v>
      </c>
      <c r="B87" s="37"/>
      <c r="C87" s="37" t="s">
        <v>464</v>
      </c>
      <c r="D87" s="37" t="s">
        <v>465</v>
      </c>
      <c r="E87" s="37" t="s">
        <v>466</v>
      </c>
      <c r="F87" s="37" t="n">
        <v>2015</v>
      </c>
      <c r="G87" s="37" t="s">
        <v>467</v>
      </c>
      <c r="H87" s="23" t="s">
        <v>32</v>
      </c>
      <c r="I87" s="23" t="s">
        <v>33</v>
      </c>
      <c r="J87" s="27"/>
      <c r="K87" s="23" t="n">
        <v>120</v>
      </c>
      <c r="L87" s="23" t="n">
        <v>1</v>
      </c>
      <c r="M87" s="24" t="n">
        <v>10</v>
      </c>
      <c r="N87" s="24" t="n">
        <v>1200</v>
      </c>
      <c r="O87" s="37" t="s">
        <v>470</v>
      </c>
      <c r="P87" s="23" t="n">
        <v>5</v>
      </c>
      <c r="Q87" s="24" t="s">
        <v>35</v>
      </c>
      <c r="R87" s="23" t="n">
        <v>27</v>
      </c>
      <c r="S87" s="23" t="n">
        <v>3</v>
      </c>
      <c r="T87" s="64" t="s">
        <v>469</v>
      </c>
      <c r="U87" s="23" t="n">
        <v>11</v>
      </c>
      <c r="V87" s="26" t="n">
        <f aca="false">S87*(SQRT(U87))</f>
        <v>9.9498743710662</v>
      </c>
      <c r="W87" s="23"/>
      <c r="X87" s="23" t="n">
        <v>14</v>
      </c>
      <c r="Y87" s="23" t="n">
        <v>4</v>
      </c>
      <c r="Z87" s="64" t="s">
        <v>469</v>
      </c>
      <c r="AA87" s="23" t="n">
        <v>11</v>
      </c>
      <c r="AB87" s="26" t="n">
        <f aca="false">Y87*(SQRT(AA87))</f>
        <v>13.2664991614216</v>
      </c>
      <c r="AC87" s="23"/>
    </row>
    <row r="88" customFormat="false" ht="15" hidden="false" customHeight="false" outlineLevel="0" collapsed="false">
      <c r="A88" s="23" t="n">
        <v>9688</v>
      </c>
      <c r="C88" s="23" t="s">
        <v>776</v>
      </c>
      <c r="D88" s="23" t="s">
        <v>777</v>
      </c>
      <c r="E88" s="23" t="s">
        <v>778</v>
      </c>
      <c r="F88" s="23" t="n">
        <v>2025</v>
      </c>
      <c r="G88" s="23" t="s">
        <v>779</v>
      </c>
      <c r="H88" s="23" t="s">
        <v>51</v>
      </c>
      <c r="I88" s="23" t="s">
        <v>33</v>
      </c>
      <c r="J88" s="27"/>
      <c r="K88" s="23" t="n">
        <v>360</v>
      </c>
      <c r="L88" s="23" t="n">
        <v>1</v>
      </c>
      <c r="M88" s="24" t="n">
        <v>14</v>
      </c>
      <c r="N88" s="24" t="n">
        <v>5040</v>
      </c>
      <c r="P88" s="23" t="n">
        <v>5</v>
      </c>
      <c r="Q88" s="24" t="s">
        <v>140</v>
      </c>
      <c r="R88" s="23" t="n">
        <v>27</v>
      </c>
      <c r="S88" s="23" t="n">
        <v>2</v>
      </c>
      <c r="T88" s="23" t="n">
        <v>7</v>
      </c>
      <c r="U88" s="23" t="n">
        <v>7</v>
      </c>
      <c r="V88" s="26" t="n">
        <f aca="false">S88*(SQRT(U88))</f>
        <v>5.29150262212918</v>
      </c>
      <c r="W88" s="23"/>
      <c r="X88" s="23" t="n">
        <v>11</v>
      </c>
      <c r="Y88" s="23" t="n">
        <v>1</v>
      </c>
      <c r="Z88" s="23" t="n">
        <v>7</v>
      </c>
      <c r="AA88" s="23" t="n">
        <v>7</v>
      </c>
      <c r="AB88" s="26" t="n">
        <f aca="false">Y88*(SQRT(AA88))</f>
        <v>2.64575131106459</v>
      </c>
      <c r="AC88" s="23"/>
    </row>
    <row r="89" customFormat="false" ht="15" hidden="false" customHeight="false" outlineLevel="0" collapsed="false">
      <c r="A89" s="23" t="n">
        <v>9788</v>
      </c>
      <c r="B89" s="23" t="n">
        <v>34167364</v>
      </c>
      <c r="C89" s="23" t="s">
        <v>607</v>
      </c>
      <c r="D89" s="23" t="s">
        <v>608</v>
      </c>
      <c r="E89" s="23" t="s">
        <v>609</v>
      </c>
      <c r="F89" s="23" t="n">
        <v>2021</v>
      </c>
      <c r="G89" s="23" t="s">
        <v>610</v>
      </c>
      <c r="H89" s="23" t="s">
        <v>51</v>
      </c>
      <c r="I89" s="23" t="s">
        <v>33</v>
      </c>
      <c r="J89" s="27"/>
      <c r="K89" s="23" t="n">
        <v>120</v>
      </c>
      <c r="L89" s="23" t="n">
        <v>1</v>
      </c>
      <c r="M89" s="24" t="n">
        <v>21</v>
      </c>
      <c r="N89" s="24" t="n">
        <v>2520</v>
      </c>
      <c r="P89" s="23" t="n">
        <v>5</v>
      </c>
      <c r="Q89" s="24" t="s">
        <v>189</v>
      </c>
      <c r="R89" s="23" t="n">
        <v>32</v>
      </c>
      <c r="S89" s="23" t="n">
        <v>1.5</v>
      </c>
      <c r="T89" s="23" t="n">
        <v>7</v>
      </c>
      <c r="U89" s="23" t="n">
        <v>7</v>
      </c>
      <c r="V89" s="26" t="n">
        <f aca="false">S89*(SQRT(U89))</f>
        <v>3.96862696659689</v>
      </c>
      <c r="W89" s="23"/>
      <c r="X89" s="23" t="n">
        <v>11</v>
      </c>
      <c r="Y89" s="23" t="n">
        <v>1.3</v>
      </c>
      <c r="Z89" s="23" t="n">
        <v>7</v>
      </c>
      <c r="AA89" s="23" t="n">
        <v>7</v>
      </c>
      <c r="AB89" s="26" t="n">
        <f aca="false">Y89*(SQRT(AA89))</f>
        <v>3.43947670438397</v>
      </c>
      <c r="AC89" s="23"/>
    </row>
    <row r="90" customFormat="false" ht="15" hidden="false" customHeight="false" outlineLevel="0" collapsed="false">
      <c r="A90" s="23" t="n">
        <v>9808</v>
      </c>
      <c r="B90" s="23" t="n">
        <v>35613108</v>
      </c>
      <c r="C90" s="23" t="s">
        <v>780</v>
      </c>
      <c r="D90" s="23" t="s">
        <v>781</v>
      </c>
      <c r="E90" s="23" t="s">
        <v>375</v>
      </c>
      <c r="F90" s="23" t="n">
        <v>2022</v>
      </c>
      <c r="G90" s="23" t="s">
        <v>782</v>
      </c>
      <c r="H90" s="23" t="s">
        <v>32</v>
      </c>
      <c r="I90" s="23" t="s">
        <v>33</v>
      </c>
      <c r="J90" s="27" t="s">
        <v>168</v>
      </c>
      <c r="K90" s="23" t="n">
        <v>240</v>
      </c>
      <c r="L90" s="23" t="n">
        <v>1</v>
      </c>
      <c r="M90" s="24" t="n">
        <v>30</v>
      </c>
      <c r="N90" s="24" t="n">
        <v>7200</v>
      </c>
      <c r="P90" s="23" t="n">
        <v>10</v>
      </c>
      <c r="Q90" s="24" t="s">
        <v>112</v>
      </c>
      <c r="R90" s="46"/>
      <c r="S90" s="46"/>
      <c r="T90" s="46"/>
      <c r="U90" s="46"/>
      <c r="V90" s="46"/>
      <c r="W90" s="23"/>
      <c r="X90" s="46"/>
      <c r="Y90" s="46"/>
      <c r="Z90" s="46"/>
      <c r="AA90" s="46"/>
      <c r="AB90" s="46"/>
      <c r="AC90" s="23"/>
    </row>
    <row r="91" customFormat="false" ht="15" hidden="false" customHeight="false" outlineLevel="0" collapsed="false">
      <c r="A91" s="23" t="n">
        <v>9892</v>
      </c>
      <c r="B91" s="23" t="n">
        <v>34646421</v>
      </c>
      <c r="C91" s="23" t="s">
        <v>783</v>
      </c>
      <c r="D91" s="23" t="s">
        <v>784</v>
      </c>
      <c r="E91" s="23" t="s">
        <v>785</v>
      </c>
      <c r="F91" s="23" t="n">
        <v>2021</v>
      </c>
      <c r="G91" s="23" t="s">
        <v>786</v>
      </c>
      <c r="H91" s="23" t="s">
        <v>51</v>
      </c>
      <c r="I91" s="23" t="s">
        <v>33</v>
      </c>
      <c r="J91" s="27" t="s">
        <v>34</v>
      </c>
      <c r="K91" s="23" t="n">
        <v>360</v>
      </c>
      <c r="L91" s="23" t="n">
        <v>1</v>
      </c>
      <c r="M91" s="24" t="n">
        <v>21</v>
      </c>
      <c r="N91" s="24" t="n">
        <v>7560</v>
      </c>
      <c r="P91" s="23" t="n">
        <v>5</v>
      </c>
      <c r="Q91" s="24" t="s">
        <v>52</v>
      </c>
      <c r="R91" s="23" t="n">
        <v>40</v>
      </c>
      <c r="S91" s="23" t="n">
        <v>3</v>
      </c>
      <c r="T91" s="23" t="n">
        <v>10</v>
      </c>
      <c r="U91" s="23" t="n">
        <v>10</v>
      </c>
      <c r="V91" s="26" t="n">
        <f aca="false">S91*(SQRT(U91))</f>
        <v>9.48683298050514</v>
      </c>
      <c r="W91" s="23"/>
      <c r="X91" s="23" t="n">
        <v>24</v>
      </c>
      <c r="Y91" s="23" t="n">
        <v>3</v>
      </c>
      <c r="Z91" s="23" t="n">
        <v>7</v>
      </c>
      <c r="AA91" s="23" t="n">
        <v>7</v>
      </c>
      <c r="AB91" s="26" t="n">
        <f aca="false">Y91*(SQRT(AA91))</f>
        <v>7.93725393319377</v>
      </c>
      <c r="AC91" s="23"/>
    </row>
    <row r="92" customFormat="false" ht="15" hidden="false" customHeight="false" outlineLevel="0" collapsed="false">
      <c r="A92" s="23" t="n">
        <v>9937</v>
      </c>
      <c r="C92" s="23" t="s">
        <v>787</v>
      </c>
      <c r="D92" s="23" t="s">
        <v>788</v>
      </c>
      <c r="E92" s="23" t="s">
        <v>505</v>
      </c>
      <c r="F92" s="23" t="n">
        <v>2024</v>
      </c>
      <c r="G92" s="23" t="s">
        <v>789</v>
      </c>
      <c r="H92" s="23" t="s">
        <v>51</v>
      </c>
      <c r="I92" s="23" t="s">
        <v>33</v>
      </c>
      <c r="J92" s="27"/>
      <c r="K92" s="23" t="n">
        <v>240</v>
      </c>
      <c r="L92" s="23" t="n">
        <v>1</v>
      </c>
      <c r="M92" s="24" t="n">
        <v>14</v>
      </c>
      <c r="N92" s="24" t="n">
        <v>3360</v>
      </c>
      <c r="P92" s="23" t="n">
        <v>5</v>
      </c>
      <c r="Q92" s="24" t="s">
        <v>238</v>
      </c>
      <c r="R92" s="23" t="n">
        <v>10</v>
      </c>
      <c r="S92" s="23" t="n">
        <v>0.5</v>
      </c>
      <c r="T92" s="23" t="n">
        <v>8</v>
      </c>
      <c r="U92" s="23" t="n">
        <v>8</v>
      </c>
      <c r="V92" s="26" t="n">
        <f aca="false">S92*(SQRT(U92))</f>
        <v>1.4142135623731</v>
      </c>
      <c r="W92" s="23"/>
      <c r="X92" s="23" t="n">
        <v>3</v>
      </c>
      <c r="Y92" s="34" t="n">
        <v>0.4</v>
      </c>
      <c r="Z92" s="23" t="n">
        <v>8</v>
      </c>
      <c r="AA92" s="23" t="n">
        <v>8</v>
      </c>
      <c r="AB92" s="26" t="n">
        <f aca="false">Y92*(SQRT(AA92))</f>
        <v>1.13137084989848</v>
      </c>
      <c r="AC92" s="23"/>
    </row>
    <row r="93" customFormat="false" ht="15" hidden="false" customHeight="false" outlineLevel="0" collapsed="false">
      <c r="Y93" s="23"/>
    </row>
    <row r="1048576" customFormat="false" ht="12.8" hidden="false" customHeight="false" outlineLevel="0" collapsed="false"/>
  </sheetData>
  <hyperlinks>
    <hyperlink ref="G5" r:id="rId1" display="https://dx.doi.org/10.1016/j.neuroscience.2015.09.033"/>
    <hyperlink ref="G11" r:id="rId2" display="https://dx.doi.org/10.1038/s41398-018-0351-z"/>
    <hyperlink ref="G22" r:id="rId3" display="https://dx.doi.org/10.13040/IJPSR.0975-8232.9%2811%29.4832-41"/>
    <hyperlink ref="G49" r:id="rId4" display="https://dx.doi.org/10.1016/j.ynirp.2022.100104"/>
    <hyperlink ref="G55" r:id="rId5" display="https://dx.doi.org/10.3390/brainsci15070709"/>
    <hyperlink ref="G60" r:id="rId6" display="https://dx.doi.org/10.1016/j.joim.2021.11.007"/>
    <hyperlink ref="G63" r:id="rId7" display="https://dx.doi.org/10.1016/j.ejphar.2023.176273"/>
    <hyperlink ref="G69" r:id="rId8" display="https://dx.doi.org/10.1007/s12640-018-9963-6"/>
    <hyperlink ref="G80" r:id="rId9" display="https://dx.doi.org/10.1523/ENEURO.0113-20.2020"/>
    <hyperlink ref="G82" r:id="rId10" display="https://dx.doi.org/10.1111/bdi.13319"/>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76" activeCellId="0" sqref="D76"/>
    </sheetView>
  </sheetViews>
  <sheetFormatPr defaultColWidth="9.14453125" defaultRowHeight="15" customHeight="false" zeroHeight="false" outlineLevelRow="0" outlineLevelCol="0"/>
  <cols>
    <col collapsed="false" customWidth="true" hidden="false" outlineLevel="0" max="1" min="1" style="23" width="10.86"/>
    <col collapsed="false" customWidth="false" hidden="false" outlineLevel="0" max="2" min="2" style="23" width="9.14"/>
    <col collapsed="false" customWidth="true" hidden="false" outlineLevel="0" max="3" min="3" style="23" width="33"/>
    <col collapsed="false" customWidth="true" hidden="false" outlineLevel="0" max="4" min="4" style="23" width="12.14"/>
    <col collapsed="false" customWidth="true" hidden="false" outlineLevel="0" max="5" min="5" style="23" width="15.57"/>
    <col collapsed="false" customWidth="false" hidden="false" outlineLevel="0" max="6" min="6" style="23" width="9.14"/>
    <col collapsed="false" customWidth="true" hidden="false" outlineLevel="0" max="7" min="7" style="23" width="29.14"/>
    <col collapsed="false" customWidth="true" hidden="false" outlineLevel="0" max="8" min="8" style="23" width="4.57"/>
    <col collapsed="false" customWidth="true" hidden="false" outlineLevel="0" max="9" min="9" style="23" width="20.57"/>
    <col collapsed="false" customWidth="true" hidden="false" outlineLevel="0" max="10" min="10" style="23" width="11.72"/>
    <col collapsed="false" customWidth="true" hidden="false" outlineLevel="0" max="11" min="11" style="27" width="17.57"/>
    <col collapsed="false" customWidth="true" hidden="false" outlineLevel="0" max="12" min="12" style="23" width="12.57"/>
    <col collapsed="false" customWidth="true" hidden="false" outlineLevel="0" max="13" min="13" style="23" width="13.43"/>
    <col collapsed="false" customWidth="true" hidden="false" outlineLevel="0" max="14" min="14" style="24" width="19.72"/>
    <col collapsed="false" customWidth="true" hidden="false" outlineLevel="0" max="15" min="15" style="24" width="19"/>
    <col collapsed="false" customWidth="false" hidden="false" outlineLevel="0" max="16" min="16" style="23" width="9.14"/>
    <col collapsed="false" customWidth="true" hidden="false" outlineLevel="0" max="17" min="17" style="24" width="19.15"/>
    <col collapsed="false" customWidth="true" hidden="false" outlineLevel="0" max="18" min="18" style="23" width="9.29"/>
    <col collapsed="false" customWidth="true" hidden="false" outlineLevel="0" max="19" min="19" style="34" width="14"/>
    <col collapsed="false" customWidth="true" hidden="false" outlineLevel="0" max="20" min="20" style="34" width="11.86"/>
    <col collapsed="false" customWidth="true" hidden="false" outlineLevel="0" max="22" min="21" style="25" width="8.86"/>
    <col collapsed="false" customWidth="true" hidden="false" outlineLevel="0" max="23" min="23" style="34" width="18.86"/>
    <col collapsed="false" customWidth="true" hidden="false" outlineLevel="0" max="24" min="24" style="34" width="2.71"/>
    <col collapsed="false" customWidth="true" hidden="false" outlineLevel="0" max="25" min="25" style="34" width="14.14"/>
    <col collapsed="false" customWidth="true" hidden="false" outlineLevel="0" max="26" min="26" style="34" width="11.86"/>
    <col collapsed="false" customWidth="true" hidden="false" outlineLevel="0" max="28" min="27" style="25" width="8.57"/>
    <col collapsed="false" customWidth="true" hidden="false" outlineLevel="0" max="29" min="29" style="34" width="18.86"/>
    <col collapsed="false" customWidth="true" hidden="false" outlineLevel="0" max="30" min="30" style="24" width="3.72"/>
    <col collapsed="false" customWidth="true" hidden="false" outlineLevel="0" max="31" min="31" style="0" width="42.71"/>
    <col collapsed="false" customWidth="true" hidden="false" outlineLevel="0" max="32" min="32" style="0" width="18.14"/>
    <col collapsed="false" customWidth="true" hidden="false" outlineLevel="0" max="33" min="33" style="0" width="8.59"/>
    <col collapsed="false" customWidth="false" hidden="false" outlineLevel="0" max="16384" min="34" style="23" width="9.14"/>
  </cols>
  <sheetData>
    <row r="1" customFormat="false" ht="15" hidden="false" customHeight="false" outlineLevel="0" collapsed="false">
      <c r="S1" s="17" t="s">
        <v>21</v>
      </c>
      <c r="T1" s="18" t="s">
        <v>22</v>
      </c>
      <c r="U1" s="19" t="s">
        <v>23</v>
      </c>
      <c r="V1" s="19" t="s">
        <v>24</v>
      </c>
      <c r="W1" s="18" t="s">
        <v>25</v>
      </c>
      <c r="Y1" s="56" t="s">
        <v>26</v>
      </c>
      <c r="Z1" s="57" t="s">
        <v>27</v>
      </c>
      <c r="AA1" s="58" t="s">
        <v>23</v>
      </c>
      <c r="AB1" s="58" t="s">
        <v>24</v>
      </c>
      <c r="AC1" s="57" t="s">
        <v>25</v>
      </c>
    </row>
    <row r="2" customFormat="false" ht="15" hidden="false" customHeight="false" outlineLevel="0" collapsed="false">
      <c r="A2" s="13" t="s">
        <v>2</v>
      </c>
      <c r="B2" s="13" t="s">
        <v>3</v>
      </c>
      <c r="C2" s="13" t="s">
        <v>4</v>
      </c>
      <c r="D2" s="13" t="s">
        <v>5</v>
      </c>
      <c r="E2" s="13" t="s">
        <v>6</v>
      </c>
      <c r="F2" s="13" t="s">
        <v>7</v>
      </c>
      <c r="G2" s="13" t="s">
        <v>8</v>
      </c>
      <c r="H2" s="13" t="s">
        <v>790</v>
      </c>
      <c r="I2" s="13" t="s">
        <v>10</v>
      </c>
      <c r="J2" s="13" t="s">
        <v>11</v>
      </c>
      <c r="K2" s="14" t="s">
        <v>12</v>
      </c>
      <c r="L2" s="13" t="s">
        <v>13</v>
      </c>
      <c r="M2" s="13" t="s">
        <v>14</v>
      </c>
      <c r="N2" s="15" t="s">
        <v>15</v>
      </c>
      <c r="O2" s="15" t="s">
        <v>16</v>
      </c>
      <c r="P2" s="13" t="s">
        <v>17</v>
      </c>
      <c r="Q2" s="15" t="s">
        <v>791</v>
      </c>
      <c r="R2" s="13" t="s">
        <v>20</v>
      </c>
      <c r="S2" s="6" t="s">
        <v>792</v>
      </c>
      <c r="T2" s="7"/>
      <c r="U2" s="8"/>
      <c r="V2" s="8"/>
      <c r="W2" s="7"/>
      <c r="X2" s="52"/>
      <c r="Y2" s="53" t="s">
        <v>793</v>
      </c>
      <c r="Z2" s="54"/>
      <c r="AA2" s="55"/>
      <c r="AB2" s="55"/>
      <c r="AC2" s="54"/>
      <c r="AD2" s="52"/>
    </row>
    <row r="3" customFormat="false" ht="15" hidden="false" customHeight="false" outlineLevel="0" collapsed="false">
      <c r="A3" s="0" t="n">
        <v>1016</v>
      </c>
      <c r="C3" s="23" t="s">
        <v>28</v>
      </c>
      <c r="D3" s="23" t="s">
        <v>29</v>
      </c>
      <c r="E3" s="23" t="s">
        <v>30</v>
      </c>
      <c r="F3" s="23" t="n">
        <v>2022</v>
      </c>
      <c r="G3" s="23" t="s">
        <v>31</v>
      </c>
      <c r="H3" s="0" t="n">
        <v>1</v>
      </c>
      <c r="I3" s="0" t="s">
        <v>32</v>
      </c>
      <c r="J3" s="0" t="s">
        <v>33</v>
      </c>
      <c r="K3" s="2" t="s">
        <v>34</v>
      </c>
      <c r="L3" s="0" t="n">
        <v>360</v>
      </c>
      <c r="M3" s="0" t="n">
        <v>1</v>
      </c>
      <c r="N3" s="3" t="n">
        <v>28</v>
      </c>
      <c r="O3" s="24" t="n">
        <f aca="false">N3*L3</f>
        <v>10080</v>
      </c>
      <c r="P3" s="0"/>
      <c r="Q3" s="0"/>
      <c r="R3" s="46"/>
      <c r="S3" s="46"/>
      <c r="T3" s="46"/>
      <c r="U3" s="46"/>
      <c r="V3" s="46"/>
      <c r="W3" s="46"/>
      <c r="X3" s="23"/>
      <c r="Y3" s="46"/>
      <c r="Z3" s="46"/>
      <c r="AA3" s="46"/>
      <c r="AB3" s="46"/>
      <c r="AC3" s="46"/>
      <c r="AD3" s="23"/>
      <c r="AH3" s="0"/>
      <c r="AI3" s="0"/>
      <c r="AJ3" s="0"/>
      <c r="AK3" s="0"/>
      <c r="AL3" s="0"/>
      <c r="AM3" s="0"/>
      <c r="AN3" s="0"/>
      <c r="AO3" s="0"/>
      <c r="AP3" s="0"/>
      <c r="AQ3" s="0"/>
      <c r="AR3" s="0"/>
      <c r="AS3" s="0"/>
      <c r="AT3" s="0"/>
      <c r="AU3" s="0"/>
      <c r="AV3" s="0"/>
      <c r="AW3" s="0"/>
      <c r="AX3" s="0"/>
      <c r="AY3" s="0"/>
      <c r="AZ3" s="0"/>
      <c r="BA3" s="0"/>
      <c r="BB3" s="0"/>
      <c r="BC3" s="0"/>
      <c r="BD3" s="0"/>
      <c r="BE3" s="0"/>
      <c r="BF3" s="0"/>
      <c r="BG3" s="0"/>
      <c r="BH3" s="0"/>
      <c r="BI3" s="0"/>
      <c r="BJ3" s="0"/>
      <c r="BK3" s="0"/>
      <c r="BL3" s="0"/>
      <c r="BM3" s="0"/>
      <c r="BN3" s="0"/>
      <c r="BO3" s="0"/>
      <c r="BP3" s="0"/>
      <c r="BQ3" s="0"/>
      <c r="BR3" s="0"/>
      <c r="BS3" s="0"/>
      <c r="BT3" s="0"/>
      <c r="BU3" s="0"/>
      <c r="BV3" s="0"/>
      <c r="BW3" s="0"/>
      <c r="BX3" s="0"/>
      <c r="BY3" s="0"/>
      <c r="BZ3" s="0"/>
      <c r="CA3" s="0"/>
      <c r="CB3" s="0"/>
      <c r="CC3" s="0"/>
      <c r="CD3" s="0"/>
      <c r="CE3" s="0"/>
      <c r="CF3" s="0"/>
      <c r="CG3" s="0"/>
      <c r="CH3" s="0"/>
      <c r="CI3" s="0"/>
      <c r="CJ3" s="0"/>
      <c r="CK3" s="0"/>
      <c r="CL3" s="0"/>
      <c r="CM3" s="0"/>
      <c r="CN3" s="0"/>
      <c r="CO3" s="0"/>
      <c r="CP3" s="0"/>
      <c r="CQ3" s="0"/>
      <c r="CR3" s="0"/>
      <c r="CS3" s="0"/>
      <c r="CT3" s="0"/>
      <c r="CU3" s="0"/>
      <c r="CV3" s="0"/>
      <c r="CW3" s="0"/>
      <c r="CX3" s="0"/>
      <c r="CY3" s="0"/>
      <c r="CZ3" s="0"/>
      <c r="DA3" s="0"/>
      <c r="DB3" s="0"/>
      <c r="DC3" s="0"/>
      <c r="DD3" s="0"/>
      <c r="DE3" s="0"/>
      <c r="DF3" s="0"/>
      <c r="DG3" s="0"/>
      <c r="DH3" s="0"/>
      <c r="DI3" s="0"/>
      <c r="DJ3" s="0"/>
      <c r="DK3" s="0"/>
      <c r="DL3" s="0"/>
      <c r="DM3" s="0"/>
      <c r="DN3" s="0"/>
      <c r="DO3" s="0"/>
      <c r="DP3" s="0"/>
      <c r="DQ3" s="0"/>
      <c r="DR3" s="0"/>
      <c r="DS3" s="0"/>
      <c r="DT3" s="0"/>
      <c r="DU3" s="0"/>
      <c r="DV3" s="0"/>
      <c r="DW3" s="0"/>
      <c r="DX3" s="0"/>
      <c r="DY3" s="0"/>
      <c r="DZ3" s="0"/>
      <c r="EA3" s="0"/>
      <c r="EB3" s="0"/>
      <c r="EC3" s="0"/>
      <c r="ED3" s="0"/>
      <c r="EE3" s="0"/>
      <c r="EF3" s="0"/>
      <c r="EG3" s="0"/>
      <c r="EH3" s="0"/>
      <c r="EI3" s="0"/>
      <c r="EJ3" s="0"/>
      <c r="EK3" s="0"/>
      <c r="EL3" s="0"/>
      <c r="EM3" s="0"/>
      <c r="EN3" s="0"/>
      <c r="EO3" s="0"/>
      <c r="EP3" s="0"/>
      <c r="EQ3" s="0"/>
      <c r="ER3" s="0"/>
      <c r="ES3" s="0"/>
      <c r="ET3" s="0"/>
      <c r="EU3" s="0"/>
      <c r="EV3" s="0"/>
      <c r="EW3" s="0"/>
      <c r="EX3" s="0"/>
      <c r="EY3" s="0"/>
      <c r="EZ3" s="0"/>
      <c r="FA3" s="0"/>
      <c r="FB3" s="0"/>
      <c r="FC3" s="0"/>
      <c r="FD3" s="0"/>
      <c r="FE3" s="0"/>
      <c r="FF3" s="0"/>
      <c r="FG3" s="0"/>
      <c r="FH3" s="0"/>
      <c r="FI3" s="0"/>
      <c r="FJ3" s="0"/>
      <c r="FK3" s="0"/>
      <c r="FL3" s="0"/>
      <c r="FM3" s="0"/>
      <c r="FN3" s="0"/>
      <c r="FO3" s="0"/>
      <c r="FP3" s="0"/>
      <c r="FQ3" s="0"/>
      <c r="FR3" s="0"/>
      <c r="FS3" s="0"/>
      <c r="FT3" s="0"/>
      <c r="FU3" s="0"/>
      <c r="FV3" s="0"/>
      <c r="FW3" s="0"/>
      <c r="FX3" s="0"/>
      <c r="FY3" s="0"/>
      <c r="FZ3" s="0"/>
      <c r="GA3" s="0"/>
      <c r="GB3" s="0"/>
      <c r="GC3" s="0"/>
      <c r="GD3" s="0"/>
      <c r="GE3" s="0"/>
      <c r="GF3" s="0"/>
      <c r="GG3" s="0"/>
      <c r="GH3" s="0"/>
      <c r="GI3" s="0"/>
      <c r="GJ3" s="0"/>
      <c r="GK3" s="0"/>
      <c r="GL3" s="0"/>
      <c r="GM3" s="0"/>
      <c r="GN3" s="0"/>
      <c r="GO3" s="0"/>
      <c r="GP3" s="0"/>
      <c r="GQ3" s="0"/>
      <c r="GR3" s="0"/>
      <c r="GS3" s="0"/>
      <c r="GT3" s="0"/>
      <c r="GU3" s="0"/>
      <c r="GV3" s="0"/>
      <c r="GW3" s="0"/>
      <c r="GX3" s="0"/>
      <c r="GY3" s="0"/>
      <c r="GZ3" s="0"/>
      <c r="HA3" s="0"/>
      <c r="HB3" s="0"/>
      <c r="HC3" s="0"/>
      <c r="HD3" s="0"/>
      <c r="HE3" s="0"/>
      <c r="HF3" s="0"/>
      <c r="HG3" s="0"/>
      <c r="HH3" s="0"/>
      <c r="HI3" s="0"/>
      <c r="HJ3" s="0"/>
      <c r="HK3" s="0"/>
      <c r="HL3" s="0"/>
      <c r="HM3" s="0"/>
      <c r="HN3" s="0"/>
      <c r="HO3" s="0"/>
      <c r="HP3" s="0"/>
      <c r="HQ3" s="0"/>
      <c r="HR3" s="0"/>
      <c r="HS3" s="0"/>
      <c r="HT3" s="0"/>
      <c r="HU3" s="0"/>
      <c r="HV3" s="0"/>
      <c r="HW3" s="0"/>
      <c r="HX3" s="0"/>
      <c r="HY3" s="0"/>
      <c r="HZ3" s="0"/>
      <c r="IA3" s="0"/>
      <c r="IB3" s="0"/>
      <c r="IC3" s="0"/>
      <c r="ID3" s="0"/>
      <c r="IE3" s="0"/>
      <c r="IF3" s="0"/>
      <c r="IG3" s="0"/>
      <c r="IH3" s="0"/>
      <c r="II3" s="0"/>
      <c r="IJ3" s="0"/>
      <c r="IK3" s="0"/>
      <c r="IL3" s="0"/>
      <c r="IM3" s="0"/>
      <c r="IN3" s="0"/>
      <c r="IO3" s="0"/>
      <c r="IP3" s="0"/>
      <c r="IQ3" s="0"/>
      <c r="IR3" s="0"/>
      <c r="IS3" s="0"/>
      <c r="IT3" s="0"/>
      <c r="IU3" s="0"/>
      <c r="IV3" s="0"/>
      <c r="IW3" s="0"/>
      <c r="IX3" s="0"/>
      <c r="IY3" s="0"/>
      <c r="IZ3" s="0"/>
      <c r="JA3" s="0"/>
      <c r="JB3" s="0"/>
      <c r="JC3" s="0"/>
      <c r="JD3" s="0"/>
      <c r="JE3" s="0"/>
      <c r="JF3" s="0"/>
      <c r="JG3" s="0"/>
      <c r="JH3" s="0"/>
      <c r="JI3" s="0"/>
      <c r="JJ3" s="0"/>
      <c r="JK3" s="0"/>
      <c r="JL3" s="0"/>
      <c r="JM3" s="0"/>
      <c r="JN3" s="0"/>
      <c r="JO3" s="0"/>
      <c r="JP3" s="0"/>
      <c r="JQ3" s="0"/>
      <c r="JR3" s="0"/>
      <c r="JS3" s="0"/>
      <c r="JT3" s="0"/>
      <c r="JU3" s="0"/>
      <c r="JV3" s="0"/>
      <c r="JW3" s="0"/>
      <c r="JX3" s="0"/>
      <c r="JY3" s="0"/>
      <c r="JZ3" s="0"/>
      <c r="KA3" s="0"/>
      <c r="KB3" s="0"/>
      <c r="KC3" s="0"/>
      <c r="KD3" s="0"/>
      <c r="KE3" s="0"/>
      <c r="KF3" s="0"/>
      <c r="KG3" s="0"/>
      <c r="KH3" s="0"/>
      <c r="KI3" s="0"/>
      <c r="KJ3" s="0"/>
      <c r="KK3" s="0"/>
      <c r="KL3" s="0"/>
      <c r="KM3" s="0"/>
      <c r="KN3" s="0"/>
      <c r="KO3" s="0"/>
      <c r="KP3" s="0"/>
      <c r="KQ3" s="0"/>
      <c r="KR3" s="0"/>
      <c r="KS3" s="0"/>
      <c r="KT3" s="0"/>
      <c r="KU3" s="0"/>
      <c r="KV3" s="0"/>
      <c r="KW3" s="0"/>
      <c r="KX3" s="0"/>
      <c r="KY3" s="0"/>
      <c r="KZ3" s="0"/>
      <c r="LA3" s="0"/>
      <c r="LB3" s="0"/>
      <c r="LC3" s="0"/>
      <c r="LD3" s="0"/>
      <c r="LE3" s="0"/>
      <c r="LF3" s="0"/>
      <c r="LG3" s="0"/>
      <c r="LH3" s="0"/>
      <c r="LI3" s="0"/>
      <c r="LJ3" s="0"/>
      <c r="LK3" s="0"/>
      <c r="LL3" s="0"/>
      <c r="LM3" s="0"/>
      <c r="LN3" s="0"/>
      <c r="LO3" s="0"/>
      <c r="LP3" s="0"/>
      <c r="LQ3" s="0"/>
      <c r="LR3" s="0"/>
      <c r="LS3" s="0"/>
      <c r="LT3" s="0"/>
      <c r="LU3" s="0"/>
      <c r="LV3" s="0"/>
      <c r="LW3" s="0"/>
      <c r="LX3" s="0"/>
      <c r="LY3" s="0"/>
      <c r="LZ3" s="0"/>
      <c r="MA3" s="0"/>
      <c r="MB3" s="0"/>
      <c r="MC3" s="0"/>
      <c r="MD3" s="0"/>
      <c r="ME3" s="0"/>
      <c r="MF3" s="0"/>
      <c r="MG3" s="0"/>
      <c r="MH3" s="0"/>
      <c r="MI3" s="0"/>
      <c r="MJ3" s="0"/>
      <c r="MK3" s="0"/>
      <c r="ML3" s="0"/>
      <c r="MM3" s="0"/>
      <c r="MN3" s="0"/>
      <c r="MO3" s="0"/>
      <c r="MP3" s="0"/>
      <c r="MQ3" s="0"/>
      <c r="MR3" s="0"/>
      <c r="MS3" s="0"/>
      <c r="MT3" s="0"/>
      <c r="MU3" s="0"/>
      <c r="MV3" s="0"/>
      <c r="MW3" s="0"/>
      <c r="MX3" s="0"/>
      <c r="MY3" s="0"/>
      <c r="MZ3" s="0"/>
      <c r="NA3" s="0"/>
      <c r="NB3" s="0"/>
      <c r="NC3" s="0"/>
      <c r="ND3" s="0"/>
      <c r="NE3" s="0"/>
      <c r="NF3" s="0"/>
      <c r="NG3" s="0"/>
      <c r="NH3" s="0"/>
      <c r="NI3" s="0"/>
      <c r="NJ3" s="0"/>
      <c r="NK3" s="0"/>
      <c r="NL3" s="0"/>
      <c r="NM3" s="0"/>
      <c r="NN3" s="0"/>
      <c r="NO3" s="0"/>
      <c r="NP3" s="0"/>
      <c r="NQ3" s="0"/>
      <c r="NR3" s="0"/>
      <c r="NS3" s="0"/>
      <c r="NT3" s="0"/>
      <c r="NU3" s="0"/>
      <c r="NV3" s="0"/>
      <c r="NW3" s="0"/>
      <c r="NX3" s="0"/>
      <c r="NY3" s="0"/>
      <c r="NZ3" s="0"/>
      <c r="OA3" s="0"/>
      <c r="OB3" s="0"/>
      <c r="OC3" s="0"/>
      <c r="OD3" s="0"/>
      <c r="OE3" s="0"/>
      <c r="OF3" s="0"/>
      <c r="OG3" s="0"/>
      <c r="OH3" s="0"/>
      <c r="OI3" s="0"/>
      <c r="OJ3" s="0"/>
      <c r="OK3" s="0"/>
      <c r="OL3" s="0"/>
      <c r="OM3" s="0"/>
      <c r="ON3" s="0"/>
      <c r="OO3" s="0"/>
      <c r="OP3" s="0"/>
      <c r="OQ3" s="0"/>
      <c r="OR3" s="0"/>
      <c r="OS3" s="0"/>
      <c r="OT3" s="0"/>
      <c r="OU3" s="0"/>
      <c r="OV3" s="0"/>
      <c r="OW3" s="0"/>
      <c r="OX3" s="0"/>
      <c r="OY3" s="0"/>
      <c r="OZ3" s="0"/>
      <c r="PA3" s="0"/>
      <c r="PB3" s="0"/>
      <c r="PC3" s="0"/>
      <c r="PD3" s="0"/>
      <c r="PE3" s="0"/>
      <c r="PF3" s="0"/>
      <c r="PG3" s="0"/>
      <c r="PH3" s="0"/>
      <c r="PI3" s="0"/>
      <c r="PJ3" s="0"/>
      <c r="PK3" s="0"/>
      <c r="PL3" s="0"/>
      <c r="PM3" s="0"/>
      <c r="PN3" s="0"/>
      <c r="PO3" s="0"/>
      <c r="PP3" s="0"/>
      <c r="PQ3" s="0"/>
      <c r="PR3" s="0"/>
      <c r="PS3" s="0"/>
      <c r="PT3" s="0"/>
      <c r="PU3" s="0"/>
      <c r="PV3" s="0"/>
      <c r="PW3" s="0"/>
      <c r="PX3" s="0"/>
      <c r="PY3" s="0"/>
      <c r="PZ3" s="0"/>
      <c r="QA3" s="0"/>
      <c r="QB3" s="0"/>
      <c r="QC3" s="0"/>
      <c r="QD3" s="0"/>
      <c r="QE3" s="0"/>
      <c r="QF3" s="0"/>
      <c r="QG3" s="0"/>
      <c r="QH3" s="0"/>
      <c r="QI3" s="0"/>
      <c r="QJ3" s="0"/>
      <c r="QK3" s="0"/>
      <c r="QL3" s="0"/>
      <c r="QM3" s="0"/>
      <c r="QN3" s="0"/>
      <c r="QO3" s="0"/>
      <c r="QP3" s="0"/>
      <c r="QQ3" s="0"/>
      <c r="QR3" s="0"/>
      <c r="QS3" s="0"/>
      <c r="QT3" s="0"/>
      <c r="QU3" s="0"/>
      <c r="QV3" s="0"/>
      <c r="QW3" s="0"/>
      <c r="QX3" s="0"/>
      <c r="QY3" s="0"/>
      <c r="QZ3" s="0"/>
      <c r="RA3" s="0"/>
      <c r="RB3" s="0"/>
      <c r="RC3" s="0"/>
      <c r="RD3" s="0"/>
      <c r="RE3" s="0"/>
      <c r="RF3" s="0"/>
      <c r="RG3" s="0"/>
      <c r="RH3" s="0"/>
      <c r="RI3" s="0"/>
      <c r="RJ3" s="0"/>
      <c r="RK3" s="0"/>
      <c r="RL3" s="0"/>
      <c r="RM3" s="0"/>
      <c r="RN3" s="0"/>
      <c r="RO3" s="0"/>
      <c r="RP3" s="0"/>
      <c r="RQ3" s="0"/>
      <c r="RR3" s="0"/>
      <c r="RS3" s="0"/>
      <c r="RT3" s="0"/>
      <c r="RU3" s="0"/>
      <c r="RV3" s="0"/>
      <c r="RW3" s="0"/>
      <c r="RX3" s="0"/>
      <c r="RY3" s="0"/>
      <c r="RZ3" s="0"/>
      <c r="SA3" s="0"/>
      <c r="SB3" s="0"/>
      <c r="SC3" s="0"/>
      <c r="SD3" s="0"/>
      <c r="SE3" s="0"/>
      <c r="SF3" s="0"/>
      <c r="SG3" s="0"/>
      <c r="SH3" s="0"/>
      <c r="SI3" s="0"/>
      <c r="SJ3" s="0"/>
      <c r="SK3" s="0"/>
      <c r="SL3" s="0"/>
      <c r="SM3" s="0"/>
      <c r="SN3" s="0"/>
      <c r="SO3" s="0"/>
      <c r="SP3" s="0"/>
      <c r="SQ3" s="0"/>
      <c r="SR3" s="0"/>
      <c r="SS3" s="0"/>
      <c r="ST3" s="0"/>
      <c r="SU3" s="0"/>
      <c r="SV3" s="0"/>
      <c r="SW3" s="0"/>
      <c r="SX3" s="0"/>
      <c r="SY3" s="0"/>
      <c r="SZ3" s="0"/>
      <c r="TA3" s="0"/>
      <c r="TB3" s="0"/>
      <c r="TC3" s="0"/>
      <c r="TD3" s="0"/>
      <c r="TE3" s="0"/>
      <c r="TF3" s="0"/>
      <c r="TG3" s="0"/>
      <c r="TH3" s="0"/>
      <c r="TI3" s="0"/>
      <c r="TJ3" s="0"/>
      <c r="TK3" s="0"/>
      <c r="TL3" s="0"/>
      <c r="TM3" s="0"/>
      <c r="TN3" s="0"/>
      <c r="TO3" s="0"/>
      <c r="TP3" s="0"/>
      <c r="TQ3" s="0"/>
      <c r="TR3" s="0"/>
      <c r="TS3" s="0"/>
      <c r="TT3" s="0"/>
      <c r="TU3" s="0"/>
      <c r="TV3" s="0"/>
      <c r="TW3" s="0"/>
      <c r="TX3" s="0"/>
      <c r="TY3" s="0"/>
      <c r="TZ3" s="0"/>
      <c r="UA3" s="0"/>
      <c r="UB3" s="0"/>
      <c r="UC3" s="0"/>
      <c r="UD3" s="0"/>
      <c r="UE3" s="0"/>
      <c r="UF3" s="0"/>
      <c r="UG3" s="0"/>
      <c r="UH3" s="0"/>
      <c r="UI3" s="0"/>
      <c r="UJ3" s="0"/>
      <c r="UK3" s="0"/>
      <c r="UL3" s="0"/>
      <c r="UM3" s="0"/>
      <c r="UN3" s="0"/>
      <c r="UO3" s="0"/>
      <c r="UP3" s="0"/>
      <c r="UQ3" s="0"/>
      <c r="UR3" s="0"/>
      <c r="US3" s="0"/>
      <c r="UT3" s="0"/>
      <c r="UU3" s="0"/>
      <c r="UV3" s="0"/>
      <c r="UW3" s="0"/>
      <c r="UX3" s="0"/>
      <c r="UY3" s="0"/>
      <c r="UZ3" s="0"/>
      <c r="VA3" s="0"/>
      <c r="VB3" s="0"/>
      <c r="VC3" s="0"/>
      <c r="VD3" s="0"/>
      <c r="VE3" s="0"/>
      <c r="VF3" s="0"/>
      <c r="VG3" s="0"/>
      <c r="VH3" s="0"/>
      <c r="VI3" s="0"/>
      <c r="VJ3" s="0"/>
      <c r="VK3" s="0"/>
      <c r="VL3" s="0"/>
      <c r="VM3" s="0"/>
      <c r="VN3" s="0"/>
      <c r="VO3" s="0"/>
      <c r="VP3" s="0"/>
      <c r="VQ3" s="0"/>
      <c r="VR3" s="0"/>
      <c r="VS3" s="0"/>
      <c r="VT3" s="0"/>
      <c r="VU3" s="0"/>
      <c r="VV3" s="0"/>
      <c r="VW3" s="0"/>
      <c r="VX3" s="0"/>
      <c r="VY3" s="0"/>
      <c r="VZ3" s="0"/>
      <c r="WA3" s="0"/>
      <c r="WB3" s="0"/>
      <c r="WC3" s="0"/>
      <c r="WD3" s="0"/>
      <c r="WE3" s="0"/>
      <c r="WF3" s="0"/>
      <c r="WG3" s="0"/>
      <c r="WH3" s="0"/>
      <c r="WI3" s="0"/>
      <c r="WJ3" s="0"/>
      <c r="WK3" s="0"/>
      <c r="WL3" s="0"/>
      <c r="WM3" s="0"/>
      <c r="WN3" s="0"/>
      <c r="WO3" s="0"/>
      <c r="WP3" s="0"/>
      <c r="WQ3" s="0"/>
      <c r="WR3" s="0"/>
      <c r="WS3" s="0"/>
      <c r="WT3" s="0"/>
      <c r="WU3" s="0"/>
      <c r="WV3" s="0"/>
      <c r="WW3" s="0"/>
      <c r="WX3" s="0"/>
      <c r="WY3" s="0"/>
      <c r="WZ3" s="0"/>
      <c r="XA3" s="0"/>
      <c r="XB3" s="0"/>
      <c r="XC3" s="0"/>
      <c r="XD3" s="0"/>
      <c r="XE3" s="0"/>
      <c r="XF3" s="0"/>
      <c r="XG3" s="0"/>
      <c r="XH3" s="0"/>
      <c r="XI3" s="0"/>
      <c r="XJ3" s="0"/>
      <c r="XK3" s="0"/>
      <c r="XL3" s="0"/>
      <c r="XM3" s="0"/>
      <c r="XN3" s="0"/>
      <c r="XO3" s="0"/>
      <c r="XP3" s="0"/>
      <c r="XQ3" s="0"/>
      <c r="XR3" s="0"/>
      <c r="XS3" s="0"/>
      <c r="XT3" s="0"/>
      <c r="XU3" s="0"/>
      <c r="XV3" s="0"/>
      <c r="XW3" s="0"/>
      <c r="XX3" s="0"/>
      <c r="XY3" s="0"/>
      <c r="XZ3" s="0"/>
      <c r="YA3" s="0"/>
      <c r="YB3" s="0"/>
      <c r="YC3" s="0"/>
      <c r="YD3" s="0"/>
      <c r="YE3" s="0"/>
      <c r="YF3" s="0"/>
      <c r="YG3" s="0"/>
      <c r="YH3" s="0"/>
      <c r="YI3" s="0"/>
      <c r="YJ3" s="0"/>
      <c r="YK3" s="0"/>
      <c r="YL3" s="0"/>
      <c r="YM3" s="0"/>
      <c r="YN3" s="0"/>
      <c r="YO3" s="0"/>
      <c r="YP3" s="0"/>
      <c r="YQ3" s="0"/>
      <c r="YR3" s="0"/>
      <c r="YS3" s="0"/>
      <c r="YT3" s="0"/>
      <c r="YU3" s="0"/>
      <c r="YV3" s="0"/>
      <c r="YW3" s="0"/>
      <c r="YX3" s="0"/>
      <c r="YY3" s="0"/>
      <c r="YZ3" s="0"/>
      <c r="ZA3" s="0"/>
      <c r="ZB3" s="0"/>
      <c r="ZC3" s="0"/>
      <c r="ZD3" s="0"/>
      <c r="ZE3" s="0"/>
      <c r="ZF3" s="0"/>
      <c r="ZG3" s="0"/>
      <c r="ZH3" s="0"/>
      <c r="ZI3" s="0"/>
      <c r="ZJ3" s="0"/>
      <c r="ZK3" s="0"/>
      <c r="ZL3" s="0"/>
      <c r="ZM3" s="0"/>
      <c r="ZN3" s="0"/>
      <c r="ZO3" s="0"/>
      <c r="ZP3" s="0"/>
      <c r="ZQ3" s="0"/>
      <c r="ZR3" s="0"/>
      <c r="ZS3" s="0"/>
      <c r="ZT3" s="0"/>
      <c r="ZU3" s="0"/>
      <c r="ZV3" s="0"/>
      <c r="ZW3" s="0"/>
      <c r="ZX3" s="0"/>
      <c r="ZY3" s="0"/>
      <c r="ZZ3" s="0"/>
      <c r="AAA3" s="0"/>
      <c r="AAB3" s="0"/>
      <c r="AAC3" s="0"/>
      <c r="AAD3" s="0"/>
      <c r="AAE3" s="0"/>
      <c r="AAF3" s="0"/>
      <c r="AAG3" s="0"/>
      <c r="AAH3" s="0"/>
      <c r="AAI3" s="0"/>
      <c r="AAJ3" s="0"/>
      <c r="AAK3" s="0"/>
      <c r="AAL3" s="0"/>
      <c r="AAM3" s="0"/>
      <c r="AAN3" s="0"/>
      <c r="AAO3" s="0"/>
      <c r="AAP3" s="0"/>
      <c r="AAQ3" s="0"/>
      <c r="AAR3" s="0"/>
      <c r="AAS3" s="0"/>
      <c r="AAT3" s="0"/>
      <c r="AAU3" s="0"/>
      <c r="AAV3" s="0"/>
      <c r="AAW3" s="0"/>
      <c r="AAX3" s="0"/>
      <c r="AAY3" s="0"/>
      <c r="AAZ3" s="0"/>
      <c r="ABA3" s="0"/>
      <c r="ABB3" s="0"/>
      <c r="ABC3" s="0"/>
      <c r="ABD3" s="0"/>
      <c r="ABE3" s="0"/>
      <c r="ABF3" s="0"/>
      <c r="ABG3" s="0"/>
      <c r="ABH3" s="0"/>
      <c r="ABI3" s="0"/>
      <c r="ABJ3" s="0"/>
      <c r="ABK3" s="0"/>
      <c r="ABL3" s="0"/>
      <c r="ABM3" s="0"/>
      <c r="ABN3" s="0"/>
      <c r="ABO3" s="0"/>
      <c r="ABP3" s="0"/>
      <c r="ABQ3" s="0"/>
      <c r="ABR3" s="0"/>
      <c r="ABS3" s="0"/>
      <c r="ABT3" s="0"/>
      <c r="ABU3" s="0"/>
      <c r="ABV3" s="0"/>
      <c r="ABW3" s="0"/>
      <c r="ABX3" s="0"/>
      <c r="ABY3" s="0"/>
      <c r="ABZ3" s="0"/>
      <c r="ACA3" s="0"/>
      <c r="ACB3" s="0"/>
      <c r="ACC3" s="0"/>
      <c r="ACD3" s="0"/>
      <c r="ACE3" s="0"/>
      <c r="ACF3" s="0"/>
      <c r="ACG3" s="0"/>
      <c r="ACH3" s="0"/>
      <c r="ACI3" s="0"/>
      <c r="ACJ3" s="0"/>
      <c r="ACK3" s="0"/>
      <c r="ACL3" s="0"/>
      <c r="ACM3" s="0"/>
      <c r="ACN3" s="0"/>
      <c r="ACO3" s="0"/>
      <c r="ACP3" s="0"/>
      <c r="ACQ3" s="0"/>
      <c r="ACR3" s="0"/>
      <c r="ACS3" s="0"/>
      <c r="ACT3" s="0"/>
      <c r="ACU3" s="0"/>
      <c r="ACV3" s="0"/>
      <c r="ACW3" s="0"/>
      <c r="ACX3" s="0"/>
      <c r="ACY3" s="0"/>
      <c r="ACZ3" s="0"/>
      <c r="ADA3" s="0"/>
      <c r="ADB3" s="0"/>
      <c r="ADC3" s="0"/>
      <c r="ADD3" s="0"/>
      <c r="ADE3" s="0"/>
      <c r="ADF3" s="0"/>
      <c r="ADG3" s="0"/>
      <c r="ADH3" s="0"/>
      <c r="ADI3" s="0"/>
      <c r="ADJ3" s="0"/>
      <c r="ADK3" s="0"/>
      <c r="ADL3" s="0"/>
      <c r="ADM3" s="0"/>
      <c r="ADN3" s="0"/>
      <c r="ADO3" s="0"/>
      <c r="ADP3" s="0"/>
      <c r="ADQ3" s="0"/>
      <c r="ADR3" s="0"/>
      <c r="ADS3" s="0"/>
      <c r="ADT3" s="0"/>
      <c r="ADU3" s="0"/>
      <c r="ADV3" s="0"/>
      <c r="ADW3" s="0"/>
      <c r="ADX3" s="0"/>
      <c r="ADY3" s="0"/>
      <c r="ADZ3" s="0"/>
      <c r="AEA3" s="0"/>
      <c r="AEB3" s="0"/>
      <c r="AEC3" s="0"/>
      <c r="AED3" s="0"/>
      <c r="AEE3" s="0"/>
      <c r="AEF3" s="0"/>
      <c r="AEG3" s="0"/>
      <c r="AEH3" s="0"/>
      <c r="AEI3" s="0"/>
      <c r="AEJ3" s="0"/>
      <c r="AEK3" s="0"/>
      <c r="AEL3" s="0"/>
      <c r="AEM3" s="0"/>
      <c r="AEN3" s="0"/>
      <c r="AEO3" s="0"/>
      <c r="AEP3" s="0"/>
      <c r="AEQ3" s="0"/>
      <c r="AER3" s="0"/>
      <c r="AES3" s="0"/>
      <c r="AET3" s="0"/>
      <c r="AEU3" s="0"/>
      <c r="AEV3" s="0"/>
      <c r="AEW3" s="0"/>
      <c r="AEX3" s="0"/>
      <c r="AEY3" s="0"/>
      <c r="AEZ3" s="0"/>
      <c r="AFA3" s="0"/>
      <c r="AFB3" s="0"/>
      <c r="AFC3" s="0"/>
      <c r="AFD3" s="0"/>
      <c r="AFE3" s="0"/>
      <c r="AFF3" s="0"/>
      <c r="AFG3" s="0"/>
      <c r="AFH3" s="0"/>
      <c r="AFI3" s="0"/>
      <c r="AFJ3" s="0"/>
      <c r="AFK3" s="0"/>
      <c r="AFL3" s="0"/>
      <c r="AFM3" s="0"/>
      <c r="AFN3" s="0"/>
      <c r="AFO3" s="0"/>
      <c r="AFP3" s="0"/>
      <c r="AFQ3" s="0"/>
      <c r="AFR3" s="0"/>
      <c r="AFS3" s="0"/>
      <c r="AFT3" s="0"/>
      <c r="AFU3" s="0"/>
      <c r="AFV3" s="0"/>
      <c r="AFW3" s="0"/>
      <c r="AFX3" s="0"/>
      <c r="AFY3" s="0"/>
      <c r="AFZ3" s="0"/>
      <c r="AGA3" s="0"/>
      <c r="AGB3" s="0"/>
      <c r="AGC3" s="0"/>
      <c r="AGD3" s="0"/>
      <c r="AGE3" s="0"/>
      <c r="AGF3" s="0"/>
      <c r="AGG3" s="0"/>
      <c r="AGH3" s="0"/>
      <c r="AGI3" s="0"/>
      <c r="AGJ3" s="0"/>
      <c r="AGK3" s="0"/>
      <c r="AGL3" s="0"/>
      <c r="AGM3" s="0"/>
      <c r="AGN3" s="0"/>
      <c r="AGO3" s="0"/>
      <c r="AGP3" s="0"/>
      <c r="AGQ3" s="0"/>
      <c r="AGR3" s="0"/>
      <c r="AGS3" s="0"/>
      <c r="AGT3" s="0"/>
      <c r="AGU3" s="0"/>
      <c r="AGV3" s="0"/>
      <c r="AGW3" s="0"/>
      <c r="AGX3" s="0"/>
      <c r="AGY3" s="0"/>
      <c r="AGZ3" s="0"/>
      <c r="AHA3" s="0"/>
      <c r="AHB3" s="0"/>
      <c r="AHC3" s="0"/>
      <c r="AHD3" s="0"/>
      <c r="AHE3" s="0"/>
      <c r="AHF3" s="0"/>
      <c r="AHG3" s="0"/>
      <c r="AHH3" s="0"/>
      <c r="AHI3" s="0"/>
      <c r="AHJ3" s="0"/>
      <c r="AHK3" s="0"/>
      <c r="AHL3" s="0"/>
      <c r="AHM3" s="0"/>
      <c r="AHN3" s="0"/>
      <c r="AHO3" s="0"/>
      <c r="AHP3" s="0"/>
      <c r="AHQ3" s="0"/>
      <c r="AHR3" s="0"/>
      <c r="AHS3" s="0"/>
      <c r="AHT3" s="0"/>
      <c r="AHU3" s="0"/>
      <c r="AHV3" s="0"/>
      <c r="AHW3" s="0"/>
      <c r="AHX3" s="0"/>
      <c r="AHY3" s="0"/>
      <c r="AHZ3" s="0"/>
      <c r="AIA3" s="0"/>
      <c r="AIB3" s="0"/>
      <c r="AIC3" s="0"/>
      <c r="AID3" s="0"/>
      <c r="AIE3" s="0"/>
      <c r="AIF3" s="0"/>
      <c r="AIG3" s="0"/>
      <c r="AIH3" s="0"/>
      <c r="AII3" s="0"/>
      <c r="AIJ3" s="0"/>
      <c r="AIK3" s="0"/>
      <c r="AIL3" s="0"/>
      <c r="AIM3" s="0"/>
      <c r="AIN3" s="0"/>
      <c r="AIO3" s="0"/>
      <c r="AIP3" s="0"/>
      <c r="AIQ3" s="0"/>
      <c r="AIR3" s="0"/>
      <c r="AIS3" s="0"/>
      <c r="AIT3" s="0"/>
      <c r="AIU3" s="0"/>
      <c r="AIV3" s="0"/>
      <c r="AIW3" s="0"/>
      <c r="AIX3" s="0"/>
      <c r="AIY3" s="0"/>
      <c r="AIZ3" s="0"/>
      <c r="AJA3" s="0"/>
      <c r="AJB3" s="0"/>
      <c r="AJC3" s="0"/>
      <c r="AJD3" s="0"/>
      <c r="AJE3" s="0"/>
      <c r="AJF3" s="0"/>
      <c r="AJG3" s="0"/>
      <c r="AJH3" s="0"/>
      <c r="AJI3" s="0"/>
      <c r="AJJ3" s="0"/>
      <c r="AJK3" s="0"/>
      <c r="AJL3" s="0"/>
      <c r="AJM3" s="0"/>
      <c r="AJN3" s="0"/>
      <c r="AJO3" s="0"/>
      <c r="AJP3" s="0"/>
      <c r="AJQ3" s="0"/>
      <c r="AJR3" s="0"/>
      <c r="AJS3" s="0"/>
      <c r="AJT3" s="0"/>
      <c r="AJU3" s="0"/>
      <c r="AJV3" s="0"/>
      <c r="AJW3" s="0"/>
      <c r="AJX3" s="0"/>
      <c r="AJY3" s="0"/>
      <c r="AJZ3" s="0"/>
      <c r="AKA3" s="0"/>
      <c r="AKB3" s="0"/>
      <c r="AKC3" s="0"/>
      <c r="AKD3" s="0"/>
      <c r="AKE3" s="0"/>
      <c r="AKF3" s="0"/>
      <c r="AKG3" s="0"/>
      <c r="AKH3" s="0"/>
      <c r="AKI3" s="0"/>
      <c r="AKJ3" s="0"/>
      <c r="AKK3" s="0"/>
      <c r="AKL3" s="0"/>
      <c r="AKM3" s="0"/>
      <c r="AKN3" s="0"/>
      <c r="AKO3" s="0"/>
      <c r="AKP3" s="0"/>
      <c r="AKQ3" s="0"/>
      <c r="AKR3" s="0"/>
      <c r="AKS3" s="0"/>
      <c r="AKT3" s="0"/>
      <c r="AKU3" s="0"/>
      <c r="AKV3" s="0"/>
      <c r="AKW3" s="0"/>
      <c r="AKX3" s="0"/>
      <c r="AKY3" s="0"/>
      <c r="AKZ3" s="0"/>
      <c r="ALA3" s="0"/>
      <c r="ALB3" s="0"/>
      <c r="ALC3" s="0"/>
      <c r="ALD3" s="0"/>
      <c r="ALE3" s="0"/>
      <c r="ALF3" s="0"/>
      <c r="ALG3" s="0"/>
      <c r="ALH3" s="0"/>
      <c r="ALI3" s="0"/>
      <c r="ALJ3" s="0"/>
      <c r="ALK3" s="0"/>
      <c r="ALL3" s="0"/>
      <c r="ALM3" s="0"/>
      <c r="ALN3" s="0"/>
      <c r="ALO3" s="0"/>
      <c r="ALP3" s="0"/>
      <c r="ALQ3" s="0"/>
      <c r="ALR3" s="0"/>
      <c r="ALS3" s="0"/>
      <c r="ALT3" s="0"/>
      <c r="ALU3" s="0"/>
      <c r="ALV3" s="0"/>
      <c r="ALW3" s="0"/>
      <c r="ALX3" s="0"/>
      <c r="ALY3" s="0"/>
      <c r="ALZ3" s="0"/>
      <c r="AMA3" s="0"/>
      <c r="AMB3" s="0"/>
      <c r="AMC3" s="0"/>
      <c r="AMD3" s="0"/>
      <c r="AME3" s="0"/>
      <c r="AMF3" s="0"/>
      <c r="AMG3" s="0"/>
      <c r="AMH3" s="0"/>
      <c r="AMI3" s="0"/>
      <c r="AMJ3" s="0"/>
      <c r="AMK3" s="0"/>
      <c r="AML3" s="0"/>
      <c r="AMM3" s="0"/>
      <c r="AMN3" s="0"/>
      <c r="AMO3" s="0"/>
      <c r="AMP3" s="0"/>
      <c r="AMQ3" s="0"/>
      <c r="AMR3" s="0"/>
      <c r="AMS3" s="0"/>
      <c r="AMT3" s="0"/>
      <c r="AMU3" s="0"/>
      <c r="AMV3" s="0"/>
      <c r="AMW3" s="0"/>
      <c r="AMX3" s="0"/>
      <c r="AMY3" s="0"/>
      <c r="AMZ3" s="0"/>
      <c r="ANA3" s="0"/>
      <c r="ANB3" s="0"/>
      <c r="ANC3" s="0"/>
      <c r="AND3" s="0"/>
      <c r="ANE3" s="0"/>
      <c r="ANF3" s="0"/>
      <c r="ANG3" s="0"/>
      <c r="ANH3" s="0"/>
      <c r="ANI3" s="0"/>
      <c r="ANJ3" s="0"/>
      <c r="ANK3" s="0"/>
      <c r="ANL3" s="0"/>
      <c r="ANM3" s="0"/>
      <c r="ANN3" s="0"/>
      <c r="ANO3" s="0"/>
      <c r="ANP3" s="0"/>
      <c r="ANQ3" s="0"/>
      <c r="ANR3" s="0"/>
      <c r="ANS3" s="0"/>
      <c r="ANT3" s="0"/>
      <c r="ANU3" s="0"/>
      <c r="ANV3" s="0"/>
      <c r="ANW3" s="0"/>
      <c r="ANX3" s="0"/>
      <c r="ANY3" s="0"/>
      <c r="ANZ3" s="0"/>
      <c r="AOA3" s="0"/>
      <c r="AOB3" s="0"/>
      <c r="AOC3" s="0"/>
      <c r="AOD3" s="0"/>
      <c r="AOE3" s="0"/>
      <c r="AOF3" s="0"/>
      <c r="AOG3" s="0"/>
      <c r="AOH3" s="0"/>
      <c r="AOI3" s="0"/>
      <c r="AOJ3" s="0"/>
      <c r="AOK3" s="0"/>
      <c r="AOL3" s="0"/>
      <c r="AOM3" s="0"/>
      <c r="AON3" s="0"/>
      <c r="AOO3" s="0"/>
      <c r="AOP3" s="0"/>
      <c r="AOQ3" s="0"/>
      <c r="AOR3" s="0"/>
      <c r="AOS3" s="0"/>
      <c r="AOT3" s="0"/>
      <c r="AOU3" s="0"/>
      <c r="AOV3" s="0"/>
      <c r="AOW3" s="0"/>
      <c r="AOX3" s="0"/>
      <c r="AOY3" s="0"/>
      <c r="AOZ3" s="0"/>
      <c r="APA3" s="0"/>
      <c r="APB3" s="0"/>
      <c r="APC3" s="0"/>
      <c r="APD3" s="0"/>
      <c r="APE3" s="0"/>
      <c r="APF3" s="0"/>
      <c r="APG3" s="0"/>
      <c r="APH3" s="0"/>
      <c r="API3" s="0"/>
      <c r="APJ3" s="0"/>
      <c r="APK3" s="0"/>
      <c r="APL3" s="0"/>
      <c r="APM3" s="0"/>
      <c r="APN3" s="0"/>
      <c r="APO3" s="0"/>
      <c r="APP3" s="0"/>
      <c r="APQ3" s="0"/>
      <c r="APR3" s="0"/>
      <c r="APS3" s="0"/>
      <c r="APT3" s="0"/>
      <c r="APU3" s="0"/>
      <c r="APV3" s="0"/>
      <c r="APW3" s="0"/>
      <c r="APX3" s="0"/>
      <c r="APY3" s="0"/>
      <c r="APZ3" s="0"/>
      <c r="AQA3" s="0"/>
      <c r="AQB3" s="0"/>
      <c r="AQC3" s="0"/>
      <c r="AQD3" s="0"/>
      <c r="AQE3" s="0"/>
      <c r="AQF3" s="0"/>
      <c r="AQG3" s="0"/>
      <c r="AQH3" s="0"/>
      <c r="AQI3" s="0"/>
      <c r="AQJ3" s="0"/>
      <c r="AQK3" s="0"/>
      <c r="AQL3" s="0"/>
      <c r="AQM3" s="0"/>
      <c r="AQN3" s="0"/>
      <c r="AQO3" s="0"/>
      <c r="AQP3" s="0"/>
      <c r="AQQ3" s="0"/>
      <c r="AQR3" s="0"/>
      <c r="AQS3" s="0"/>
      <c r="AQT3" s="0"/>
      <c r="AQU3" s="0"/>
      <c r="AQV3" s="0"/>
      <c r="AQW3" s="0"/>
      <c r="AQX3" s="0"/>
      <c r="AQY3" s="0"/>
      <c r="AQZ3" s="0"/>
      <c r="ARA3" s="0"/>
      <c r="ARB3" s="0"/>
      <c r="ARC3" s="0"/>
      <c r="ARD3" s="0"/>
      <c r="ARE3" s="0"/>
      <c r="ARF3" s="0"/>
      <c r="ARG3" s="0"/>
      <c r="ARH3" s="0"/>
      <c r="ARI3" s="0"/>
      <c r="ARJ3" s="0"/>
      <c r="ARK3" s="0"/>
      <c r="ARL3" s="0"/>
      <c r="ARM3" s="0"/>
      <c r="ARN3" s="0"/>
      <c r="ARO3" s="0"/>
      <c r="ARP3" s="0"/>
      <c r="ARQ3" s="0"/>
      <c r="ARR3" s="0"/>
      <c r="ARS3" s="0"/>
      <c r="ART3" s="0"/>
      <c r="ARU3" s="0"/>
      <c r="ARV3" s="0"/>
      <c r="ARW3" s="0"/>
      <c r="ARX3" s="0"/>
      <c r="ARY3" s="0"/>
      <c r="ARZ3" s="0"/>
      <c r="ASA3" s="0"/>
      <c r="ASB3" s="0"/>
      <c r="ASC3" s="0"/>
      <c r="ASD3" s="0"/>
      <c r="ASE3" s="0"/>
      <c r="ASF3" s="0"/>
      <c r="ASG3" s="0"/>
      <c r="ASH3" s="0"/>
      <c r="ASI3" s="0"/>
      <c r="ASJ3" s="0"/>
      <c r="ASK3" s="0"/>
      <c r="ASL3" s="0"/>
      <c r="ASM3" s="0"/>
      <c r="ASN3" s="0"/>
      <c r="ASO3" s="0"/>
      <c r="ASP3" s="0"/>
      <c r="ASQ3" s="0"/>
      <c r="ASR3" s="0"/>
      <c r="ASS3" s="0"/>
      <c r="AST3" s="0"/>
      <c r="ASU3" s="0"/>
      <c r="ASV3" s="0"/>
      <c r="ASW3" s="0"/>
      <c r="ASX3" s="0"/>
      <c r="ASY3" s="0"/>
      <c r="ASZ3" s="0"/>
      <c r="ATA3" s="0"/>
      <c r="ATB3" s="0"/>
      <c r="ATC3" s="0"/>
      <c r="ATD3" s="0"/>
      <c r="ATE3" s="0"/>
      <c r="ATF3" s="0"/>
      <c r="ATG3" s="0"/>
      <c r="ATH3" s="0"/>
      <c r="ATI3" s="0"/>
      <c r="ATJ3" s="0"/>
      <c r="ATK3" s="0"/>
      <c r="ATL3" s="0"/>
      <c r="ATM3" s="0"/>
      <c r="ATN3" s="0"/>
      <c r="ATO3" s="0"/>
      <c r="ATP3" s="0"/>
      <c r="ATQ3" s="0"/>
      <c r="ATR3" s="0"/>
      <c r="ATS3" s="0"/>
      <c r="ATT3" s="0"/>
      <c r="ATU3" s="0"/>
      <c r="ATV3" s="0"/>
      <c r="ATW3" s="0"/>
      <c r="ATX3" s="0"/>
      <c r="ATY3" s="0"/>
      <c r="ATZ3" s="0"/>
      <c r="AUA3" s="0"/>
      <c r="AUB3" s="0"/>
      <c r="AUC3" s="0"/>
      <c r="AUD3" s="0"/>
      <c r="AUE3" s="0"/>
      <c r="AUF3" s="0"/>
      <c r="AUG3" s="0"/>
      <c r="AUH3" s="0"/>
      <c r="AUI3" s="0"/>
      <c r="AUJ3" s="0"/>
      <c r="AUK3" s="0"/>
      <c r="AUL3" s="0"/>
      <c r="AUM3" s="0"/>
      <c r="AUN3" s="0"/>
      <c r="AUO3" s="0"/>
      <c r="AUP3" s="0"/>
      <c r="AUQ3" s="0"/>
      <c r="AUR3" s="0"/>
      <c r="AUS3" s="0"/>
      <c r="AUT3" s="0"/>
      <c r="AUU3" s="0"/>
      <c r="AUV3" s="0"/>
      <c r="AUW3" s="0"/>
      <c r="AUX3" s="0"/>
      <c r="AUY3" s="0"/>
      <c r="AUZ3" s="0"/>
      <c r="AVA3" s="0"/>
      <c r="AVB3" s="0"/>
      <c r="AVC3" s="0"/>
      <c r="AVD3" s="0"/>
      <c r="AVE3" s="0"/>
      <c r="AVF3" s="0"/>
      <c r="AVG3" s="0"/>
      <c r="AVH3" s="0"/>
      <c r="AVI3" s="0"/>
      <c r="AVJ3" s="0"/>
      <c r="AVK3" s="0"/>
      <c r="AVL3" s="0"/>
      <c r="AVM3" s="0"/>
      <c r="AVN3" s="0"/>
      <c r="AVO3" s="0"/>
      <c r="AVP3" s="0"/>
      <c r="AVQ3" s="0"/>
      <c r="AVR3" s="0"/>
      <c r="AVS3" s="0"/>
      <c r="AVT3" s="0"/>
      <c r="AVU3" s="0"/>
      <c r="AVV3" s="0"/>
      <c r="AVW3" s="0"/>
      <c r="AVX3" s="0"/>
      <c r="AVY3" s="0"/>
      <c r="AVZ3" s="0"/>
      <c r="AWA3" s="0"/>
      <c r="AWB3" s="0"/>
      <c r="AWC3" s="0"/>
      <c r="AWD3" s="0"/>
      <c r="AWE3" s="0"/>
      <c r="AWF3" s="0"/>
      <c r="AWG3" s="0"/>
      <c r="AWH3" s="0"/>
      <c r="AWI3" s="0"/>
      <c r="AWJ3" s="0"/>
      <c r="AWK3" s="0"/>
      <c r="AWL3" s="0"/>
      <c r="AWM3" s="0"/>
      <c r="AWN3" s="0"/>
      <c r="AWO3" s="0"/>
      <c r="AWP3" s="0"/>
      <c r="AWQ3" s="0"/>
      <c r="AWR3" s="0"/>
      <c r="AWS3" s="0"/>
      <c r="AWT3" s="0"/>
      <c r="AWU3" s="0"/>
      <c r="AWV3" s="0"/>
      <c r="AWW3" s="0"/>
      <c r="AWX3" s="0"/>
      <c r="AWY3" s="0"/>
      <c r="AWZ3" s="0"/>
      <c r="AXA3" s="0"/>
      <c r="AXB3" s="0"/>
      <c r="AXC3" s="0"/>
      <c r="AXD3" s="0"/>
      <c r="AXE3" s="0"/>
      <c r="AXF3" s="0"/>
      <c r="AXG3" s="0"/>
      <c r="AXH3" s="0"/>
      <c r="AXI3" s="0"/>
      <c r="AXJ3" s="0"/>
      <c r="AXK3" s="0"/>
      <c r="AXL3" s="0"/>
      <c r="AXM3" s="0"/>
      <c r="AXN3" s="0"/>
      <c r="AXO3" s="0"/>
      <c r="AXP3" s="0"/>
      <c r="AXQ3" s="0"/>
      <c r="AXR3" s="0"/>
      <c r="AXS3" s="0"/>
      <c r="AXT3" s="0"/>
      <c r="AXU3" s="0"/>
      <c r="AXV3" s="0"/>
      <c r="AXW3" s="0"/>
      <c r="AXX3" s="0"/>
      <c r="AXY3" s="0"/>
      <c r="AXZ3" s="0"/>
      <c r="AYA3" s="0"/>
      <c r="AYB3" s="0"/>
      <c r="AYC3" s="0"/>
      <c r="AYD3" s="0"/>
      <c r="AYE3" s="0"/>
      <c r="AYF3" s="0"/>
      <c r="AYG3" s="0"/>
      <c r="AYH3" s="0"/>
      <c r="AYI3" s="0"/>
      <c r="AYJ3" s="0"/>
      <c r="AYK3" s="0"/>
      <c r="AYL3" s="0"/>
      <c r="AYM3" s="0"/>
      <c r="AYN3" s="0"/>
      <c r="AYO3" s="0"/>
      <c r="AYP3" s="0"/>
      <c r="AYQ3" s="0"/>
      <c r="AYR3" s="0"/>
      <c r="AYS3" s="0"/>
      <c r="AYT3" s="0"/>
      <c r="AYU3" s="0"/>
      <c r="AYV3" s="0"/>
      <c r="AYW3" s="0"/>
      <c r="AYX3" s="0"/>
      <c r="AYY3" s="0"/>
      <c r="AYZ3" s="0"/>
      <c r="AZA3" s="0"/>
      <c r="AZB3" s="0"/>
      <c r="AZC3" s="0"/>
      <c r="AZD3" s="0"/>
      <c r="AZE3" s="0"/>
      <c r="AZF3" s="0"/>
      <c r="AZG3" s="0"/>
      <c r="AZH3" s="0"/>
      <c r="AZI3" s="0"/>
      <c r="AZJ3" s="0"/>
      <c r="AZK3" s="0"/>
      <c r="AZL3" s="0"/>
      <c r="AZM3" s="0"/>
      <c r="AZN3" s="0"/>
      <c r="AZO3" s="0"/>
      <c r="AZP3" s="0"/>
      <c r="AZQ3" s="0"/>
      <c r="AZR3" s="0"/>
      <c r="AZS3" s="0"/>
      <c r="AZT3" s="0"/>
      <c r="AZU3" s="0"/>
      <c r="AZV3" s="0"/>
      <c r="AZW3" s="0"/>
      <c r="AZX3" s="0"/>
      <c r="AZY3" s="0"/>
      <c r="AZZ3" s="0"/>
      <c r="BAA3" s="0"/>
      <c r="BAB3" s="0"/>
      <c r="BAC3" s="0"/>
      <c r="BAD3" s="0"/>
      <c r="BAE3" s="0"/>
      <c r="BAF3" s="0"/>
      <c r="BAG3" s="0"/>
      <c r="BAH3" s="0"/>
      <c r="BAI3" s="0"/>
      <c r="BAJ3" s="0"/>
      <c r="BAK3" s="0"/>
      <c r="BAL3" s="0"/>
      <c r="BAM3" s="0"/>
      <c r="BAN3" s="0"/>
      <c r="BAO3" s="0"/>
      <c r="BAP3" s="0"/>
      <c r="BAQ3" s="0"/>
      <c r="BAR3" s="0"/>
      <c r="BAS3" s="0"/>
      <c r="BAT3" s="0"/>
      <c r="BAU3" s="0"/>
      <c r="BAV3" s="0"/>
      <c r="BAW3" s="0"/>
      <c r="BAX3" s="0"/>
      <c r="BAY3" s="0"/>
      <c r="BAZ3" s="0"/>
      <c r="BBA3" s="0"/>
      <c r="BBB3" s="0"/>
      <c r="BBC3" s="0"/>
      <c r="BBD3" s="0"/>
      <c r="BBE3" s="0"/>
      <c r="BBF3" s="0"/>
      <c r="BBG3" s="0"/>
      <c r="BBH3" s="0"/>
      <c r="BBI3" s="0"/>
      <c r="BBJ3" s="0"/>
      <c r="BBK3" s="0"/>
      <c r="BBL3" s="0"/>
      <c r="BBM3" s="0"/>
      <c r="BBN3" s="0"/>
      <c r="BBO3" s="0"/>
      <c r="BBP3" s="0"/>
      <c r="BBQ3" s="0"/>
      <c r="BBR3" s="0"/>
      <c r="BBS3" s="0"/>
      <c r="BBT3" s="0"/>
      <c r="BBU3" s="0"/>
      <c r="BBV3" s="0"/>
      <c r="BBW3" s="0"/>
      <c r="BBX3" s="0"/>
      <c r="BBY3" s="0"/>
      <c r="BBZ3" s="0"/>
      <c r="BCA3" s="0"/>
      <c r="BCB3" s="0"/>
      <c r="BCC3" s="0"/>
      <c r="BCD3" s="0"/>
      <c r="BCE3" s="0"/>
      <c r="BCF3" s="0"/>
      <c r="BCG3" s="0"/>
      <c r="BCH3" s="0"/>
      <c r="BCI3" s="0"/>
      <c r="BCJ3" s="0"/>
      <c r="BCK3" s="0"/>
      <c r="BCL3" s="0"/>
      <c r="BCM3" s="0"/>
      <c r="BCN3" s="0"/>
      <c r="BCO3" s="0"/>
      <c r="BCP3" s="0"/>
      <c r="BCQ3" s="0"/>
      <c r="BCR3" s="0"/>
      <c r="BCS3" s="0"/>
      <c r="BCT3" s="0"/>
      <c r="BCU3" s="0"/>
      <c r="BCV3" s="0"/>
      <c r="BCW3" s="0"/>
      <c r="BCX3" s="0"/>
      <c r="BCY3" s="0"/>
      <c r="BCZ3" s="0"/>
      <c r="BDA3" s="0"/>
      <c r="BDB3" s="0"/>
      <c r="BDC3" s="0"/>
      <c r="BDD3" s="0"/>
      <c r="BDE3" s="0"/>
      <c r="BDF3" s="0"/>
      <c r="BDG3" s="0"/>
      <c r="BDH3" s="0"/>
      <c r="BDI3" s="0"/>
      <c r="BDJ3" s="0"/>
      <c r="BDK3" s="0"/>
      <c r="BDL3" s="0"/>
      <c r="BDM3" s="0"/>
      <c r="BDN3" s="0"/>
      <c r="BDO3" s="0"/>
      <c r="BDP3" s="0"/>
      <c r="BDQ3" s="0"/>
      <c r="BDR3" s="0"/>
      <c r="BDS3" s="0"/>
      <c r="BDT3" s="0"/>
      <c r="BDU3" s="0"/>
      <c r="BDV3" s="0"/>
      <c r="BDW3" s="0"/>
      <c r="BDX3" s="0"/>
      <c r="BDY3" s="0"/>
      <c r="BDZ3" s="0"/>
      <c r="BEA3" s="0"/>
      <c r="BEB3" s="0"/>
      <c r="BEC3" s="0"/>
      <c r="BED3" s="0"/>
      <c r="BEE3" s="0"/>
      <c r="BEF3" s="0"/>
      <c r="BEG3" s="0"/>
      <c r="BEH3" s="0"/>
      <c r="BEI3" s="0"/>
      <c r="BEJ3" s="0"/>
      <c r="BEK3" s="0"/>
      <c r="BEL3" s="0"/>
      <c r="BEM3" s="0"/>
      <c r="BEN3" s="0"/>
      <c r="BEO3" s="0"/>
      <c r="BEP3" s="0"/>
      <c r="BEQ3" s="0"/>
      <c r="BER3" s="0"/>
      <c r="BES3" s="0"/>
      <c r="BET3" s="0"/>
      <c r="BEU3" s="0"/>
      <c r="BEV3" s="0"/>
      <c r="BEW3" s="0"/>
      <c r="BEX3" s="0"/>
      <c r="BEY3" s="0"/>
      <c r="BEZ3" s="0"/>
      <c r="BFA3" s="0"/>
      <c r="BFB3" s="0"/>
      <c r="BFC3" s="0"/>
      <c r="BFD3" s="0"/>
      <c r="BFE3" s="0"/>
      <c r="BFF3" s="0"/>
      <c r="BFG3" s="0"/>
      <c r="BFH3" s="0"/>
      <c r="BFI3" s="0"/>
      <c r="BFJ3" s="0"/>
      <c r="BFK3" s="0"/>
      <c r="BFL3" s="0"/>
      <c r="BFM3" s="0"/>
      <c r="BFN3" s="0"/>
      <c r="BFO3" s="0"/>
      <c r="BFP3" s="0"/>
      <c r="BFQ3" s="0"/>
      <c r="BFR3" s="0"/>
      <c r="BFS3" s="0"/>
      <c r="BFT3" s="0"/>
      <c r="BFU3" s="0"/>
      <c r="BFV3" s="0"/>
      <c r="BFW3" s="0"/>
      <c r="BFX3" s="0"/>
      <c r="BFY3" s="0"/>
      <c r="BFZ3" s="0"/>
      <c r="BGA3" s="0"/>
      <c r="BGB3" s="0"/>
      <c r="BGC3" s="0"/>
      <c r="BGD3" s="0"/>
      <c r="BGE3" s="0"/>
      <c r="BGF3" s="0"/>
      <c r="BGG3" s="0"/>
      <c r="BGH3" s="0"/>
      <c r="BGI3" s="0"/>
      <c r="BGJ3" s="0"/>
      <c r="BGK3" s="0"/>
      <c r="BGL3" s="0"/>
      <c r="BGM3" s="0"/>
      <c r="BGN3" s="0"/>
      <c r="BGO3" s="0"/>
      <c r="BGP3" s="0"/>
      <c r="BGQ3" s="0"/>
      <c r="BGR3" s="0"/>
      <c r="BGS3" s="0"/>
      <c r="BGT3" s="0"/>
      <c r="BGU3" s="0"/>
      <c r="BGV3" s="0"/>
      <c r="BGW3" s="0"/>
      <c r="BGX3" s="0"/>
      <c r="BGY3" s="0"/>
      <c r="BGZ3" s="0"/>
      <c r="BHA3" s="0"/>
      <c r="BHB3" s="0"/>
      <c r="BHC3" s="0"/>
      <c r="BHD3" s="0"/>
      <c r="BHE3" s="0"/>
      <c r="BHF3" s="0"/>
      <c r="BHG3" s="0"/>
      <c r="BHH3" s="0"/>
      <c r="BHI3" s="0"/>
      <c r="BHJ3" s="0"/>
      <c r="BHK3" s="0"/>
      <c r="BHL3" s="0"/>
      <c r="BHM3" s="0"/>
      <c r="BHN3" s="0"/>
      <c r="BHO3" s="0"/>
      <c r="BHP3" s="0"/>
      <c r="BHQ3" s="0"/>
      <c r="BHR3" s="0"/>
      <c r="BHS3" s="0"/>
      <c r="BHT3" s="0"/>
      <c r="BHU3" s="0"/>
      <c r="BHV3" s="0"/>
      <c r="BHW3" s="0"/>
      <c r="BHX3" s="0"/>
      <c r="BHY3" s="0"/>
      <c r="BHZ3" s="0"/>
      <c r="BIA3" s="0"/>
      <c r="BIB3" s="0"/>
      <c r="BIC3" s="0"/>
      <c r="BID3" s="0"/>
      <c r="BIE3" s="0"/>
      <c r="BIF3" s="0"/>
      <c r="BIG3" s="0"/>
      <c r="BIH3" s="0"/>
      <c r="BII3" s="0"/>
      <c r="BIJ3" s="0"/>
      <c r="BIK3" s="0"/>
      <c r="BIL3" s="0"/>
      <c r="BIM3" s="0"/>
      <c r="BIN3" s="0"/>
      <c r="BIO3" s="0"/>
      <c r="BIP3" s="0"/>
      <c r="BIQ3" s="0"/>
      <c r="BIR3" s="0"/>
      <c r="BIS3" s="0"/>
      <c r="BIT3" s="0"/>
      <c r="BIU3" s="0"/>
      <c r="BIV3" s="0"/>
      <c r="BIW3" s="0"/>
      <c r="BIX3" s="0"/>
      <c r="BIY3" s="0"/>
      <c r="BIZ3" s="0"/>
      <c r="BJA3" s="0"/>
      <c r="BJB3" s="0"/>
      <c r="BJC3" s="0"/>
      <c r="BJD3" s="0"/>
      <c r="BJE3" s="0"/>
      <c r="BJF3" s="0"/>
      <c r="BJG3" s="0"/>
      <c r="BJH3" s="0"/>
      <c r="BJI3" s="0"/>
      <c r="BJJ3" s="0"/>
      <c r="BJK3" s="0"/>
      <c r="BJL3" s="0"/>
      <c r="BJM3" s="0"/>
      <c r="BJN3" s="0"/>
      <c r="BJO3" s="0"/>
      <c r="BJP3" s="0"/>
      <c r="BJQ3" s="0"/>
      <c r="BJR3" s="0"/>
      <c r="BJS3" s="0"/>
      <c r="BJT3" s="0"/>
      <c r="BJU3" s="0"/>
      <c r="BJV3" s="0"/>
      <c r="BJW3" s="0"/>
      <c r="BJX3" s="0"/>
      <c r="BJY3" s="0"/>
      <c r="BJZ3" s="0"/>
      <c r="BKA3" s="0"/>
      <c r="BKB3" s="0"/>
      <c r="BKC3" s="0"/>
      <c r="BKD3" s="0"/>
      <c r="BKE3" s="0"/>
      <c r="BKF3" s="0"/>
      <c r="BKG3" s="0"/>
      <c r="BKH3" s="0"/>
      <c r="BKI3" s="0"/>
      <c r="BKJ3" s="0"/>
      <c r="BKK3" s="0"/>
      <c r="BKL3" s="0"/>
      <c r="BKM3" s="0"/>
      <c r="BKN3" s="0"/>
      <c r="BKO3" s="0"/>
      <c r="BKP3" s="0"/>
      <c r="BKQ3" s="0"/>
      <c r="BKR3" s="0"/>
      <c r="BKS3" s="0"/>
      <c r="BKT3" s="0"/>
      <c r="BKU3" s="0"/>
      <c r="BKV3" s="0"/>
      <c r="BKW3" s="0"/>
      <c r="BKX3" s="0"/>
      <c r="BKY3" s="0"/>
      <c r="BKZ3" s="0"/>
      <c r="BLA3" s="0"/>
      <c r="BLB3" s="0"/>
      <c r="BLC3" s="0"/>
      <c r="BLD3" s="0"/>
      <c r="BLE3" s="0"/>
      <c r="BLF3" s="0"/>
      <c r="BLG3" s="0"/>
      <c r="BLH3" s="0"/>
      <c r="BLI3" s="0"/>
      <c r="BLJ3" s="0"/>
      <c r="BLK3" s="0"/>
      <c r="BLL3" s="0"/>
      <c r="BLM3" s="0"/>
      <c r="BLN3" s="0"/>
      <c r="BLO3" s="0"/>
      <c r="BLP3" s="0"/>
      <c r="BLQ3" s="0"/>
      <c r="BLR3" s="0"/>
      <c r="BLS3" s="0"/>
      <c r="BLT3" s="0"/>
      <c r="BLU3" s="0"/>
      <c r="BLV3" s="0"/>
      <c r="BLW3" s="0"/>
      <c r="BLX3" s="0"/>
      <c r="BLY3" s="0"/>
      <c r="BLZ3" s="0"/>
      <c r="BMA3" s="0"/>
      <c r="BMB3" s="0"/>
      <c r="BMC3" s="0"/>
      <c r="BMD3" s="0"/>
      <c r="BME3" s="0"/>
      <c r="BMF3" s="0"/>
      <c r="BMG3" s="0"/>
      <c r="BMH3" s="0"/>
      <c r="BMI3" s="0"/>
      <c r="BMJ3" s="0"/>
      <c r="BMK3" s="0"/>
      <c r="BML3" s="0"/>
      <c r="BMM3" s="0"/>
      <c r="BMN3" s="0"/>
      <c r="BMO3" s="0"/>
      <c r="BMP3" s="0"/>
      <c r="BMQ3" s="0"/>
      <c r="BMR3" s="0"/>
      <c r="BMS3" s="0"/>
      <c r="BMT3" s="0"/>
      <c r="BMU3" s="0"/>
      <c r="BMV3" s="0"/>
      <c r="BMW3" s="0"/>
      <c r="BMX3" s="0"/>
      <c r="BMY3" s="0"/>
      <c r="BMZ3" s="0"/>
      <c r="BNA3" s="0"/>
      <c r="BNB3" s="0"/>
      <c r="BNC3" s="0"/>
      <c r="BND3" s="0"/>
      <c r="BNE3" s="0"/>
      <c r="BNF3" s="0"/>
      <c r="BNG3" s="0"/>
      <c r="BNH3" s="0"/>
      <c r="BNI3" s="0"/>
      <c r="BNJ3" s="0"/>
      <c r="BNK3" s="0"/>
      <c r="BNL3" s="0"/>
      <c r="BNM3" s="0"/>
      <c r="BNN3" s="0"/>
      <c r="BNO3" s="0"/>
      <c r="BNP3" s="0"/>
      <c r="BNQ3" s="0"/>
      <c r="BNR3" s="0"/>
      <c r="BNS3" s="0"/>
      <c r="BNT3" s="0"/>
      <c r="BNU3" s="0"/>
      <c r="BNV3" s="0"/>
      <c r="BNW3" s="0"/>
      <c r="BNX3" s="0"/>
      <c r="BNY3" s="0"/>
      <c r="BNZ3" s="0"/>
      <c r="BOA3" s="0"/>
      <c r="BOB3" s="0"/>
      <c r="BOC3" s="0"/>
      <c r="BOD3" s="0"/>
      <c r="BOE3" s="0"/>
      <c r="BOF3" s="0"/>
      <c r="BOG3" s="0"/>
      <c r="BOH3" s="0"/>
      <c r="BOI3" s="0"/>
      <c r="BOJ3" s="0"/>
      <c r="BOK3" s="0"/>
      <c r="BOL3" s="0"/>
      <c r="BOM3" s="0"/>
      <c r="BON3" s="0"/>
      <c r="BOO3" s="0"/>
      <c r="BOP3" s="0"/>
      <c r="BOQ3" s="0"/>
      <c r="BOR3" s="0"/>
      <c r="BOS3" s="0"/>
      <c r="BOT3" s="0"/>
      <c r="BOU3" s="0"/>
      <c r="BOV3" s="0"/>
      <c r="BOW3" s="0"/>
      <c r="BOX3" s="0"/>
      <c r="BOY3" s="0"/>
      <c r="BOZ3" s="0"/>
      <c r="BPA3" s="0"/>
      <c r="BPB3" s="0"/>
      <c r="BPC3" s="0"/>
      <c r="BPD3" s="0"/>
      <c r="BPE3" s="0"/>
      <c r="BPF3" s="0"/>
      <c r="BPG3" s="0"/>
      <c r="BPH3" s="0"/>
      <c r="BPI3" s="0"/>
      <c r="BPJ3" s="0"/>
      <c r="BPK3" s="0"/>
      <c r="BPL3" s="0"/>
      <c r="BPM3" s="0"/>
      <c r="BPN3" s="0"/>
      <c r="BPO3" s="0"/>
      <c r="BPP3" s="0"/>
      <c r="BPQ3" s="0"/>
      <c r="BPR3" s="0"/>
      <c r="BPS3" s="0"/>
      <c r="BPT3" s="0"/>
      <c r="BPU3" s="0"/>
      <c r="BPV3" s="0"/>
      <c r="BPW3" s="0"/>
      <c r="BPX3" s="0"/>
      <c r="BPY3" s="0"/>
      <c r="BPZ3" s="0"/>
      <c r="BQA3" s="0"/>
      <c r="BQB3" s="0"/>
      <c r="BQC3" s="0"/>
      <c r="BQD3" s="0"/>
      <c r="BQE3" s="0"/>
      <c r="BQF3" s="0"/>
      <c r="BQG3" s="0"/>
      <c r="BQH3" s="0"/>
      <c r="BQI3" s="0"/>
      <c r="BQJ3" s="0"/>
      <c r="BQK3" s="0"/>
      <c r="BQL3" s="0"/>
      <c r="BQM3" s="0"/>
      <c r="BQN3" s="0"/>
      <c r="BQO3" s="0"/>
      <c r="BQP3" s="0"/>
      <c r="BQQ3" s="0"/>
      <c r="BQR3" s="0"/>
      <c r="BQS3" s="0"/>
      <c r="BQT3" s="0"/>
      <c r="BQU3" s="0"/>
      <c r="BQV3" s="0"/>
      <c r="BQW3" s="0"/>
      <c r="BQX3" s="0"/>
      <c r="BQY3" s="0"/>
      <c r="BQZ3" s="0"/>
      <c r="BRA3" s="0"/>
      <c r="BRB3" s="0"/>
      <c r="BRC3" s="0"/>
      <c r="BRD3" s="0"/>
      <c r="BRE3" s="0"/>
      <c r="BRF3" s="0"/>
      <c r="BRG3" s="0"/>
      <c r="BRH3" s="0"/>
      <c r="BRI3" s="0"/>
      <c r="BRJ3" s="0"/>
      <c r="BRK3" s="0"/>
      <c r="BRL3" s="0"/>
      <c r="BRM3" s="0"/>
      <c r="BRN3" s="0"/>
      <c r="BRO3" s="0"/>
      <c r="BRP3" s="0"/>
      <c r="BRQ3" s="0"/>
      <c r="BRR3" s="0"/>
      <c r="BRS3" s="0"/>
      <c r="BRT3" s="0"/>
      <c r="BRU3" s="0"/>
      <c r="BRV3" s="0"/>
      <c r="BRW3" s="0"/>
      <c r="BRX3" s="0"/>
      <c r="BRY3" s="0"/>
      <c r="BRZ3" s="0"/>
      <c r="BSA3" s="0"/>
      <c r="BSB3" s="0"/>
      <c r="BSC3" s="0"/>
      <c r="BSD3" s="0"/>
      <c r="BSE3" s="0"/>
      <c r="BSF3" s="0"/>
      <c r="BSG3" s="0"/>
      <c r="BSH3" s="0"/>
      <c r="BSI3" s="0"/>
      <c r="BSJ3" s="0"/>
      <c r="BSK3" s="0"/>
      <c r="BSL3" s="0"/>
      <c r="BSM3" s="0"/>
      <c r="BSN3" s="0"/>
      <c r="BSO3" s="0"/>
      <c r="BSP3" s="0"/>
      <c r="BSQ3" s="0"/>
      <c r="BSR3" s="0"/>
      <c r="BSS3" s="0"/>
      <c r="BST3" s="0"/>
      <c r="BSU3" s="0"/>
      <c r="BSV3" s="0"/>
      <c r="BSW3" s="0"/>
      <c r="BSX3" s="0"/>
      <c r="BSY3" s="0"/>
      <c r="BSZ3" s="0"/>
      <c r="BTA3" s="0"/>
      <c r="BTB3" s="0"/>
      <c r="BTC3" s="0"/>
      <c r="BTD3" s="0"/>
      <c r="BTE3" s="0"/>
      <c r="BTF3" s="0"/>
      <c r="BTG3" s="0"/>
      <c r="BTH3" s="0"/>
      <c r="BTI3" s="0"/>
      <c r="BTJ3" s="0"/>
      <c r="BTK3" s="0"/>
      <c r="BTL3" s="0"/>
      <c r="BTM3" s="0"/>
      <c r="BTN3" s="0"/>
      <c r="BTO3" s="0"/>
      <c r="BTP3" s="0"/>
      <c r="BTQ3" s="0"/>
      <c r="BTR3" s="0"/>
      <c r="BTS3" s="0"/>
      <c r="BTT3" s="0"/>
      <c r="BTU3" s="0"/>
      <c r="BTV3" s="0"/>
      <c r="BTW3" s="0"/>
      <c r="BTX3" s="0"/>
      <c r="BTY3" s="0"/>
      <c r="BTZ3" s="0"/>
      <c r="BUA3" s="0"/>
      <c r="BUB3" s="0"/>
      <c r="BUC3" s="0"/>
      <c r="BUD3" s="0"/>
      <c r="BUE3" s="0"/>
      <c r="BUF3" s="0"/>
      <c r="BUG3" s="0"/>
      <c r="BUH3" s="0"/>
      <c r="BUI3" s="0"/>
      <c r="BUJ3" s="0"/>
      <c r="BUK3" s="0"/>
      <c r="BUL3" s="0"/>
      <c r="BUM3" s="0"/>
      <c r="BUN3" s="0"/>
      <c r="BUO3" s="0"/>
      <c r="BUP3" s="0"/>
      <c r="BUQ3" s="0"/>
      <c r="BUR3" s="0"/>
      <c r="BUS3" s="0"/>
      <c r="BUT3" s="0"/>
      <c r="BUU3" s="0"/>
      <c r="BUV3" s="0"/>
      <c r="BUW3" s="0"/>
      <c r="BUX3" s="0"/>
      <c r="BUY3" s="0"/>
      <c r="BUZ3" s="0"/>
      <c r="BVA3" s="0"/>
      <c r="BVB3" s="0"/>
      <c r="BVC3" s="0"/>
      <c r="BVD3" s="0"/>
      <c r="BVE3" s="0"/>
      <c r="BVF3" s="0"/>
      <c r="BVG3" s="0"/>
      <c r="BVH3" s="0"/>
      <c r="BVI3" s="0"/>
      <c r="BVJ3" s="0"/>
      <c r="BVK3" s="0"/>
      <c r="BVL3" s="0"/>
      <c r="BVM3" s="0"/>
      <c r="BVN3" s="0"/>
      <c r="BVO3" s="0"/>
      <c r="BVP3" s="0"/>
      <c r="BVQ3" s="0"/>
      <c r="BVR3" s="0"/>
      <c r="BVS3" s="0"/>
      <c r="BVT3" s="0"/>
      <c r="BVU3" s="0"/>
      <c r="BVV3" s="0"/>
      <c r="BVW3" s="0"/>
      <c r="BVX3" s="0"/>
      <c r="BVY3" s="0"/>
      <c r="BVZ3" s="0"/>
      <c r="BWA3" s="0"/>
      <c r="BWB3" s="0"/>
      <c r="BWC3" s="0"/>
      <c r="BWD3" s="0"/>
      <c r="BWE3" s="0"/>
      <c r="BWF3" s="0"/>
      <c r="BWG3" s="0"/>
      <c r="BWH3" s="0"/>
      <c r="BWI3" s="0"/>
      <c r="BWJ3" s="0"/>
      <c r="BWK3" s="0"/>
      <c r="BWL3" s="0"/>
      <c r="BWM3" s="0"/>
      <c r="BWN3" s="0"/>
      <c r="BWO3" s="0"/>
      <c r="BWP3" s="0"/>
      <c r="BWQ3" s="0"/>
      <c r="BWR3" s="0"/>
      <c r="BWS3" s="0"/>
      <c r="BWT3" s="0"/>
      <c r="BWU3" s="0"/>
      <c r="BWV3" s="0"/>
      <c r="BWW3" s="0"/>
      <c r="BWX3" s="0"/>
      <c r="BWY3" s="0"/>
      <c r="BWZ3" s="0"/>
      <c r="BXA3" s="0"/>
      <c r="BXB3" s="0"/>
      <c r="BXC3" s="0"/>
      <c r="BXD3" s="0"/>
      <c r="BXE3" s="0"/>
      <c r="BXF3" s="0"/>
      <c r="BXG3" s="0"/>
      <c r="BXH3" s="0"/>
      <c r="BXI3" s="0"/>
      <c r="BXJ3" s="0"/>
      <c r="BXK3" s="0"/>
      <c r="BXL3" s="0"/>
      <c r="BXM3" s="0"/>
      <c r="BXN3" s="0"/>
      <c r="BXO3" s="0"/>
      <c r="BXP3" s="0"/>
      <c r="BXQ3" s="0"/>
      <c r="BXR3" s="0"/>
      <c r="BXS3" s="0"/>
      <c r="BXT3" s="0"/>
      <c r="BXU3" s="0"/>
      <c r="BXV3" s="0"/>
      <c r="BXW3" s="0"/>
      <c r="BXX3" s="0"/>
      <c r="BXY3" s="0"/>
      <c r="BXZ3" s="0"/>
      <c r="BYA3" s="0"/>
      <c r="BYB3" s="0"/>
      <c r="BYC3" s="0"/>
      <c r="BYD3" s="0"/>
      <c r="BYE3" s="0"/>
      <c r="BYF3" s="0"/>
      <c r="BYG3" s="0"/>
      <c r="BYH3" s="0"/>
      <c r="BYI3" s="0"/>
      <c r="BYJ3" s="0"/>
      <c r="BYK3" s="0"/>
      <c r="BYL3" s="0"/>
      <c r="BYM3" s="0"/>
      <c r="BYN3" s="0"/>
      <c r="BYO3" s="0"/>
      <c r="BYP3" s="0"/>
      <c r="BYQ3" s="0"/>
      <c r="BYR3" s="0"/>
      <c r="BYS3" s="0"/>
      <c r="BYT3" s="0"/>
      <c r="BYU3" s="0"/>
      <c r="BYV3" s="0"/>
      <c r="BYW3" s="0"/>
      <c r="BYX3" s="0"/>
      <c r="BYY3" s="0"/>
      <c r="BYZ3" s="0"/>
      <c r="BZA3" s="0"/>
      <c r="BZB3" s="0"/>
      <c r="BZC3" s="0"/>
      <c r="BZD3" s="0"/>
      <c r="BZE3" s="0"/>
      <c r="BZF3" s="0"/>
      <c r="BZG3" s="0"/>
      <c r="BZH3" s="0"/>
      <c r="BZI3" s="0"/>
      <c r="BZJ3" s="0"/>
      <c r="BZK3" s="0"/>
      <c r="BZL3" s="0"/>
      <c r="BZM3" s="0"/>
      <c r="BZN3" s="0"/>
      <c r="BZO3" s="0"/>
      <c r="BZP3" s="0"/>
      <c r="BZQ3" s="0"/>
      <c r="BZR3" s="0"/>
      <c r="BZS3" s="0"/>
      <c r="BZT3" s="0"/>
      <c r="BZU3" s="0"/>
      <c r="BZV3" s="0"/>
      <c r="BZW3" s="0"/>
      <c r="BZX3" s="0"/>
      <c r="BZY3" s="0"/>
      <c r="BZZ3" s="0"/>
      <c r="CAA3" s="0"/>
      <c r="CAB3" s="0"/>
      <c r="CAC3" s="0"/>
      <c r="CAD3" s="0"/>
      <c r="CAE3" s="0"/>
      <c r="CAF3" s="0"/>
      <c r="CAG3" s="0"/>
      <c r="CAH3" s="0"/>
      <c r="CAI3" s="0"/>
      <c r="CAJ3" s="0"/>
      <c r="CAK3" s="0"/>
      <c r="CAL3" s="0"/>
      <c r="CAM3" s="0"/>
      <c r="CAN3" s="0"/>
      <c r="CAO3" s="0"/>
      <c r="CAP3" s="0"/>
      <c r="CAQ3" s="0"/>
      <c r="CAR3" s="0"/>
      <c r="CAS3" s="0"/>
      <c r="CAT3" s="0"/>
      <c r="CAU3" s="0"/>
      <c r="CAV3" s="0"/>
      <c r="CAW3" s="0"/>
      <c r="CAX3" s="0"/>
      <c r="CAY3" s="0"/>
      <c r="CAZ3" s="0"/>
      <c r="CBA3" s="0"/>
      <c r="CBB3" s="0"/>
      <c r="CBC3" s="0"/>
      <c r="CBD3" s="0"/>
      <c r="CBE3" s="0"/>
      <c r="CBF3" s="0"/>
      <c r="CBG3" s="0"/>
      <c r="CBH3" s="0"/>
      <c r="CBI3" s="0"/>
      <c r="CBJ3" s="0"/>
      <c r="CBK3" s="0"/>
      <c r="CBL3" s="0"/>
      <c r="CBM3" s="0"/>
      <c r="CBN3" s="0"/>
      <c r="CBO3" s="0"/>
      <c r="CBP3" s="0"/>
      <c r="CBQ3" s="0"/>
      <c r="CBR3" s="0"/>
      <c r="CBS3" s="0"/>
      <c r="CBT3" s="0"/>
      <c r="CBU3" s="0"/>
      <c r="CBV3" s="0"/>
      <c r="CBW3" s="0"/>
      <c r="CBX3" s="0"/>
      <c r="CBY3" s="0"/>
      <c r="CBZ3" s="0"/>
      <c r="CCA3" s="0"/>
      <c r="CCB3" s="0"/>
      <c r="CCC3" s="0"/>
      <c r="CCD3" s="0"/>
      <c r="CCE3" s="0"/>
      <c r="CCF3" s="0"/>
      <c r="CCG3" s="0"/>
      <c r="CCH3" s="0"/>
      <c r="CCI3" s="0"/>
      <c r="CCJ3" s="0"/>
      <c r="CCK3" s="0"/>
      <c r="CCL3" s="0"/>
      <c r="CCM3" s="0"/>
      <c r="CCN3" s="0"/>
      <c r="CCO3" s="0"/>
      <c r="CCP3" s="0"/>
      <c r="CCQ3" s="0"/>
      <c r="CCR3" s="0"/>
      <c r="CCS3" s="0"/>
      <c r="CCT3" s="0"/>
      <c r="CCU3" s="0"/>
      <c r="CCV3" s="0"/>
      <c r="CCW3" s="0"/>
      <c r="CCX3" s="0"/>
      <c r="CCY3" s="0"/>
      <c r="CCZ3" s="0"/>
      <c r="CDA3" s="0"/>
      <c r="CDB3" s="0"/>
      <c r="CDC3" s="0"/>
      <c r="CDD3" s="0"/>
      <c r="CDE3" s="0"/>
      <c r="CDF3" s="0"/>
      <c r="CDG3" s="0"/>
      <c r="CDH3" s="0"/>
      <c r="CDI3" s="0"/>
      <c r="CDJ3" s="0"/>
      <c r="CDK3" s="0"/>
      <c r="CDL3" s="0"/>
      <c r="CDM3" s="0"/>
      <c r="CDN3" s="0"/>
      <c r="CDO3" s="0"/>
      <c r="CDP3" s="0"/>
      <c r="CDQ3" s="0"/>
      <c r="CDR3" s="0"/>
      <c r="CDS3" s="0"/>
      <c r="CDT3" s="0"/>
      <c r="CDU3" s="0"/>
      <c r="CDV3" s="0"/>
      <c r="CDW3" s="0"/>
      <c r="CDX3" s="0"/>
      <c r="CDY3" s="0"/>
      <c r="CDZ3" s="0"/>
      <c r="CEA3" s="0"/>
      <c r="CEB3" s="0"/>
      <c r="CEC3" s="0"/>
      <c r="CED3" s="0"/>
      <c r="CEE3" s="0"/>
      <c r="CEF3" s="0"/>
      <c r="CEG3" s="0"/>
      <c r="CEH3" s="0"/>
      <c r="CEI3" s="0"/>
      <c r="CEJ3" s="0"/>
      <c r="CEK3" s="0"/>
      <c r="CEL3" s="0"/>
      <c r="CEM3" s="0"/>
      <c r="CEN3" s="0"/>
      <c r="CEO3" s="0"/>
      <c r="CEP3" s="0"/>
      <c r="CEQ3" s="0"/>
      <c r="CER3" s="0"/>
      <c r="CES3" s="0"/>
      <c r="CET3" s="0"/>
      <c r="CEU3" s="0"/>
      <c r="CEV3" s="0"/>
      <c r="CEW3" s="0"/>
      <c r="CEX3" s="0"/>
      <c r="CEY3" s="0"/>
      <c r="CEZ3" s="0"/>
      <c r="CFA3" s="0"/>
      <c r="CFB3" s="0"/>
      <c r="CFC3" s="0"/>
      <c r="CFD3" s="0"/>
      <c r="CFE3" s="0"/>
      <c r="CFF3" s="0"/>
      <c r="CFG3" s="0"/>
      <c r="CFH3" s="0"/>
      <c r="CFI3" s="0"/>
      <c r="CFJ3" s="0"/>
      <c r="CFK3" s="0"/>
      <c r="CFL3" s="0"/>
      <c r="CFM3" s="0"/>
      <c r="CFN3" s="0"/>
      <c r="CFO3" s="0"/>
      <c r="CFP3" s="0"/>
      <c r="CFQ3" s="0"/>
      <c r="CFR3" s="0"/>
      <c r="CFS3" s="0"/>
      <c r="CFT3" s="0"/>
      <c r="CFU3" s="0"/>
      <c r="CFV3" s="0"/>
      <c r="CFW3" s="0"/>
      <c r="CFX3" s="0"/>
      <c r="CFY3" s="0"/>
      <c r="CFZ3" s="0"/>
      <c r="CGA3" s="0"/>
      <c r="CGB3" s="0"/>
      <c r="CGC3" s="0"/>
      <c r="CGD3" s="0"/>
      <c r="CGE3" s="0"/>
      <c r="CGF3" s="0"/>
      <c r="CGG3" s="0"/>
      <c r="CGH3" s="0"/>
      <c r="CGI3" s="0"/>
      <c r="CGJ3" s="0"/>
      <c r="CGK3" s="0"/>
      <c r="CGL3" s="0"/>
      <c r="CGM3" s="0"/>
      <c r="CGN3" s="0"/>
      <c r="CGO3" s="0"/>
      <c r="CGP3" s="0"/>
      <c r="CGQ3" s="0"/>
      <c r="CGR3" s="0"/>
      <c r="CGS3" s="0"/>
      <c r="CGT3" s="0"/>
      <c r="CGU3" s="0"/>
      <c r="CGV3" s="0"/>
      <c r="CGW3" s="0"/>
      <c r="CGX3" s="0"/>
      <c r="CGY3" s="0"/>
      <c r="CGZ3" s="0"/>
      <c r="CHA3" s="0"/>
      <c r="CHB3" s="0"/>
      <c r="CHC3" s="0"/>
      <c r="CHD3" s="0"/>
      <c r="CHE3" s="0"/>
      <c r="CHF3" s="0"/>
      <c r="CHG3" s="0"/>
      <c r="CHH3" s="0"/>
      <c r="CHI3" s="0"/>
      <c r="CHJ3" s="0"/>
      <c r="CHK3" s="0"/>
      <c r="CHL3" s="0"/>
      <c r="CHM3" s="0"/>
      <c r="CHN3" s="0"/>
      <c r="CHO3" s="0"/>
      <c r="CHP3" s="0"/>
      <c r="CHQ3" s="0"/>
      <c r="CHR3" s="0"/>
      <c r="CHS3" s="0"/>
      <c r="CHT3" s="0"/>
      <c r="CHU3" s="0"/>
      <c r="CHV3" s="0"/>
      <c r="CHW3" s="0"/>
      <c r="CHX3" s="0"/>
      <c r="CHY3" s="0"/>
      <c r="CHZ3" s="0"/>
      <c r="CIA3" s="0"/>
      <c r="CIB3" s="0"/>
      <c r="CIC3" s="0"/>
      <c r="CID3" s="0"/>
      <c r="CIE3" s="0"/>
      <c r="CIF3" s="0"/>
      <c r="CIG3" s="0"/>
      <c r="CIH3" s="0"/>
      <c r="CII3" s="0"/>
      <c r="CIJ3" s="0"/>
      <c r="CIK3" s="0"/>
      <c r="CIL3" s="0"/>
      <c r="CIM3" s="0"/>
      <c r="CIN3" s="0"/>
      <c r="CIO3" s="0"/>
      <c r="CIP3" s="0"/>
      <c r="CIQ3" s="0"/>
      <c r="CIR3" s="0"/>
      <c r="CIS3" s="0"/>
      <c r="CIT3" s="0"/>
      <c r="CIU3" s="0"/>
      <c r="CIV3" s="0"/>
      <c r="CIW3" s="0"/>
      <c r="CIX3" s="0"/>
      <c r="CIY3" s="0"/>
      <c r="CIZ3" s="0"/>
      <c r="CJA3" s="0"/>
      <c r="CJB3" s="0"/>
      <c r="CJC3" s="0"/>
      <c r="CJD3" s="0"/>
      <c r="CJE3" s="0"/>
      <c r="CJF3" s="0"/>
      <c r="CJG3" s="0"/>
      <c r="CJH3" s="0"/>
      <c r="CJI3" s="0"/>
      <c r="CJJ3" s="0"/>
      <c r="CJK3" s="0"/>
      <c r="CJL3" s="0"/>
      <c r="CJM3" s="0"/>
      <c r="CJN3" s="0"/>
      <c r="CJO3" s="0"/>
      <c r="CJP3" s="0"/>
      <c r="CJQ3" s="0"/>
      <c r="CJR3" s="0"/>
      <c r="CJS3" s="0"/>
      <c r="CJT3" s="0"/>
      <c r="CJU3" s="0"/>
      <c r="CJV3" s="0"/>
      <c r="CJW3" s="0"/>
      <c r="CJX3" s="0"/>
      <c r="CJY3" s="0"/>
      <c r="CJZ3" s="0"/>
      <c r="CKA3" s="0"/>
      <c r="CKB3" s="0"/>
      <c r="CKC3" s="0"/>
      <c r="CKD3" s="0"/>
      <c r="CKE3" s="0"/>
      <c r="CKF3" s="0"/>
      <c r="CKG3" s="0"/>
      <c r="CKH3" s="0"/>
      <c r="CKI3" s="0"/>
      <c r="CKJ3" s="0"/>
      <c r="CKK3" s="0"/>
      <c r="CKL3" s="0"/>
      <c r="CKM3" s="0"/>
      <c r="CKN3" s="0"/>
      <c r="CKO3" s="0"/>
      <c r="CKP3" s="0"/>
      <c r="CKQ3" s="0"/>
      <c r="CKR3" s="0"/>
      <c r="CKS3" s="0"/>
      <c r="CKT3" s="0"/>
      <c r="CKU3" s="0"/>
      <c r="CKV3" s="0"/>
      <c r="CKW3" s="0"/>
      <c r="CKX3" s="0"/>
      <c r="CKY3" s="0"/>
      <c r="CKZ3" s="0"/>
      <c r="CLA3" s="0"/>
      <c r="CLB3" s="0"/>
      <c r="CLC3" s="0"/>
      <c r="CLD3" s="0"/>
      <c r="CLE3" s="0"/>
      <c r="CLF3" s="0"/>
      <c r="CLG3" s="0"/>
      <c r="CLH3" s="0"/>
      <c r="CLI3" s="0"/>
      <c r="CLJ3" s="0"/>
      <c r="CLK3" s="0"/>
      <c r="CLL3" s="0"/>
      <c r="CLM3" s="0"/>
      <c r="CLN3" s="0"/>
      <c r="CLO3" s="0"/>
      <c r="CLP3" s="0"/>
      <c r="CLQ3" s="0"/>
      <c r="CLR3" s="0"/>
      <c r="CLS3" s="0"/>
      <c r="CLT3" s="0"/>
      <c r="CLU3" s="0"/>
      <c r="CLV3" s="0"/>
      <c r="CLW3" s="0"/>
      <c r="CLX3" s="0"/>
      <c r="CLY3" s="0"/>
      <c r="CLZ3" s="0"/>
      <c r="CMA3" s="0"/>
      <c r="CMB3" s="0"/>
      <c r="CMC3" s="0"/>
      <c r="CMD3" s="0"/>
      <c r="CME3" s="0"/>
      <c r="CMF3" s="0"/>
      <c r="CMG3" s="0"/>
      <c r="CMH3" s="0"/>
      <c r="CMI3" s="0"/>
      <c r="CMJ3" s="0"/>
      <c r="CMK3" s="0"/>
      <c r="CML3" s="0"/>
      <c r="CMM3" s="0"/>
      <c r="CMN3" s="0"/>
      <c r="CMO3" s="0"/>
      <c r="CMP3" s="0"/>
      <c r="CMQ3" s="0"/>
      <c r="CMR3" s="0"/>
      <c r="CMS3" s="0"/>
      <c r="CMT3" s="0"/>
      <c r="CMU3" s="0"/>
      <c r="CMV3" s="0"/>
      <c r="CMW3" s="0"/>
      <c r="CMX3" s="0"/>
      <c r="CMY3" s="0"/>
      <c r="CMZ3" s="0"/>
      <c r="CNA3" s="0"/>
      <c r="CNB3" s="0"/>
      <c r="CNC3" s="0"/>
      <c r="CND3" s="0"/>
      <c r="CNE3" s="0"/>
      <c r="CNF3" s="0"/>
      <c r="CNG3" s="0"/>
      <c r="CNH3" s="0"/>
      <c r="CNI3" s="0"/>
      <c r="CNJ3" s="0"/>
      <c r="CNK3" s="0"/>
      <c r="CNL3" s="0"/>
      <c r="CNM3" s="0"/>
      <c r="CNN3" s="0"/>
      <c r="CNO3" s="0"/>
      <c r="CNP3" s="0"/>
      <c r="CNQ3" s="0"/>
      <c r="CNR3" s="0"/>
      <c r="CNS3" s="0"/>
      <c r="CNT3" s="0"/>
      <c r="CNU3" s="0"/>
      <c r="CNV3" s="0"/>
      <c r="CNW3" s="0"/>
      <c r="CNX3" s="0"/>
      <c r="CNY3" s="0"/>
      <c r="CNZ3" s="0"/>
      <c r="COA3" s="0"/>
      <c r="COB3" s="0"/>
      <c r="COC3" s="0"/>
      <c r="COD3" s="0"/>
      <c r="COE3" s="0"/>
      <c r="COF3" s="0"/>
      <c r="COG3" s="0"/>
      <c r="COH3" s="0"/>
      <c r="COI3" s="0"/>
      <c r="COJ3" s="0"/>
      <c r="COK3" s="0"/>
      <c r="COL3" s="0"/>
      <c r="COM3" s="0"/>
      <c r="CON3" s="0"/>
      <c r="COO3" s="0"/>
      <c r="COP3" s="0"/>
      <c r="COQ3" s="0"/>
      <c r="COR3" s="0"/>
      <c r="COS3" s="0"/>
      <c r="COT3" s="0"/>
      <c r="COU3" s="0"/>
      <c r="COV3" s="0"/>
      <c r="COW3" s="0"/>
      <c r="COX3" s="0"/>
      <c r="COY3" s="0"/>
      <c r="COZ3" s="0"/>
      <c r="CPA3" s="0"/>
      <c r="CPB3" s="0"/>
      <c r="CPC3" s="0"/>
      <c r="CPD3" s="0"/>
      <c r="CPE3" s="0"/>
      <c r="CPF3" s="0"/>
      <c r="CPG3" s="0"/>
      <c r="CPH3" s="0"/>
      <c r="CPI3" s="0"/>
      <c r="CPJ3" s="0"/>
      <c r="CPK3" s="0"/>
      <c r="CPL3" s="0"/>
      <c r="CPM3" s="0"/>
      <c r="CPN3" s="0"/>
      <c r="CPO3" s="0"/>
      <c r="CPP3" s="0"/>
      <c r="CPQ3" s="0"/>
      <c r="CPR3" s="0"/>
      <c r="CPS3" s="0"/>
      <c r="CPT3" s="0"/>
      <c r="CPU3" s="0"/>
      <c r="CPV3" s="0"/>
      <c r="CPW3" s="0"/>
      <c r="CPX3" s="0"/>
      <c r="CPY3" s="0"/>
      <c r="CPZ3" s="0"/>
      <c r="CQA3" s="0"/>
      <c r="CQB3" s="0"/>
      <c r="CQC3" s="0"/>
      <c r="CQD3" s="0"/>
      <c r="CQE3" s="0"/>
      <c r="CQF3" s="0"/>
      <c r="CQG3" s="0"/>
      <c r="CQH3" s="0"/>
      <c r="CQI3" s="0"/>
      <c r="CQJ3" s="0"/>
      <c r="CQK3" s="0"/>
      <c r="CQL3" s="0"/>
      <c r="CQM3" s="0"/>
      <c r="CQN3" s="0"/>
      <c r="CQO3" s="0"/>
      <c r="CQP3" s="0"/>
      <c r="CQQ3" s="0"/>
      <c r="CQR3" s="0"/>
      <c r="CQS3" s="0"/>
      <c r="CQT3" s="0"/>
      <c r="CQU3" s="0"/>
      <c r="CQV3" s="0"/>
      <c r="CQW3" s="0"/>
      <c r="CQX3" s="0"/>
      <c r="CQY3" s="0"/>
      <c r="CQZ3" s="0"/>
      <c r="CRA3" s="0"/>
      <c r="CRB3" s="0"/>
      <c r="CRC3" s="0"/>
      <c r="CRD3" s="0"/>
      <c r="CRE3" s="0"/>
      <c r="CRF3" s="0"/>
      <c r="CRG3" s="0"/>
      <c r="CRH3" s="0"/>
      <c r="CRI3" s="0"/>
      <c r="CRJ3" s="0"/>
      <c r="CRK3" s="0"/>
      <c r="CRL3" s="0"/>
      <c r="CRM3" s="0"/>
      <c r="CRN3" s="0"/>
      <c r="CRO3" s="0"/>
      <c r="CRP3" s="0"/>
      <c r="CRQ3" s="0"/>
      <c r="CRR3" s="0"/>
      <c r="CRS3" s="0"/>
      <c r="CRT3" s="0"/>
      <c r="CRU3" s="0"/>
      <c r="CRV3" s="0"/>
      <c r="CRW3" s="0"/>
      <c r="CRX3" s="0"/>
      <c r="CRY3" s="0"/>
      <c r="CRZ3" s="0"/>
      <c r="CSA3" s="0"/>
      <c r="CSB3" s="0"/>
      <c r="CSC3" s="0"/>
      <c r="CSD3" s="0"/>
      <c r="CSE3" s="0"/>
      <c r="CSF3" s="0"/>
      <c r="CSG3" s="0"/>
      <c r="CSH3" s="0"/>
      <c r="CSI3" s="0"/>
      <c r="CSJ3" s="0"/>
      <c r="CSK3" s="0"/>
      <c r="CSL3" s="0"/>
      <c r="CSM3" s="0"/>
      <c r="CSN3" s="0"/>
      <c r="CSO3" s="0"/>
      <c r="CSP3" s="0"/>
      <c r="CSQ3" s="0"/>
      <c r="CSR3" s="0"/>
      <c r="CSS3" s="0"/>
      <c r="CST3" s="0"/>
      <c r="CSU3" s="0"/>
      <c r="CSV3" s="0"/>
      <c r="CSW3" s="0"/>
      <c r="CSX3" s="0"/>
      <c r="CSY3" s="0"/>
      <c r="CSZ3" s="0"/>
      <c r="CTA3" s="0"/>
      <c r="CTB3" s="0"/>
      <c r="CTC3" s="0"/>
      <c r="CTD3" s="0"/>
      <c r="CTE3" s="0"/>
      <c r="CTF3" s="0"/>
      <c r="CTG3" s="0"/>
      <c r="CTH3" s="0"/>
      <c r="CTI3" s="0"/>
      <c r="CTJ3" s="0"/>
      <c r="CTK3" s="0"/>
      <c r="CTL3" s="0"/>
      <c r="CTM3" s="0"/>
      <c r="CTN3" s="0"/>
      <c r="CTO3" s="0"/>
      <c r="CTP3" s="0"/>
      <c r="CTQ3" s="0"/>
      <c r="CTR3" s="0"/>
      <c r="CTS3" s="0"/>
      <c r="CTT3" s="0"/>
      <c r="CTU3" s="0"/>
      <c r="CTV3" s="0"/>
      <c r="CTW3" s="0"/>
      <c r="CTX3" s="0"/>
      <c r="CTY3" s="0"/>
      <c r="CTZ3" s="0"/>
      <c r="CUA3" s="0"/>
      <c r="CUB3" s="0"/>
      <c r="CUC3" s="0"/>
      <c r="CUD3" s="0"/>
      <c r="CUE3" s="0"/>
      <c r="CUF3" s="0"/>
      <c r="CUG3" s="0"/>
      <c r="CUH3" s="0"/>
      <c r="CUI3" s="0"/>
      <c r="CUJ3" s="0"/>
      <c r="CUK3" s="0"/>
      <c r="CUL3" s="0"/>
      <c r="CUM3" s="0"/>
      <c r="CUN3" s="0"/>
      <c r="CUO3" s="0"/>
      <c r="CUP3" s="0"/>
      <c r="CUQ3" s="0"/>
      <c r="CUR3" s="0"/>
      <c r="CUS3" s="0"/>
      <c r="CUT3" s="0"/>
      <c r="CUU3" s="0"/>
      <c r="CUV3" s="0"/>
      <c r="CUW3" s="0"/>
      <c r="CUX3" s="0"/>
      <c r="CUY3" s="0"/>
      <c r="CUZ3" s="0"/>
      <c r="CVA3" s="0"/>
      <c r="CVB3" s="0"/>
      <c r="CVC3" s="0"/>
      <c r="CVD3" s="0"/>
      <c r="CVE3" s="0"/>
      <c r="CVF3" s="0"/>
      <c r="CVG3" s="0"/>
      <c r="CVH3" s="0"/>
      <c r="CVI3" s="0"/>
      <c r="CVJ3" s="0"/>
      <c r="CVK3" s="0"/>
      <c r="CVL3" s="0"/>
      <c r="CVM3" s="0"/>
      <c r="CVN3" s="0"/>
      <c r="CVO3" s="0"/>
      <c r="CVP3" s="0"/>
      <c r="CVQ3" s="0"/>
      <c r="CVR3" s="0"/>
      <c r="CVS3" s="0"/>
      <c r="CVT3" s="0"/>
      <c r="CVU3" s="0"/>
      <c r="CVV3" s="0"/>
      <c r="CVW3" s="0"/>
      <c r="CVX3" s="0"/>
      <c r="CVY3" s="0"/>
      <c r="CVZ3" s="0"/>
      <c r="CWA3" s="0"/>
      <c r="CWB3" s="0"/>
      <c r="CWC3" s="0"/>
      <c r="CWD3" s="0"/>
      <c r="CWE3" s="0"/>
      <c r="CWF3" s="0"/>
      <c r="CWG3" s="0"/>
      <c r="CWH3" s="0"/>
      <c r="CWI3" s="0"/>
      <c r="CWJ3" s="0"/>
      <c r="CWK3" s="0"/>
      <c r="CWL3" s="0"/>
      <c r="CWM3" s="0"/>
      <c r="CWN3" s="0"/>
      <c r="CWO3" s="0"/>
      <c r="CWP3" s="0"/>
      <c r="CWQ3" s="0"/>
      <c r="CWR3" s="0"/>
      <c r="CWS3" s="0"/>
      <c r="CWT3" s="0"/>
      <c r="CWU3" s="0"/>
      <c r="CWV3" s="0"/>
      <c r="CWW3" s="0"/>
      <c r="CWX3" s="0"/>
      <c r="CWY3" s="0"/>
      <c r="CWZ3" s="0"/>
      <c r="CXA3" s="0"/>
      <c r="CXB3" s="0"/>
      <c r="CXC3" s="0"/>
      <c r="CXD3" s="0"/>
      <c r="CXE3" s="0"/>
      <c r="CXF3" s="0"/>
      <c r="CXG3" s="0"/>
      <c r="CXH3" s="0"/>
      <c r="CXI3" s="0"/>
      <c r="CXJ3" s="0"/>
      <c r="CXK3" s="0"/>
      <c r="CXL3" s="0"/>
      <c r="CXM3" s="0"/>
      <c r="CXN3" s="0"/>
      <c r="CXO3" s="0"/>
      <c r="CXP3" s="0"/>
      <c r="CXQ3" s="0"/>
      <c r="CXR3" s="0"/>
      <c r="CXS3" s="0"/>
      <c r="CXT3" s="0"/>
      <c r="CXU3" s="0"/>
      <c r="CXV3" s="0"/>
      <c r="CXW3" s="0"/>
      <c r="CXX3" s="0"/>
      <c r="CXY3" s="0"/>
      <c r="CXZ3" s="0"/>
      <c r="CYA3" s="0"/>
      <c r="CYB3" s="0"/>
      <c r="CYC3" s="0"/>
      <c r="CYD3" s="0"/>
      <c r="CYE3" s="0"/>
      <c r="CYF3" s="0"/>
      <c r="CYG3" s="0"/>
      <c r="CYH3" s="0"/>
      <c r="CYI3" s="0"/>
      <c r="CYJ3" s="0"/>
      <c r="CYK3" s="0"/>
      <c r="CYL3" s="0"/>
      <c r="CYM3" s="0"/>
      <c r="CYN3" s="0"/>
      <c r="CYO3" s="0"/>
      <c r="CYP3" s="0"/>
      <c r="CYQ3" s="0"/>
      <c r="CYR3" s="0"/>
      <c r="CYS3" s="0"/>
      <c r="CYT3" s="0"/>
      <c r="CYU3" s="0"/>
      <c r="CYV3" s="0"/>
      <c r="CYW3" s="0"/>
      <c r="CYX3" s="0"/>
      <c r="CYY3" s="0"/>
      <c r="CYZ3" s="0"/>
      <c r="CZA3" s="0"/>
      <c r="CZB3" s="0"/>
      <c r="CZC3" s="0"/>
      <c r="CZD3" s="0"/>
      <c r="CZE3" s="0"/>
      <c r="CZF3" s="0"/>
      <c r="CZG3" s="0"/>
      <c r="CZH3" s="0"/>
      <c r="CZI3" s="0"/>
      <c r="CZJ3" s="0"/>
      <c r="CZK3" s="0"/>
      <c r="CZL3" s="0"/>
      <c r="CZM3" s="0"/>
      <c r="CZN3" s="0"/>
      <c r="CZO3" s="0"/>
      <c r="CZP3" s="0"/>
      <c r="CZQ3" s="0"/>
      <c r="CZR3" s="0"/>
      <c r="CZS3" s="0"/>
      <c r="CZT3" s="0"/>
      <c r="CZU3" s="0"/>
      <c r="CZV3" s="0"/>
      <c r="CZW3" s="0"/>
      <c r="CZX3" s="0"/>
      <c r="CZY3" s="0"/>
      <c r="CZZ3" s="0"/>
      <c r="DAA3" s="0"/>
      <c r="DAB3" s="0"/>
      <c r="DAC3" s="0"/>
      <c r="DAD3" s="0"/>
      <c r="DAE3" s="0"/>
      <c r="DAF3" s="0"/>
      <c r="DAG3" s="0"/>
      <c r="DAH3" s="0"/>
      <c r="DAI3" s="0"/>
      <c r="DAJ3" s="0"/>
      <c r="DAK3" s="0"/>
      <c r="DAL3" s="0"/>
      <c r="DAM3" s="0"/>
      <c r="DAN3" s="0"/>
      <c r="DAO3" s="0"/>
      <c r="DAP3" s="0"/>
      <c r="DAQ3" s="0"/>
      <c r="DAR3" s="0"/>
      <c r="DAS3" s="0"/>
      <c r="DAT3" s="0"/>
      <c r="DAU3" s="0"/>
      <c r="DAV3" s="0"/>
      <c r="DAW3" s="0"/>
      <c r="DAX3" s="0"/>
      <c r="DAY3" s="0"/>
      <c r="DAZ3" s="0"/>
      <c r="DBA3" s="0"/>
      <c r="DBB3" s="0"/>
      <c r="DBC3" s="0"/>
      <c r="DBD3" s="0"/>
      <c r="DBE3" s="0"/>
      <c r="DBF3" s="0"/>
      <c r="DBG3" s="0"/>
      <c r="DBH3" s="0"/>
      <c r="DBI3" s="0"/>
      <c r="DBJ3" s="0"/>
      <c r="DBK3" s="0"/>
      <c r="DBL3" s="0"/>
      <c r="DBM3" s="0"/>
      <c r="DBN3" s="0"/>
      <c r="DBO3" s="0"/>
      <c r="DBP3" s="0"/>
      <c r="DBQ3" s="0"/>
      <c r="DBR3" s="0"/>
      <c r="DBS3" s="0"/>
      <c r="DBT3" s="0"/>
      <c r="DBU3" s="0"/>
      <c r="DBV3" s="0"/>
      <c r="DBW3" s="0"/>
      <c r="DBX3" s="0"/>
      <c r="DBY3" s="0"/>
      <c r="DBZ3" s="0"/>
      <c r="DCA3" s="0"/>
      <c r="DCB3" s="0"/>
      <c r="DCC3" s="0"/>
      <c r="DCD3" s="0"/>
      <c r="DCE3" s="0"/>
      <c r="DCF3" s="0"/>
      <c r="DCG3" s="0"/>
      <c r="DCH3" s="0"/>
      <c r="DCI3" s="0"/>
      <c r="DCJ3" s="0"/>
      <c r="DCK3" s="0"/>
      <c r="DCL3" s="0"/>
      <c r="DCM3" s="0"/>
      <c r="DCN3" s="0"/>
      <c r="DCO3" s="0"/>
      <c r="DCP3" s="0"/>
      <c r="DCQ3" s="0"/>
      <c r="DCR3" s="0"/>
      <c r="DCS3" s="0"/>
      <c r="DCT3" s="0"/>
      <c r="DCU3" s="0"/>
      <c r="DCV3" s="0"/>
      <c r="DCW3" s="0"/>
      <c r="DCX3" s="0"/>
      <c r="DCY3" s="0"/>
      <c r="DCZ3" s="0"/>
      <c r="DDA3" s="0"/>
      <c r="DDB3" s="0"/>
      <c r="DDC3" s="0"/>
      <c r="DDD3" s="0"/>
      <c r="DDE3" s="0"/>
      <c r="DDF3" s="0"/>
      <c r="DDG3" s="0"/>
      <c r="DDH3" s="0"/>
      <c r="DDI3" s="0"/>
      <c r="DDJ3" s="0"/>
      <c r="DDK3" s="0"/>
      <c r="DDL3" s="0"/>
      <c r="DDM3" s="0"/>
      <c r="DDN3" s="0"/>
      <c r="DDO3" s="0"/>
      <c r="DDP3" s="0"/>
      <c r="DDQ3" s="0"/>
      <c r="DDR3" s="0"/>
      <c r="DDS3" s="0"/>
      <c r="DDT3" s="0"/>
      <c r="DDU3" s="0"/>
      <c r="DDV3" s="0"/>
      <c r="DDW3" s="0"/>
      <c r="DDX3" s="0"/>
      <c r="DDY3" s="0"/>
      <c r="DDZ3" s="0"/>
      <c r="DEA3" s="0"/>
      <c r="DEB3" s="0"/>
      <c r="DEC3" s="0"/>
      <c r="DED3" s="0"/>
      <c r="DEE3" s="0"/>
      <c r="DEF3" s="0"/>
      <c r="DEG3" s="0"/>
      <c r="DEH3" s="0"/>
      <c r="DEI3" s="0"/>
      <c r="DEJ3" s="0"/>
      <c r="DEK3" s="0"/>
      <c r="DEL3" s="0"/>
      <c r="DEM3" s="0"/>
      <c r="DEN3" s="0"/>
      <c r="DEO3" s="0"/>
      <c r="DEP3" s="0"/>
      <c r="DEQ3" s="0"/>
      <c r="DER3" s="0"/>
      <c r="DES3" s="0"/>
      <c r="DET3" s="0"/>
      <c r="DEU3" s="0"/>
      <c r="DEV3" s="0"/>
      <c r="DEW3" s="0"/>
      <c r="DEX3" s="0"/>
      <c r="DEY3" s="0"/>
      <c r="DEZ3" s="0"/>
      <c r="DFA3" s="0"/>
      <c r="DFB3" s="0"/>
      <c r="DFC3" s="0"/>
      <c r="DFD3" s="0"/>
      <c r="DFE3" s="0"/>
      <c r="DFF3" s="0"/>
      <c r="DFG3" s="0"/>
      <c r="DFH3" s="0"/>
      <c r="DFI3" s="0"/>
      <c r="DFJ3" s="0"/>
      <c r="DFK3" s="0"/>
      <c r="DFL3" s="0"/>
      <c r="DFM3" s="0"/>
      <c r="DFN3" s="0"/>
      <c r="DFO3" s="0"/>
      <c r="DFP3" s="0"/>
      <c r="DFQ3" s="0"/>
      <c r="DFR3" s="0"/>
      <c r="DFS3" s="0"/>
      <c r="DFT3" s="0"/>
      <c r="DFU3" s="0"/>
      <c r="DFV3" s="0"/>
      <c r="DFW3" s="0"/>
      <c r="DFX3" s="0"/>
      <c r="DFY3" s="0"/>
      <c r="DFZ3" s="0"/>
      <c r="DGA3" s="0"/>
      <c r="DGB3" s="0"/>
      <c r="DGC3" s="0"/>
      <c r="DGD3" s="0"/>
      <c r="DGE3" s="0"/>
      <c r="DGF3" s="0"/>
      <c r="DGG3" s="0"/>
      <c r="DGH3" s="0"/>
      <c r="DGI3" s="0"/>
      <c r="DGJ3" s="0"/>
      <c r="DGK3" s="0"/>
      <c r="DGL3" s="0"/>
      <c r="DGM3" s="0"/>
      <c r="DGN3" s="0"/>
      <c r="DGO3" s="0"/>
      <c r="DGP3" s="0"/>
      <c r="DGQ3" s="0"/>
      <c r="DGR3" s="0"/>
      <c r="DGS3" s="0"/>
      <c r="DGT3" s="0"/>
      <c r="DGU3" s="0"/>
      <c r="DGV3" s="0"/>
      <c r="DGW3" s="0"/>
      <c r="DGX3" s="0"/>
      <c r="DGY3" s="0"/>
      <c r="DGZ3" s="0"/>
      <c r="DHA3" s="0"/>
      <c r="DHB3" s="0"/>
      <c r="DHC3" s="0"/>
      <c r="DHD3" s="0"/>
      <c r="DHE3" s="0"/>
      <c r="DHF3" s="0"/>
      <c r="DHG3" s="0"/>
      <c r="DHH3" s="0"/>
      <c r="DHI3" s="0"/>
      <c r="DHJ3" s="0"/>
      <c r="DHK3" s="0"/>
      <c r="DHL3" s="0"/>
      <c r="DHM3" s="0"/>
      <c r="DHN3" s="0"/>
      <c r="DHO3" s="0"/>
      <c r="DHP3" s="0"/>
      <c r="DHQ3" s="0"/>
      <c r="DHR3" s="0"/>
      <c r="DHS3" s="0"/>
      <c r="DHT3" s="0"/>
      <c r="DHU3" s="0"/>
      <c r="DHV3" s="0"/>
      <c r="DHW3" s="0"/>
      <c r="DHX3" s="0"/>
      <c r="DHY3" s="0"/>
      <c r="DHZ3" s="0"/>
      <c r="DIA3" s="0"/>
      <c r="DIB3" s="0"/>
      <c r="DIC3" s="0"/>
      <c r="DID3" s="0"/>
      <c r="DIE3" s="0"/>
      <c r="DIF3" s="0"/>
      <c r="DIG3" s="0"/>
      <c r="DIH3" s="0"/>
      <c r="DII3" s="0"/>
      <c r="DIJ3" s="0"/>
      <c r="DIK3" s="0"/>
      <c r="DIL3" s="0"/>
      <c r="DIM3" s="0"/>
      <c r="DIN3" s="0"/>
      <c r="DIO3" s="0"/>
      <c r="DIP3" s="0"/>
      <c r="DIQ3" s="0"/>
      <c r="DIR3" s="0"/>
      <c r="DIS3" s="0"/>
      <c r="DIT3" s="0"/>
      <c r="DIU3" s="0"/>
      <c r="DIV3" s="0"/>
      <c r="DIW3" s="0"/>
      <c r="DIX3" s="0"/>
      <c r="DIY3" s="0"/>
      <c r="DIZ3" s="0"/>
      <c r="DJA3" s="0"/>
      <c r="DJB3" s="0"/>
      <c r="DJC3" s="0"/>
      <c r="DJD3" s="0"/>
      <c r="DJE3" s="0"/>
      <c r="DJF3" s="0"/>
      <c r="DJG3" s="0"/>
      <c r="DJH3" s="0"/>
      <c r="DJI3" s="0"/>
      <c r="DJJ3" s="0"/>
      <c r="DJK3" s="0"/>
      <c r="DJL3" s="0"/>
      <c r="DJM3" s="0"/>
      <c r="DJN3" s="0"/>
      <c r="DJO3" s="0"/>
      <c r="DJP3" s="0"/>
      <c r="DJQ3" s="0"/>
      <c r="DJR3" s="0"/>
      <c r="DJS3" s="0"/>
      <c r="DJT3" s="0"/>
      <c r="DJU3" s="0"/>
      <c r="DJV3" s="0"/>
      <c r="DJW3" s="0"/>
      <c r="DJX3" s="0"/>
      <c r="DJY3" s="0"/>
      <c r="DJZ3" s="0"/>
      <c r="DKA3" s="0"/>
      <c r="DKB3" s="0"/>
      <c r="DKC3" s="0"/>
      <c r="DKD3" s="0"/>
      <c r="DKE3" s="0"/>
      <c r="DKF3" s="0"/>
      <c r="DKG3" s="0"/>
      <c r="DKH3" s="0"/>
      <c r="DKI3" s="0"/>
      <c r="DKJ3" s="0"/>
      <c r="DKK3" s="0"/>
      <c r="DKL3" s="0"/>
      <c r="DKM3" s="0"/>
      <c r="DKN3" s="0"/>
      <c r="DKO3" s="0"/>
      <c r="DKP3" s="0"/>
      <c r="DKQ3" s="0"/>
      <c r="DKR3" s="0"/>
      <c r="DKS3" s="0"/>
      <c r="DKT3" s="0"/>
      <c r="DKU3" s="0"/>
      <c r="DKV3" s="0"/>
      <c r="DKW3" s="0"/>
      <c r="DKX3" s="0"/>
      <c r="DKY3" s="0"/>
      <c r="DKZ3" s="0"/>
      <c r="DLA3" s="0"/>
      <c r="DLB3" s="0"/>
      <c r="DLC3" s="0"/>
      <c r="DLD3" s="0"/>
      <c r="DLE3" s="0"/>
      <c r="DLF3" s="0"/>
      <c r="DLG3" s="0"/>
      <c r="DLH3" s="0"/>
      <c r="DLI3" s="0"/>
      <c r="DLJ3" s="0"/>
      <c r="DLK3" s="0"/>
      <c r="DLL3" s="0"/>
      <c r="DLM3" s="0"/>
      <c r="DLN3" s="0"/>
      <c r="DLO3" s="0"/>
      <c r="DLP3" s="0"/>
      <c r="DLQ3" s="0"/>
      <c r="DLR3" s="0"/>
      <c r="DLS3" s="0"/>
      <c r="DLT3" s="0"/>
      <c r="DLU3" s="0"/>
      <c r="DLV3" s="0"/>
      <c r="DLW3" s="0"/>
      <c r="DLX3" s="0"/>
      <c r="DLY3" s="0"/>
      <c r="DLZ3" s="0"/>
      <c r="DMA3" s="0"/>
      <c r="DMB3" s="0"/>
      <c r="DMC3" s="0"/>
      <c r="DMD3" s="0"/>
      <c r="DME3" s="0"/>
      <c r="DMF3" s="0"/>
      <c r="DMG3" s="0"/>
      <c r="DMH3" s="0"/>
      <c r="DMI3" s="0"/>
      <c r="DMJ3" s="0"/>
      <c r="DMK3" s="0"/>
      <c r="DML3" s="0"/>
      <c r="DMM3" s="0"/>
      <c r="DMN3" s="0"/>
      <c r="DMO3" s="0"/>
      <c r="DMP3" s="0"/>
      <c r="DMQ3" s="0"/>
      <c r="DMR3" s="0"/>
      <c r="DMS3" s="0"/>
      <c r="DMT3" s="0"/>
      <c r="DMU3" s="0"/>
      <c r="DMV3" s="0"/>
      <c r="DMW3" s="0"/>
      <c r="DMX3" s="0"/>
      <c r="DMY3" s="0"/>
      <c r="DMZ3" s="0"/>
      <c r="DNA3" s="0"/>
      <c r="DNB3" s="0"/>
      <c r="DNC3" s="0"/>
      <c r="DND3" s="0"/>
      <c r="DNE3" s="0"/>
      <c r="DNF3" s="0"/>
      <c r="DNG3" s="0"/>
      <c r="DNH3" s="0"/>
      <c r="DNI3" s="0"/>
      <c r="DNJ3" s="0"/>
      <c r="DNK3" s="0"/>
      <c r="DNL3" s="0"/>
      <c r="DNM3" s="0"/>
      <c r="DNN3" s="0"/>
      <c r="DNO3" s="0"/>
      <c r="DNP3" s="0"/>
      <c r="DNQ3" s="0"/>
      <c r="DNR3" s="0"/>
      <c r="DNS3" s="0"/>
      <c r="DNT3" s="0"/>
      <c r="DNU3" s="0"/>
      <c r="DNV3" s="0"/>
      <c r="DNW3" s="0"/>
      <c r="DNX3" s="0"/>
      <c r="DNY3" s="0"/>
      <c r="DNZ3" s="0"/>
      <c r="DOA3" s="0"/>
      <c r="DOB3" s="0"/>
      <c r="DOC3" s="0"/>
      <c r="DOD3" s="0"/>
      <c r="DOE3" s="0"/>
      <c r="DOF3" s="0"/>
      <c r="DOG3" s="0"/>
      <c r="DOH3" s="0"/>
      <c r="DOI3" s="0"/>
      <c r="DOJ3" s="0"/>
      <c r="DOK3" s="0"/>
      <c r="DOL3" s="0"/>
      <c r="DOM3" s="0"/>
      <c r="DON3" s="0"/>
      <c r="DOO3" s="0"/>
      <c r="DOP3" s="0"/>
      <c r="DOQ3" s="0"/>
      <c r="DOR3" s="0"/>
      <c r="DOS3" s="0"/>
      <c r="DOT3" s="0"/>
      <c r="DOU3" s="0"/>
      <c r="DOV3" s="0"/>
      <c r="DOW3" s="0"/>
      <c r="DOX3" s="0"/>
      <c r="DOY3" s="0"/>
      <c r="DOZ3" s="0"/>
      <c r="DPA3" s="0"/>
      <c r="DPB3" s="0"/>
      <c r="DPC3" s="0"/>
      <c r="DPD3" s="0"/>
      <c r="DPE3" s="0"/>
      <c r="DPF3" s="0"/>
      <c r="DPG3" s="0"/>
      <c r="DPH3" s="0"/>
      <c r="DPI3" s="0"/>
      <c r="DPJ3" s="0"/>
      <c r="DPK3" s="0"/>
      <c r="DPL3" s="0"/>
      <c r="DPM3" s="0"/>
      <c r="DPN3" s="0"/>
      <c r="DPO3" s="0"/>
      <c r="DPP3" s="0"/>
      <c r="DPQ3" s="0"/>
      <c r="DPR3" s="0"/>
      <c r="DPS3" s="0"/>
      <c r="DPT3" s="0"/>
      <c r="DPU3" s="0"/>
      <c r="DPV3" s="0"/>
      <c r="DPW3" s="0"/>
      <c r="DPX3" s="0"/>
      <c r="DPY3" s="0"/>
      <c r="DPZ3" s="0"/>
      <c r="DQA3" s="0"/>
      <c r="DQB3" s="0"/>
      <c r="DQC3" s="0"/>
      <c r="DQD3" s="0"/>
      <c r="DQE3" s="0"/>
      <c r="DQF3" s="0"/>
      <c r="DQG3" s="0"/>
      <c r="DQH3" s="0"/>
      <c r="DQI3" s="0"/>
      <c r="DQJ3" s="0"/>
      <c r="DQK3" s="0"/>
      <c r="DQL3" s="0"/>
      <c r="DQM3" s="0"/>
      <c r="DQN3" s="0"/>
      <c r="DQO3" s="0"/>
      <c r="DQP3" s="0"/>
      <c r="DQQ3" s="0"/>
      <c r="DQR3" s="0"/>
      <c r="DQS3" s="0"/>
      <c r="DQT3" s="0"/>
      <c r="DQU3" s="0"/>
      <c r="DQV3" s="0"/>
      <c r="DQW3" s="0"/>
      <c r="DQX3" s="0"/>
      <c r="DQY3" s="0"/>
      <c r="DQZ3" s="0"/>
      <c r="DRA3" s="0"/>
      <c r="DRB3" s="0"/>
      <c r="DRC3" s="0"/>
      <c r="DRD3" s="0"/>
      <c r="DRE3" s="0"/>
      <c r="DRF3" s="0"/>
      <c r="DRG3" s="0"/>
      <c r="DRH3" s="0"/>
      <c r="DRI3" s="0"/>
      <c r="DRJ3" s="0"/>
      <c r="DRK3" s="0"/>
      <c r="DRL3" s="0"/>
      <c r="DRM3" s="0"/>
      <c r="DRN3" s="0"/>
      <c r="DRO3" s="0"/>
      <c r="DRP3" s="0"/>
      <c r="DRQ3" s="0"/>
      <c r="DRR3" s="0"/>
      <c r="DRS3" s="0"/>
      <c r="DRT3" s="0"/>
      <c r="DRU3" s="0"/>
      <c r="DRV3" s="0"/>
      <c r="DRW3" s="0"/>
      <c r="DRX3" s="0"/>
      <c r="DRY3" s="0"/>
      <c r="DRZ3" s="0"/>
      <c r="DSA3" s="0"/>
      <c r="DSB3" s="0"/>
      <c r="DSC3" s="0"/>
      <c r="DSD3" s="0"/>
      <c r="DSE3" s="0"/>
      <c r="DSF3" s="0"/>
      <c r="DSG3" s="0"/>
      <c r="DSH3" s="0"/>
      <c r="DSI3" s="0"/>
      <c r="DSJ3" s="0"/>
      <c r="DSK3" s="0"/>
      <c r="DSL3" s="0"/>
      <c r="DSM3" s="0"/>
      <c r="DSN3" s="0"/>
      <c r="DSO3" s="0"/>
      <c r="DSP3" s="0"/>
      <c r="DSQ3" s="0"/>
      <c r="DSR3" s="0"/>
      <c r="DSS3" s="0"/>
      <c r="DST3" s="0"/>
      <c r="DSU3" s="0"/>
      <c r="DSV3" s="0"/>
      <c r="DSW3" s="0"/>
      <c r="DSX3" s="0"/>
      <c r="DSY3" s="0"/>
      <c r="DSZ3" s="0"/>
      <c r="DTA3" s="0"/>
      <c r="DTB3" s="0"/>
      <c r="DTC3" s="0"/>
      <c r="DTD3" s="0"/>
      <c r="DTE3" s="0"/>
      <c r="DTF3" s="0"/>
      <c r="DTG3" s="0"/>
      <c r="DTH3" s="0"/>
      <c r="DTI3" s="0"/>
      <c r="DTJ3" s="0"/>
      <c r="DTK3" s="0"/>
      <c r="DTL3" s="0"/>
      <c r="DTM3" s="0"/>
      <c r="DTN3" s="0"/>
      <c r="DTO3" s="0"/>
      <c r="DTP3" s="0"/>
      <c r="DTQ3" s="0"/>
      <c r="DTR3" s="0"/>
      <c r="DTS3" s="0"/>
      <c r="DTT3" s="0"/>
      <c r="DTU3" s="0"/>
      <c r="DTV3" s="0"/>
      <c r="DTW3" s="0"/>
      <c r="DTX3" s="0"/>
      <c r="DTY3" s="0"/>
      <c r="DTZ3" s="0"/>
      <c r="DUA3" s="0"/>
      <c r="DUB3" s="0"/>
      <c r="DUC3" s="0"/>
      <c r="DUD3" s="0"/>
      <c r="DUE3" s="0"/>
      <c r="DUF3" s="0"/>
      <c r="DUG3" s="0"/>
      <c r="DUH3" s="0"/>
      <c r="DUI3" s="0"/>
      <c r="DUJ3" s="0"/>
      <c r="DUK3" s="0"/>
      <c r="DUL3" s="0"/>
      <c r="DUM3" s="0"/>
      <c r="DUN3" s="0"/>
      <c r="DUO3" s="0"/>
      <c r="DUP3" s="0"/>
      <c r="DUQ3" s="0"/>
      <c r="DUR3" s="0"/>
      <c r="DUS3" s="0"/>
      <c r="DUT3" s="0"/>
      <c r="DUU3" s="0"/>
      <c r="DUV3" s="0"/>
      <c r="DUW3" s="0"/>
      <c r="DUX3" s="0"/>
      <c r="DUY3" s="0"/>
      <c r="DUZ3" s="0"/>
      <c r="DVA3" s="0"/>
      <c r="DVB3" s="0"/>
      <c r="DVC3" s="0"/>
      <c r="DVD3" s="0"/>
      <c r="DVE3" s="0"/>
      <c r="DVF3" s="0"/>
      <c r="DVG3" s="0"/>
      <c r="DVH3" s="0"/>
      <c r="DVI3" s="0"/>
      <c r="DVJ3" s="0"/>
      <c r="DVK3" s="0"/>
      <c r="DVL3" s="0"/>
      <c r="DVM3" s="0"/>
      <c r="DVN3" s="0"/>
      <c r="DVO3" s="0"/>
      <c r="DVP3" s="0"/>
      <c r="DVQ3" s="0"/>
      <c r="DVR3" s="0"/>
      <c r="DVS3" s="0"/>
      <c r="DVT3" s="0"/>
      <c r="DVU3" s="0"/>
      <c r="DVV3" s="0"/>
      <c r="DVW3" s="0"/>
      <c r="DVX3" s="0"/>
      <c r="DVY3" s="0"/>
      <c r="DVZ3" s="0"/>
      <c r="DWA3" s="0"/>
      <c r="DWB3" s="0"/>
      <c r="DWC3" s="0"/>
      <c r="DWD3" s="0"/>
      <c r="DWE3" s="0"/>
      <c r="DWF3" s="0"/>
      <c r="DWG3" s="0"/>
      <c r="DWH3" s="0"/>
      <c r="DWI3" s="0"/>
      <c r="DWJ3" s="0"/>
      <c r="DWK3" s="0"/>
      <c r="DWL3" s="0"/>
      <c r="DWM3" s="0"/>
      <c r="DWN3" s="0"/>
      <c r="DWO3" s="0"/>
      <c r="DWP3" s="0"/>
      <c r="DWQ3" s="0"/>
      <c r="DWR3" s="0"/>
      <c r="DWS3" s="0"/>
      <c r="DWT3" s="0"/>
      <c r="DWU3" s="0"/>
      <c r="DWV3" s="0"/>
      <c r="DWW3" s="0"/>
      <c r="DWX3" s="0"/>
      <c r="DWY3" s="0"/>
      <c r="DWZ3" s="0"/>
      <c r="DXA3" s="0"/>
      <c r="DXB3" s="0"/>
      <c r="DXC3" s="0"/>
      <c r="DXD3" s="0"/>
      <c r="DXE3" s="0"/>
      <c r="DXF3" s="0"/>
      <c r="DXG3" s="0"/>
      <c r="DXH3" s="0"/>
      <c r="DXI3" s="0"/>
      <c r="DXJ3" s="0"/>
      <c r="DXK3" s="0"/>
      <c r="DXL3" s="0"/>
      <c r="DXM3" s="0"/>
      <c r="DXN3" s="0"/>
      <c r="DXO3" s="0"/>
      <c r="DXP3" s="0"/>
      <c r="DXQ3" s="0"/>
      <c r="DXR3" s="0"/>
      <c r="DXS3" s="0"/>
      <c r="DXT3" s="0"/>
      <c r="DXU3" s="0"/>
      <c r="DXV3" s="0"/>
      <c r="DXW3" s="0"/>
      <c r="DXX3" s="0"/>
      <c r="DXY3" s="0"/>
      <c r="DXZ3" s="0"/>
      <c r="DYA3" s="0"/>
      <c r="DYB3" s="0"/>
      <c r="DYC3" s="0"/>
      <c r="DYD3" s="0"/>
      <c r="DYE3" s="0"/>
      <c r="DYF3" s="0"/>
      <c r="DYG3" s="0"/>
      <c r="DYH3" s="0"/>
      <c r="DYI3" s="0"/>
      <c r="DYJ3" s="0"/>
      <c r="DYK3" s="0"/>
      <c r="DYL3" s="0"/>
      <c r="DYM3" s="0"/>
      <c r="DYN3" s="0"/>
      <c r="DYO3" s="0"/>
      <c r="DYP3" s="0"/>
      <c r="DYQ3" s="0"/>
      <c r="DYR3" s="0"/>
      <c r="DYS3" s="0"/>
      <c r="DYT3" s="0"/>
      <c r="DYU3" s="0"/>
      <c r="DYV3" s="0"/>
      <c r="DYW3" s="0"/>
      <c r="DYX3" s="0"/>
      <c r="DYY3" s="0"/>
      <c r="DYZ3" s="0"/>
      <c r="DZA3" s="0"/>
      <c r="DZB3" s="0"/>
      <c r="DZC3" s="0"/>
      <c r="DZD3" s="0"/>
      <c r="DZE3" s="0"/>
      <c r="DZF3" s="0"/>
      <c r="DZG3" s="0"/>
      <c r="DZH3" s="0"/>
      <c r="DZI3" s="0"/>
      <c r="DZJ3" s="0"/>
      <c r="DZK3" s="0"/>
      <c r="DZL3" s="0"/>
      <c r="DZM3" s="0"/>
      <c r="DZN3" s="0"/>
      <c r="DZO3" s="0"/>
      <c r="DZP3" s="0"/>
      <c r="DZQ3" s="0"/>
      <c r="DZR3" s="0"/>
      <c r="DZS3" s="0"/>
      <c r="DZT3" s="0"/>
      <c r="DZU3" s="0"/>
      <c r="DZV3" s="0"/>
      <c r="DZW3" s="0"/>
      <c r="DZX3" s="0"/>
      <c r="DZY3" s="0"/>
      <c r="DZZ3" s="0"/>
      <c r="EAA3" s="0"/>
      <c r="EAB3" s="0"/>
      <c r="EAC3" s="0"/>
      <c r="EAD3" s="0"/>
      <c r="EAE3" s="0"/>
      <c r="EAF3" s="0"/>
      <c r="EAG3" s="0"/>
      <c r="EAH3" s="0"/>
      <c r="EAI3" s="0"/>
      <c r="EAJ3" s="0"/>
      <c r="EAK3" s="0"/>
      <c r="EAL3" s="0"/>
      <c r="EAM3" s="0"/>
      <c r="EAN3" s="0"/>
      <c r="EAO3" s="0"/>
      <c r="EAP3" s="0"/>
      <c r="EAQ3" s="0"/>
      <c r="EAR3" s="0"/>
      <c r="EAS3" s="0"/>
      <c r="EAT3" s="0"/>
      <c r="EAU3" s="0"/>
      <c r="EAV3" s="0"/>
      <c r="EAW3" s="0"/>
      <c r="EAX3" s="0"/>
      <c r="EAY3" s="0"/>
      <c r="EAZ3" s="0"/>
      <c r="EBA3" s="0"/>
      <c r="EBB3" s="0"/>
      <c r="EBC3" s="0"/>
      <c r="EBD3" s="0"/>
      <c r="EBE3" s="0"/>
      <c r="EBF3" s="0"/>
      <c r="EBG3" s="0"/>
      <c r="EBH3" s="0"/>
      <c r="EBI3" s="0"/>
      <c r="EBJ3" s="0"/>
      <c r="EBK3" s="0"/>
      <c r="EBL3" s="0"/>
      <c r="EBM3" s="0"/>
      <c r="EBN3" s="0"/>
      <c r="EBO3" s="0"/>
      <c r="EBP3" s="0"/>
      <c r="EBQ3" s="0"/>
      <c r="EBR3" s="0"/>
      <c r="EBS3" s="0"/>
      <c r="EBT3" s="0"/>
      <c r="EBU3" s="0"/>
      <c r="EBV3" s="0"/>
      <c r="EBW3" s="0"/>
      <c r="EBX3" s="0"/>
      <c r="EBY3" s="0"/>
      <c r="EBZ3" s="0"/>
      <c r="ECA3" s="0"/>
      <c r="ECB3" s="0"/>
      <c r="ECC3" s="0"/>
      <c r="ECD3" s="0"/>
      <c r="ECE3" s="0"/>
      <c r="ECF3" s="0"/>
      <c r="ECG3" s="0"/>
      <c r="ECH3" s="0"/>
      <c r="ECI3" s="0"/>
      <c r="ECJ3" s="0"/>
      <c r="ECK3" s="0"/>
      <c r="ECL3" s="0"/>
      <c r="ECM3" s="0"/>
      <c r="ECN3" s="0"/>
      <c r="ECO3" s="0"/>
      <c r="ECP3" s="0"/>
      <c r="ECQ3" s="0"/>
      <c r="ECR3" s="0"/>
      <c r="ECS3" s="0"/>
      <c r="ECT3" s="0"/>
      <c r="ECU3" s="0"/>
      <c r="ECV3" s="0"/>
      <c r="ECW3" s="0"/>
      <c r="ECX3" s="0"/>
      <c r="ECY3" s="0"/>
      <c r="ECZ3" s="0"/>
      <c r="EDA3" s="0"/>
      <c r="EDB3" s="0"/>
      <c r="EDC3" s="0"/>
      <c r="EDD3" s="0"/>
      <c r="EDE3" s="0"/>
      <c r="EDF3" s="0"/>
      <c r="EDG3" s="0"/>
      <c r="EDH3" s="0"/>
      <c r="EDI3" s="0"/>
      <c r="EDJ3" s="0"/>
      <c r="EDK3" s="0"/>
      <c r="EDL3" s="0"/>
      <c r="EDM3" s="0"/>
      <c r="EDN3" s="0"/>
      <c r="EDO3" s="0"/>
      <c r="EDP3" s="0"/>
      <c r="EDQ3" s="0"/>
      <c r="EDR3" s="0"/>
      <c r="EDS3" s="0"/>
      <c r="EDT3" s="0"/>
      <c r="EDU3" s="0"/>
      <c r="EDV3" s="0"/>
      <c r="EDW3" s="0"/>
      <c r="EDX3" s="0"/>
      <c r="EDY3" s="0"/>
      <c r="EDZ3" s="0"/>
      <c r="EEA3" s="0"/>
      <c r="EEB3" s="0"/>
      <c r="EEC3" s="0"/>
      <c r="EED3" s="0"/>
      <c r="EEE3" s="0"/>
      <c r="EEF3" s="0"/>
      <c r="EEG3" s="0"/>
      <c r="EEH3" s="0"/>
      <c r="EEI3" s="0"/>
      <c r="EEJ3" s="0"/>
      <c r="EEK3" s="0"/>
      <c r="EEL3" s="0"/>
      <c r="EEM3" s="0"/>
      <c r="EEN3" s="0"/>
      <c r="EEO3" s="0"/>
      <c r="EEP3" s="0"/>
      <c r="EEQ3" s="0"/>
      <c r="EER3" s="0"/>
      <c r="EES3" s="0"/>
      <c r="EET3" s="0"/>
      <c r="EEU3" s="0"/>
      <c r="EEV3" s="0"/>
      <c r="EEW3" s="0"/>
      <c r="EEX3" s="0"/>
      <c r="EEY3" s="0"/>
      <c r="EEZ3" s="0"/>
      <c r="EFA3" s="0"/>
      <c r="EFB3" s="0"/>
      <c r="EFC3" s="0"/>
      <c r="EFD3" s="0"/>
      <c r="EFE3" s="0"/>
      <c r="EFF3" s="0"/>
      <c r="EFG3" s="0"/>
      <c r="EFH3" s="0"/>
      <c r="EFI3" s="0"/>
      <c r="EFJ3" s="0"/>
      <c r="EFK3" s="0"/>
      <c r="EFL3" s="0"/>
      <c r="EFM3" s="0"/>
      <c r="EFN3" s="0"/>
      <c r="EFO3" s="0"/>
      <c r="EFP3" s="0"/>
      <c r="EFQ3" s="0"/>
      <c r="EFR3" s="0"/>
      <c r="EFS3" s="0"/>
      <c r="EFT3" s="0"/>
      <c r="EFU3" s="0"/>
      <c r="EFV3" s="0"/>
      <c r="EFW3" s="0"/>
      <c r="EFX3" s="0"/>
      <c r="EFY3" s="0"/>
      <c r="EFZ3" s="0"/>
      <c r="EGA3" s="0"/>
      <c r="EGB3" s="0"/>
      <c r="EGC3" s="0"/>
      <c r="EGD3" s="0"/>
      <c r="EGE3" s="0"/>
      <c r="EGF3" s="0"/>
      <c r="EGG3" s="0"/>
      <c r="EGH3" s="0"/>
      <c r="EGI3" s="0"/>
      <c r="EGJ3" s="0"/>
      <c r="EGK3" s="0"/>
      <c r="EGL3" s="0"/>
      <c r="EGM3" s="0"/>
      <c r="EGN3" s="0"/>
      <c r="EGO3" s="0"/>
      <c r="EGP3" s="0"/>
      <c r="EGQ3" s="0"/>
      <c r="EGR3" s="0"/>
      <c r="EGS3" s="0"/>
      <c r="EGT3" s="0"/>
      <c r="EGU3" s="0"/>
      <c r="EGV3" s="0"/>
      <c r="EGW3" s="0"/>
      <c r="EGX3" s="0"/>
      <c r="EGY3" s="0"/>
      <c r="EGZ3" s="0"/>
      <c r="EHA3" s="0"/>
      <c r="EHB3" s="0"/>
      <c r="EHC3" s="0"/>
      <c r="EHD3" s="0"/>
      <c r="EHE3" s="0"/>
      <c r="EHF3" s="0"/>
      <c r="EHG3" s="0"/>
      <c r="EHH3" s="0"/>
      <c r="EHI3" s="0"/>
      <c r="EHJ3" s="0"/>
      <c r="EHK3" s="0"/>
      <c r="EHL3" s="0"/>
      <c r="EHM3" s="0"/>
      <c r="EHN3" s="0"/>
      <c r="EHO3" s="0"/>
      <c r="EHP3" s="0"/>
      <c r="EHQ3" s="0"/>
      <c r="EHR3" s="0"/>
      <c r="EHS3" s="0"/>
      <c r="EHT3" s="0"/>
      <c r="EHU3" s="0"/>
      <c r="EHV3" s="0"/>
      <c r="EHW3" s="0"/>
      <c r="EHX3" s="0"/>
      <c r="EHY3" s="0"/>
      <c r="EHZ3" s="0"/>
      <c r="EIA3" s="0"/>
      <c r="EIB3" s="0"/>
      <c r="EIC3" s="0"/>
      <c r="EID3" s="0"/>
      <c r="EIE3" s="0"/>
      <c r="EIF3" s="0"/>
      <c r="EIG3" s="0"/>
      <c r="EIH3" s="0"/>
      <c r="EII3" s="0"/>
      <c r="EIJ3" s="0"/>
      <c r="EIK3" s="0"/>
      <c r="EIL3" s="0"/>
      <c r="EIM3" s="0"/>
      <c r="EIN3" s="0"/>
      <c r="EIO3" s="0"/>
      <c r="EIP3" s="0"/>
      <c r="EIQ3" s="0"/>
      <c r="EIR3" s="0"/>
      <c r="EIS3" s="0"/>
      <c r="EIT3" s="0"/>
      <c r="EIU3" s="0"/>
      <c r="EIV3" s="0"/>
      <c r="EIW3" s="0"/>
      <c r="EIX3" s="0"/>
      <c r="EIY3" s="0"/>
      <c r="EIZ3" s="0"/>
      <c r="EJA3" s="0"/>
      <c r="EJB3" s="0"/>
      <c r="EJC3" s="0"/>
      <c r="EJD3" s="0"/>
      <c r="EJE3" s="0"/>
      <c r="EJF3" s="0"/>
      <c r="EJG3" s="0"/>
      <c r="EJH3" s="0"/>
      <c r="EJI3" s="0"/>
      <c r="EJJ3" s="0"/>
      <c r="EJK3" s="0"/>
      <c r="EJL3" s="0"/>
      <c r="EJM3" s="0"/>
      <c r="EJN3" s="0"/>
      <c r="EJO3" s="0"/>
      <c r="EJP3" s="0"/>
      <c r="EJQ3" s="0"/>
      <c r="EJR3" s="0"/>
      <c r="EJS3" s="0"/>
      <c r="EJT3" s="0"/>
      <c r="EJU3" s="0"/>
      <c r="EJV3" s="0"/>
      <c r="EJW3" s="0"/>
      <c r="EJX3" s="0"/>
      <c r="EJY3" s="0"/>
      <c r="EJZ3" s="0"/>
      <c r="EKA3" s="0"/>
      <c r="EKB3" s="0"/>
      <c r="EKC3" s="0"/>
      <c r="EKD3" s="0"/>
      <c r="EKE3" s="0"/>
      <c r="EKF3" s="0"/>
      <c r="EKG3" s="0"/>
      <c r="EKH3" s="0"/>
      <c r="EKI3" s="0"/>
      <c r="EKJ3" s="0"/>
      <c r="EKK3" s="0"/>
      <c r="EKL3" s="0"/>
      <c r="EKM3" s="0"/>
      <c r="EKN3" s="0"/>
      <c r="EKO3" s="0"/>
      <c r="EKP3" s="0"/>
      <c r="EKQ3" s="0"/>
      <c r="EKR3" s="0"/>
      <c r="EKS3" s="0"/>
      <c r="EKT3" s="0"/>
      <c r="EKU3" s="0"/>
      <c r="EKV3" s="0"/>
      <c r="EKW3" s="0"/>
      <c r="EKX3" s="0"/>
      <c r="EKY3" s="0"/>
      <c r="EKZ3" s="0"/>
      <c r="ELA3" s="0"/>
      <c r="ELB3" s="0"/>
      <c r="ELC3" s="0"/>
      <c r="ELD3" s="0"/>
      <c r="ELE3" s="0"/>
      <c r="ELF3" s="0"/>
      <c r="ELG3" s="0"/>
      <c r="ELH3" s="0"/>
      <c r="ELI3" s="0"/>
      <c r="ELJ3" s="0"/>
      <c r="ELK3" s="0"/>
      <c r="ELL3" s="0"/>
      <c r="ELM3" s="0"/>
      <c r="ELN3" s="0"/>
      <c r="ELO3" s="0"/>
      <c r="ELP3" s="0"/>
      <c r="ELQ3" s="0"/>
      <c r="ELR3" s="0"/>
      <c r="ELS3" s="0"/>
      <c r="ELT3" s="0"/>
      <c r="ELU3" s="0"/>
      <c r="ELV3" s="0"/>
      <c r="ELW3" s="0"/>
      <c r="ELX3" s="0"/>
      <c r="ELY3" s="0"/>
      <c r="ELZ3" s="0"/>
      <c r="EMA3" s="0"/>
      <c r="EMB3" s="0"/>
      <c r="EMC3" s="0"/>
      <c r="EMD3" s="0"/>
      <c r="EME3" s="0"/>
      <c r="EMF3" s="0"/>
      <c r="EMG3" s="0"/>
      <c r="EMH3" s="0"/>
      <c r="EMI3" s="0"/>
      <c r="EMJ3" s="0"/>
      <c r="EMK3" s="0"/>
      <c r="EML3" s="0"/>
      <c r="EMM3" s="0"/>
      <c r="EMN3" s="0"/>
      <c r="EMO3" s="0"/>
      <c r="EMP3" s="0"/>
      <c r="EMQ3" s="0"/>
      <c r="EMR3" s="0"/>
      <c r="EMS3" s="0"/>
      <c r="EMT3" s="0"/>
      <c r="EMU3" s="0"/>
      <c r="EMV3" s="0"/>
      <c r="EMW3" s="0"/>
      <c r="EMX3" s="0"/>
      <c r="EMY3" s="0"/>
      <c r="EMZ3" s="0"/>
      <c r="ENA3" s="0"/>
      <c r="ENB3" s="0"/>
      <c r="ENC3" s="0"/>
      <c r="END3" s="0"/>
      <c r="ENE3" s="0"/>
      <c r="ENF3" s="0"/>
      <c r="ENG3" s="0"/>
      <c r="ENH3" s="0"/>
      <c r="ENI3" s="0"/>
      <c r="ENJ3" s="0"/>
      <c r="ENK3" s="0"/>
      <c r="ENL3" s="0"/>
      <c r="ENM3" s="0"/>
      <c r="ENN3" s="0"/>
      <c r="ENO3" s="0"/>
      <c r="ENP3" s="0"/>
      <c r="ENQ3" s="0"/>
      <c r="ENR3" s="0"/>
      <c r="ENS3" s="0"/>
      <c r="ENT3" s="0"/>
      <c r="ENU3" s="0"/>
      <c r="ENV3" s="0"/>
      <c r="ENW3" s="0"/>
      <c r="ENX3" s="0"/>
      <c r="ENY3" s="0"/>
      <c r="ENZ3" s="0"/>
      <c r="EOA3" s="0"/>
      <c r="EOB3" s="0"/>
      <c r="EOC3" s="0"/>
      <c r="EOD3" s="0"/>
      <c r="EOE3" s="0"/>
      <c r="EOF3" s="0"/>
      <c r="EOG3" s="0"/>
      <c r="EOH3" s="0"/>
      <c r="EOI3" s="0"/>
      <c r="EOJ3" s="0"/>
      <c r="EOK3" s="0"/>
      <c r="EOL3" s="0"/>
      <c r="EOM3" s="0"/>
      <c r="EON3" s="0"/>
      <c r="EOO3" s="0"/>
      <c r="EOP3" s="0"/>
      <c r="EOQ3" s="0"/>
      <c r="EOR3" s="0"/>
      <c r="EOS3" s="0"/>
      <c r="EOT3" s="0"/>
      <c r="EOU3" s="0"/>
      <c r="EOV3" s="0"/>
      <c r="EOW3" s="0"/>
      <c r="EOX3" s="0"/>
      <c r="EOY3" s="0"/>
      <c r="EOZ3" s="0"/>
      <c r="EPA3" s="0"/>
      <c r="EPB3" s="0"/>
      <c r="EPC3" s="0"/>
      <c r="EPD3" s="0"/>
      <c r="EPE3" s="0"/>
      <c r="EPF3" s="0"/>
      <c r="EPG3" s="0"/>
      <c r="EPH3" s="0"/>
      <c r="EPI3" s="0"/>
      <c r="EPJ3" s="0"/>
      <c r="EPK3" s="0"/>
      <c r="EPL3" s="0"/>
      <c r="EPM3" s="0"/>
      <c r="EPN3" s="0"/>
      <c r="EPO3" s="0"/>
      <c r="EPP3" s="0"/>
      <c r="EPQ3" s="0"/>
      <c r="EPR3" s="0"/>
      <c r="EPS3" s="0"/>
      <c r="EPT3" s="0"/>
      <c r="EPU3" s="0"/>
      <c r="EPV3" s="0"/>
      <c r="EPW3" s="0"/>
      <c r="EPX3" s="0"/>
      <c r="EPY3" s="0"/>
      <c r="EPZ3" s="0"/>
      <c r="EQA3" s="0"/>
      <c r="EQB3" s="0"/>
      <c r="EQC3" s="0"/>
      <c r="EQD3" s="0"/>
      <c r="EQE3" s="0"/>
      <c r="EQF3" s="0"/>
      <c r="EQG3" s="0"/>
      <c r="EQH3" s="0"/>
      <c r="EQI3" s="0"/>
      <c r="EQJ3" s="0"/>
      <c r="EQK3" s="0"/>
      <c r="EQL3" s="0"/>
      <c r="EQM3" s="0"/>
      <c r="EQN3" s="0"/>
      <c r="EQO3" s="0"/>
      <c r="EQP3" s="0"/>
      <c r="EQQ3" s="0"/>
      <c r="EQR3" s="0"/>
      <c r="EQS3" s="0"/>
      <c r="EQT3" s="0"/>
      <c r="EQU3" s="0"/>
      <c r="EQV3" s="0"/>
      <c r="EQW3" s="0"/>
      <c r="EQX3" s="0"/>
      <c r="EQY3" s="0"/>
      <c r="EQZ3" s="0"/>
      <c r="ERA3" s="0"/>
      <c r="ERB3" s="0"/>
      <c r="ERC3" s="0"/>
      <c r="ERD3" s="0"/>
      <c r="ERE3" s="0"/>
      <c r="ERF3" s="0"/>
      <c r="ERG3" s="0"/>
      <c r="ERH3" s="0"/>
      <c r="ERI3" s="0"/>
      <c r="ERJ3" s="0"/>
      <c r="ERK3" s="0"/>
      <c r="ERL3" s="0"/>
      <c r="ERM3" s="0"/>
      <c r="ERN3" s="0"/>
      <c r="ERO3" s="0"/>
      <c r="ERP3" s="0"/>
      <c r="ERQ3" s="0"/>
      <c r="ERR3" s="0"/>
      <c r="ERS3" s="0"/>
      <c r="ERT3" s="0"/>
      <c r="ERU3" s="0"/>
      <c r="ERV3" s="0"/>
      <c r="ERW3" s="0"/>
      <c r="ERX3" s="0"/>
      <c r="ERY3" s="0"/>
      <c r="ERZ3" s="0"/>
      <c r="ESA3" s="0"/>
      <c r="ESB3" s="0"/>
      <c r="ESC3" s="0"/>
      <c r="ESD3" s="0"/>
      <c r="ESE3" s="0"/>
      <c r="ESF3" s="0"/>
      <c r="ESG3" s="0"/>
      <c r="ESH3" s="0"/>
      <c r="ESI3" s="0"/>
      <c r="ESJ3" s="0"/>
      <c r="ESK3" s="0"/>
      <c r="ESL3" s="0"/>
      <c r="ESM3" s="0"/>
      <c r="ESN3" s="0"/>
      <c r="ESO3" s="0"/>
      <c r="ESP3" s="0"/>
      <c r="ESQ3" s="0"/>
      <c r="ESR3" s="0"/>
      <c r="ESS3" s="0"/>
      <c r="EST3" s="0"/>
      <c r="ESU3" s="0"/>
      <c r="ESV3" s="0"/>
      <c r="ESW3" s="0"/>
      <c r="ESX3" s="0"/>
      <c r="ESY3" s="0"/>
      <c r="ESZ3" s="0"/>
      <c r="ETA3" s="0"/>
      <c r="ETB3" s="0"/>
      <c r="ETC3" s="0"/>
      <c r="ETD3" s="0"/>
      <c r="ETE3" s="0"/>
      <c r="ETF3" s="0"/>
      <c r="ETG3" s="0"/>
      <c r="ETH3" s="0"/>
      <c r="ETI3" s="0"/>
      <c r="ETJ3" s="0"/>
      <c r="ETK3" s="0"/>
      <c r="ETL3" s="0"/>
      <c r="ETM3" s="0"/>
      <c r="ETN3" s="0"/>
      <c r="ETO3" s="0"/>
      <c r="ETP3" s="0"/>
      <c r="ETQ3" s="0"/>
      <c r="ETR3" s="0"/>
      <c r="ETS3" s="0"/>
      <c r="ETT3" s="0"/>
      <c r="ETU3" s="0"/>
      <c r="ETV3" s="0"/>
      <c r="ETW3" s="0"/>
      <c r="ETX3" s="0"/>
      <c r="ETY3" s="0"/>
      <c r="ETZ3" s="0"/>
      <c r="EUA3" s="0"/>
      <c r="EUB3" s="0"/>
      <c r="EUC3" s="0"/>
      <c r="EUD3" s="0"/>
      <c r="EUE3" s="0"/>
      <c r="EUF3" s="0"/>
      <c r="EUG3" s="0"/>
      <c r="EUH3" s="0"/>
      <c r="EUI3" s="0"/>
      <c r="EUJ3" s="0"/>
      <c r="EUK3" s="0"/>
      <c r="EUL3" s="0"/>
      <c r="EUM3" s="0"/>
      <c r="EUN3" s="0"/>
      <c r="EUO3" s="0"/>
      <c r="EUP3" s="0"/>
      <c r="EUQ3" s="0"/>
      <c r="EUR3" s="0"/>
      <c r="EUS3" s="0"/>
      <c r="EUT3" s="0"/>
      <c r="EUU3" s="0"/>
      <c r="EUV3" s="0"/>
      <c r="EUW3" s="0"/>
      <c r="EUX3" s="0"/>
      <c r="EUY3" s="0"/>
      <c r="EUZ3" s="0"/>
      <c r="EVA3" s="0"/>
      <c r="EVB3" s="0"/>
      <c r="EVC3" s="0"/>
      <c r="EVD3" s="0"/>
      <c r="EVE3" s="0"/>
      <c r="EVF3" s="0"/>
      <c r="EVG3" s="0"/>
      <c r="EVH3" s="0"/>
      <c r="EVI3" s="0"/>
      <c r="EVJ3" s="0"/>
      <c r="EVK3" s="0"/>
      <c r="EVL3" s="0"/>
      <c r="EVM3" s="0"/>
      <c r="EVN3" s="0"/>
      <c r="EVO3" s="0"/>
      <c r="EVP3" s="0"/>
      <c r="EVQ3" s="0"/>
      <c r="EVR3" s="0"/>
      <c r="EVS3" s="0"/>
      <c r="EVT3" s="0"/>
      <c r="EVU3" s="0"/>
      <c r="EVV3" s="0"/>
      <c r="EVW3" s="0"/>
      <c r="EVX3" s="0"/>
      <c r="EVY3" s="0"/>
      <c r="EVZ3" s="0"/>
      <c r="EWA3" s="0"/>
      <c r="EWB3" s="0"/>
      <c r="EWC3" s="0"/>
      <c r="EWD3" s="0"/>
      <c r="EWE3" s="0"/>
      <c r="EWF3" s="0"/>
      <c r="EWG3" s="0"/>
      <c r="EWH3" s="0"/>
      <c r="EWI3" s="0"/>
      <c r="EWJ3" s="0"/>
      <c r="EWK3" s="0"/>
      <c r="EWL3" s="0"/>
      <c r="EWM3" s="0"/>
      <c r="EWN3" s="0"/>
      <c r="EWO3" s="0"/>
      <c r="EWP3" s="0"/>
      <c r="EWQ3" s="0"/>
      <c r="EWR3" s="0"/>
      <c r="EWS3" s="0"/>
      <c r="EWT3" s="0"/>
      <c r="EWU3" s="0"/>
      <c r="EWV3" s="0"/>
      <c r="EWW3" s="0"/>
      <c r="EWX3" s="0"/>
      <c r="EWY3" s="0"/>
      <c r="EWZ3" s="0"/>
      <c r="EXA3" s="0"/>
      <c r="EXB3" s="0"/>
      <c r="EXC3" s="0"/>
      <c r="EXD3" s="0"/>
      <c r="EXE3" s="0"/>
      <c r="EXF3" s="0"/>
      <c r="EXG3" s="0"/>
      <c r="EXH3" s="0"/>
      <c r="EXI3" s="0"/>
      <c r="EXJ3" s="0"/>
      <c r="EXK3" s="0"/>
      <c r="EXL3" s="0"/>
      <c r="EXM3" s="0"/>
      <c r="EXN3" s="0"/>
      <c r="EXO3" s="0"/>
      <c r="EXP3" s="0"/>
      <c r="EXQ3" s="0"/>
      <c r="EXR3" s="0"/>
      <c r="EXS3" s="0"/>
      <c r="EXT3" s="0"/>
      <c r="EXU3" s="0"/>
      <c r="EXV3" s="0"/>
      <c r="EXW3" s="0"/>
      <c r="EXX3" s="0"/>
      <c r="EXY3" s="0"/>
      <c r="EXZ3" s="0"/>
      <c r="EYA3" s="0"/>
      <c r="EYB3" s="0"/>
      <c r="EYC3" s="0"/>
      <c r="EYD3" s="0"/>
      <c r="EYE3" s="0"/>
      <c r="EYF3" s="0"/>
      <c r="EYG3" s="0"/>
      <c r="EYH3" s="0"/>
      <c r="EYI3" s="0"/>
      <c r="EYJ3" s="0"/>
      <c r="EYK3" s="0"/>
      <c r="EYL3" s="0"/>
      <c r="EYM3" s="0"/>
      <c r="EYN3" s="0"/>
      <c r="EYO3" s="0"/>
      <c r="EYP3" s="0"/>
      <c r="EYQ3" s="0"/>
      <c r="EYR3" s="0"/>
      <c r="EYS3" s="0"/>
      <c r="EYT3" s="0"/>
      <c r="EYU3" s="0"/>
      <c r="EYV3" s="0"/>
      <c r="EYW3" s="0"/>
      <c r="EYX3" s="0"/>
      <c r="EYY3" s="0"/>
      <c r="EYZ3" s="0"/>
      <c r="EZA3" s="0"/>
      <c r="EZB3" s="0"/>
      <c r="EZC3" s="0"/>
      <c r="EZD3" s="0"/>
      <c r="EZE3" s="0"/>
      <c r="EZF3" s="0"/>
      <c r="EZG3" s="0"/>
      <c r="EZH3" s="0"/>
      <c r="EZI3" s="0"/>
      <c r="EZJ3" s="0"/>
      <c r="EZK3" s="0"/>
      <c r="EZL3" s="0"/>
      <c r="EZM3" s="0"/>
      <c r="EZN3" s="0"/>
      <c r="EZO3" s="0"/>
      <c r="EZP3" s="0"/>
      <c r="EZQ3" s="0"/>
      <c r="EZR3" s="0"/>
      <c r="EZS3" s="0"/>
      <c r="EZT3" s="0"/>
      <c r="EZU3" s="0"/>
      <c r="EZV3" s="0"/>
      <c r="EZW3" s="0"/>
      <c r="EZX3" s="0"/>
      <c r="EZY3" s="0"/>
      <c r="EZZ3" s="0"/>
      <c r="FAA3" s="0"/>
      <c r="FAB3" s="0"/>
      <c r="FAC3" s="0"/>
      <c r="FAD3" s="0"/>
      <c r="FAE3" s="0"/>
      <c r="FAF3" s="0"/>
      <c r="FAG3" s="0"/>
      <c r="FAH3" s="0"/>
      <c r="FAI3" s="0"/>
      <c r="FAJ3" s="0"/>
      <c r="FAK3" s="0"/>
      <c r="FAL3" s="0"/>
      <c r="FAM3" s="0"/>
      <c r="FAN3" s="0"/>
      <c r="FAO3" s="0"/>
      <c r="FAP3" s="0"/>
      <c r="FAQ3" s="0"/>
      <c r="FAR3" s="0"/>
      <c r="FAS3" s="0"/>
      <c r="FAT3" s="0"/>
      <c r="FAU3" s="0"/>
      <c r="FAV3" s="0"/>
      <c r="FAW3" s="0"/>
      <c r="FAX3" s="0"/>
      <c r="FAY3" s="0"/>
      <c r="FAZ3" s="0"/>
      <c r="FBA3" s="0"/>
      <c r="FBB3" s="0"/>
      <c r="FBC3" s="0"/>
      <c r="FBD3" s="0"/>
      <c r="FBE3" s="0"/>
      <c r="FBF3" s="0"/>
      <c r="FBG3" s="0"/>
      <c r="FBH3" s="0"/>
      <c r="FBI3" s="0"/>
      <c r="FBJ3" s="0"/>
      <c r="FBK3" s="0"/>
      <c r="FBL3" s="0"/>
      <c r="FBM3" s="0"/>
      <c r="FBN3" s="0"/>
      <c r="FBO3" s="0"/>
      <c r="FBP3" s="0"/>
      <c r="FBQ3" s="0"/>
      <c r="FBR3" s="0"/>
      <c r="FBS3" s="0"/>
      <c r="FBT3" s="0"/>
      <c r="FBU3" s="0"/>
      <c r="FBV3" s="0"/>
      <c r="FBW3" s="0"/>
      <c r="FBX3" s="0"/>
      <c r="FBY3" s="0"/>
      <c r="FBZ3" s="0"/>
      <c r="FCA3" s="0"/>
      <c r="FCB3" s="0"/>
      <c r="FCC3" s="0"/>
      <c r="FCD3" s="0"/>
      <c r="FCE3" s="0"/>
      <c r="FCF3" s="0"/>
      <c r="FCG3" s="0"/>
      <c r="FCH3" s="0"/>
      <c r="FCI3" s="0"/>
      <c r="FCJ3" s="0"/>
      <c r="FCK3" s="0"/>
      <c r="FCL3" s="0"/>
      <c r="FCM3" s="0"/>
      <c r="FCN3" s="0"/>
      <c r="FCO3" s="0"/>
      <c r="FCP3" s="0"/>
      <c r="FCQ3" s="0"/>
      <c r="FCR3" s="0"/>
      <c r="FCS3" s="0"/>
      <c r="FCT3" s="0"/>
      <c r="FCU3" s="0"/>
      <c r="FCV3" s="0"/>
      <c r="FCW3" s="0"/>
      <c r="FCX3" s="0"/>
      <c r="FCY3" s="0"/>
      <c r="FCZ3" s="0"/>
      <c r="FDA3" s="0"/>
      <c r="FDB3" s="0"/>
      <c r="FDC3" s="0"/>
      <c r="FDD3" s="0"/>
      <c r="FDE3" s="0"/>
      <c r="FDF3" s="0"/>
      <c r="FDG3" s="0"/>
      <c r="FDH3" s="0"/>
      <c r="FDI3" s="0"/>
      <c r="FDJ3" s="0"/>
      <c r="FDK3" s="0"/>
      <c r="FDL3" s="0"/>
      <c r="FDM3" s="0"/>
      <c r="FDN3" s="0"/>
      <c r="FDO3" s="0"/>
      <c r="FDP3" s="0"/>
      <c r="FDQ3" s="0"/>
      <c r="FDR3" s="0"/>
      <c r="FDS3" s="0"/>
      <c r="FDT3" s="0"/>
      <c r="FDU3" s="0"/>
      <c r="FDV3" s="0"/>
      <c r="FDW3" s="0"/>
      <c r="FDX3" s="0"/>
      <c r="FDY3" s="0"/>
      <c r="FDZ3" s="0"/>
      <c r="FEA3" s="0"/>
      <c r="FEB3" s="0"/>
      <c r="FEC3" s="0"/>
      <c r="FED3" s="0"/>
      <c r="FEE3" s="0"/>
      <c r="FEF3" s="0"/>
      <c r="FEG3" s="0"/>
      <c r="FEH3" s="0"/>
      <c r="FEI3" s="0"/>
      <c r="FEJ3" s="0"/>
      <c r="FEK3" s="0"/>
      <c r="FEL3" s="0"/>
      <c r="FEM3" s="0"/>
      <c r="FEN3" s="0"/>
      <c r="FEO3" s="0"/>
      <c r="FEP3" s="0"/>
      <c r="FEQ3" s="0"/>
      <c r="FER3" s="0"/>
      <c r="FES3" s="0"/>
      <c r="FET3" s="0"/>
      <c r="FEU3" s="0"/>
      <c r="FEV3" s="0"/>
      <c r="FEW3" s="0"/>
      <c r="FEX3" s="0"/>
      <c r="FEY3" s="0"/>
      <c r="FEZ3" s="0"/>
      <c r="FFA3" s="0"/>
      <c r="FFB3" s="0"/>
      <c r="FFC3" s="0"/>
      <c r="FFD3" s="0"/>
      <c r="FFE3" s="0"/>
      <c r="FFF3" s="0"/>
      <c r="FFG3" s="0"/>
      <c r="FFH3" s="0"/>
      <c r="FFI3" s="0"/>
      <c r="FFJ3" s="0"/>
      <c r="FFK3" s="0"/>
      <c r="FFL3" s="0"/>
      <c r="FFM3" s="0"/>
      <c r="FFN3" s="0"/>
      <c r="FFO3" s="0"/>
      <c r="FFP3" s="0"/>
      <c r="FFQ3" s="0"/>
      <c r="FFR3" s="0"/>
      <c r="FFS3" s="0"/>
      <c r="FFT3" s="0"/>
      <c r="FFU3" s="0"/>
      <c r="FFV3" s="0"/>
      <c r="FFW3" s="0"/>
      <c r="FFX3" s="0"/>
      <c r="FFY3" s="0"/>
      <c r="FFZ3" s="0"/>
      <c r="FGA3" s="0"/>
      <c r="FGB3" s="0"/>
      <c r="FGC3" s="0"/>
      <c r="FGD3" s="0"/>
      <c r="FGE3" s="0"/>
      <c r="FGF3" s="0"/>
      <c r="FGG3" s="0"/>
      <c r="FGH3" s="0"/>
      <c r="FGI3" s="0"/>
      <c r="FGJ3" s="0"/>
      <c r="FGK3" s="0"/>
      <c r="FGL3" s="0"/>
      <c r="FGM3" s="0"/>
      <c r="FGN3" s="0"/>
      <c r="FGO3" s="0"/>
      <c r="FGP3" s="0"/>
      <c r="FGQ3" s="0"/>
      <c r="FGR3" s="0"/>
      <c r="FGS3" s="0"/>
      <c r="FGT3" s="0"/>
      <c r="FGU3" s="0"/>
      <c r="FGV3" s="0"/>
      <c r="FGW3" s="0"/>
      <c r="FGX3" s="0"/>
      <c r="FGY3" s="0"/>
      <c r="FGZ3" s="0"/>
      <c r="FHA3" s="0"/>
      <c r="FHB3" s="0"/>
      <c r="FHC3" s="0"/>
      <c r="FHD3" s="0"/>
      <c r="FHE3" s="0"/>
      <c r="FHF3" s="0"/>
      <c r="FHG3" s="0"/>
      <c r="FHH3" s="0"/>
      <c r="FHI3" s="0"/>
      <c r="FHJ3" s="0"/>
      <c r="FHK3" s="0"/>
      <c r="FHL3" s="0"/>
      <c r="FHM3" s="0"/>
      <c r="FHN3" s="0"/>
      <c r="FHO3" s="0"/>
      <c r="FHP3" s="0"/>
      <c r="FHQ3" s="0"/>
      <c r="FHR3" s="0"/>
      <c r="FHS3" s="0"/>
      <c r="FHT3" s="0"/>
      <c r="FHU3" s="0"/>
      <c r="FHV3" s="0"/>
      <c r="FHW3" s="0"/>
      <c r="FHX3" s="0"/>
      <c r="FHY3" s="0"/>
      <c r="FHZ3" s="0"/>
      <c r="FIA3" s="0"/>
      <c r="FIB3" s="0"/>
      <c r="FIC3" s="0"/>
      <c r="FID3" s="0"/>
      <c r="FIE3" s="0"/>
      <c r="FIF3" s="0"/>
      <c r="FIG3" s="0"/>
      <c r="FIH3" s="0"/>
      <c r="FII3" s="0"/>
      <c r="FIJ3" s="0"/>
      <c r="FIK3" s="0"/>
      <c r="FIL3" s="0"/>
      <c r="FIM3" s="0"/>
      <c r="FIN3" s="0"/>
      <c r="FIO3" s="0"/>
      <c r="FIP3" s="0"/>
      <c r="FIQ3" s="0"/>
      <c r="FIR3" s="0"/>
      <c r="FIS3" s="0"/>
      <c r="FIT3" s="0"/>
      <c r="FIU3" s="0"/>
      <c r="FIV3" s="0"/>
      <c r="FIW3" s="0"/>
      <c r="FIX3" s="0"/>
      <c r="FIY3" s="0"/>
      <c r="FIZ3" s="0"/>
      <c r="FJA3" s="0"/>
      <c r="FJB3" s="0"/>
      <c r="FJC3" s="0"/>
      <c r="FJD3" s="0"/>
      <c r="FJE3" s="0"/>
      <c r="FJF3" s="0"/>
      <c r="FJG3" s="0"/>
      <c r="FJH3" s="0"/>
      <c r="FJI3" s="0"/>
      <c r="FJJ3" s="0"/>
      <c r="FJK3" s="0"/>
      <c r="FJL3" s="0"/>
      <c r="FJM3" s="0"/>
      <c r="FJN3" s="0"/>
      <c r="FJO3" s="0"/>
      <c r="FJP3" s="0"/>
      <c r="FJQ3" s="0"/>
      <c r="FJR3" s="0"/>
      <c r="FJS3" s="0"/>
      <c r="FJT3" s="0"/>
      <c r="FJU3" s="0"/>
      <c r="FJV3" s="0"/>
      <c r="FJW3" s="0"/>
      <c r="FJX3" s="0"/>
      <c r="FJY3" s="0"/>
      <c r="FJZ3" s="0"/>
      <c r="FKA3" s="0"/>
      <c r="FKB3" s="0"/>
      <c r="FKC3" s="0"/>
      <c r="FKD3" s="0"/>
      <c r="FKE3" s="0"/>
      <c r="FKF3" s="0"/>
      <c r="FKG3" s="0"/>
      <c r="FKH3" s="0"/>
      <c r="FKI3" s="0"/>
      <c r="FKJ3" s="0"/>
      <c r="FKK3" s="0"/>
      <c r="FKL3" s="0"/>
      <c r="FKM3" s="0"/>
      <c r="FKN3" s="0"/>
      <c r="FKO3" s="0"/>
      <c r="FKP3" s="0"/>
      <c r="FKQ3" s="0"/>
      <c r="FKR3" s="0"/>
      <c r="FKS3" s="0"/>
      <c r="FKT3" s="0"/>
      <c r="FKU3" s="0"/>
      <c r="FKV3" s="0"/>
      <c r="FKW3" s="0"/>
      <c r="FKX3" s="0"/>
      <c r="FKY3" s="0"/>
      <c r="FKZ3" s="0"/>
      <c r="FLA3" s="0"/>
      <c r="FLB3" s="0"/>
      <c r="FLC3" s="0"/>
      <c r="FLD3" s="0"/>
      <c r="FLE3" s="0"/>
      <c r="FLF3" s="0"/>
      <c r="FLG3" s="0"/>
      <c r="FLH3" s="0"/>
      <c r="FLI3" s="0"/>
      <c r="FLJ3" s="0"/>
      <c r="FLK3" s="0"/>
      <c r="FLL3" s="0"/>
      <c r="FLM3" s="0"/>
      <c r="FLN3" s="0"/>
      <c r="FLO3" s="0"/>
      <c r="FLP3" s="0"/>
      <c r="FLQ3" s="0"/>
      <c r="FLR3" s="0"/>
      <c r="FLS3" s="0"/>
      <c r="FLT3" s="0"/>
      <c r="FLU3" s="0"/>
      <c r="FLV3" s="0"/>
      <c r="FLW3" s="0"/>
      <c r="FLX3" s="0"/>
      <c r="FLY3" s="0"/>
      <c r="FLZ3" s="0"/>
      <c r="FMA3" s="0"/>
      <c r="FMB3" s="0"/>
      <c r="FMC3" s="0"/>
      <c r="FMD3" s="0"/>
      <c r="FME3" s="0"/>
      <c r="FMF3" s="0"/>
      <c r="FMG3" s="0"/>
      <c r="FMH3" s="0"/>
      <c r="FMI3" s="0"/>
      <c r="FMJ3" s="0"/>
      <c r="FMK3" s="0"/>
      <c r="FML3" s="0"/>
      <c r="FMM3" s="0"/>
      <c r="FMN3" s="0"/>
      <c r="FMO3" s="0"/>
      <c r="FMP3" s="0"/>
      <c r="FMQ3" s="0"/>
      <c r="FMR3" s="0"/>
      <c r="FMS3" s="0"/>
      <c r="FMT3" s="0"/>
      <c r="FMU3" s="0"/>
      <c r="FMV3" s="0"/>
      <c r="FMW3" s="0"/>
      <c r="FMX3" s="0"/>
      <c r="FMY3" s="0"/>
      <c r="FMZ3" s="0"/>
      <c r="FNA3" s="0"/>
      <c r="FNB3" s="0"/>
      <c r="FNC3" s="0"/>
      <c r="FND3" s="0"/>
      <c r="FNE3" s="0"/>
      <c r="FNF3" s="0"/>
      <c r="FNG3" s="0"/>
      <c r="FNH3" s="0"/>
      <c r="FNI3" s="0"/>
      <c r="FNJ3" s="0"/>
      <c r="FNK3" s="0"/>
      <c r="FNL3" s="0"/>
      <c r="FNM3" s="0"/>
      <c r="FNN3" s="0"/>
      <c r="FNO3" s="0"/>
      <c r="FNP3" s="0"/>
      <c r="FNQ3" s="0"/>
      <c r="FNR3" s="0"/>
      <c r="FNS3" s="0"/>
      <c r="FNT3" s="0"/>
      <c r="FNU3" s="0"/>
      <c r="FNV3" s="0"/>
      <c r="FNW3" s="0"/>
      <c r="FNX3" s="0"/>
      <c r="FNY3" s="0"/>
      <c r="FNZ3" s="0"/>
      <c r="FOA3" s="0"/>
      <c r="FOB3" s="0"/>
      <c r="FOC3" s="0"/>
      <c r="FOD3" s="0"/>
      <c r="FOE3" s="0"/>
      <c r="FOF3" s="0"/>
      <c r="FOG3" s="0"/>
      <c r="FOH3" s="0"/>
      <c r="FOI3" s="0"/>
      <c r="FOJ3" s="0"/>
      <c r="FOK3" s="0"/>
      <c r="FOL3" s="0"/>
      <c r="FOM3" s="0"/>
      <c r="FON3" s="0"/>
      <c r="FOO3" s="0"/>
      <c r="FOP3" s="0"/>
      <c r="FOQ3" s="0"/>
      <c r="FOR3" s="0"/>
      <c r="FOS3" s="0"/>
      <c r="FOT3" s="0"/>
      <c r="FOU3" s="0"/>
      <c r="FOV3" s="0"/>
      <c r="FOW3" s="0"/>
      <c r="FOX3" s="0"/>
      <c r="FOY3" s="0"/>
      <c r="FOZ3" s="0"/>
      <c r="FPA3" s="0"/>
      <c r="FPB3" s="0"/>
      <c r="FPC3" s="0"/>
      <c r="FPD3" s="0"/>
      <c r="FPE3" s="0"/>
      <c r="FPF3" s="0"/>
      <c r="FPG3" s="0"/>
      <c r="FPH3" s="0"/>
      <c r="FPI3" s="0"/>
      <c r="FPJ3" s="0"/>
      <c r="FPK3" s="0"/>
      <c r="FPL3" s="0"/>
      <c r="FPM3" s="0"/>
      <c r="FPN3" s="0"/>
      <c r="FPO3" s="0"/>
      <c r="FPP3" s="0"/>
      <c r="FPQ3" s="0"/>
      <c r="FPR3" s="0"/>
      <c r="FPS3" s="0"/>
      <c r="FPT3" s="0"/>
      <c r="FPU3" s="0"/>
      <c r="FPV3" s="0"/>
      <c r="FPW3" s="0"/>
      <c r="FPX3" s="0"/>
      <c r="FPY3" s="0"/>
      <c r="FPZ3" s="0"/>
      <c r="FQA3" s="0"/>
      <c r="FQB3" s="0"/>
      <c r="FQC3" s="0"/>
      <c r="FQD3" s="0"/>
      <c r="FQE3" s="0"/>
      <c r="FQF3" s="0"/>
      <c r="FQG3" s="0"/>
      <c r="FQH3" s="0"/>
      <c r="FQI3" s="0"/>
      <c r="FQJ3" s="0"/>
      <c r="FQK3" s="0"/>
      <c r="FQL3" s="0"/>
      <c r="FQM3" s="0"/>
      <c r="FQN3" s="0"/>
      <c r="FQO3" s="0"/>
      <c r="FQP3" s="0"/>
      <c r="FQQ3" s="0"/>
      <c r="FQR3" s="0"/>
      <c r="FQS3" s="0"/>
      <c r="FQT3" s="0"/>
      <c r="FQU3" s="0"/>
      <c r="FQV3" s="0"/>
      <c r="FQW3" s="0"/>
      <c r="FQX3" s="0"/>
      <c r="FQY3" s="0"/>
      <c r="FQZ3" s="0"/>
      <c r="FRA3" s="0"/>
      <c r="FRB3" s="0"/>
      <c r="FRC3" s="0"/>
      <c r="FRD3" s="0"/>
      <c r="FRE3" s="0"/>
      <c r="FRF3" s="0"/>
      <c r="FRG3" s="0"/>
      <c r="FRH3" s="0"/>
      <c r="FRI3" s="0"/>
      <c r="FRJ3" s="0"/>
      <c r="FRK3" s="0"/>
      <c r="FRL3" s="0"/>
      <c r="FRM3" s="0"/>
      <c r="FRN3" s="0"/>
      <c r="FRO3" s="0"/>
      <c r="FRP3" s="0"/>
      <c r="FRQ3" s="0"/>
      <c r="FRR3" s="0"/>
      <c r="FRS3" s="0"/>
      <c r="FRT3" s="0"/>
      <c r="FRU3" s="0"/>
      <c r="FRV3" s="0"/>
      <c r="FRW3" s="0"/>
      <c r="FRX3" s="0"/>
      <c r="FRY3" s="0"/>
      <c r="FRZ3" s="0"/>
      <c r="FSA3" s="0"/>
      <c r="FSB3" s="0"/>
      <c r="FSC3" s="0"/>
      <c r="FSD3" s="0"/>
      <c r="FSE3" s="0"/>
      <c r="FSF3" s="0"/>
      <c r="FSG3" s="0"/>
      <c r="FSH3" s="0"/>
      <c r="FSI3" s="0"/>
      <c r="FSJ3" s="0"/>
      <c r="FSK3" s="0"/>
      <c r="FSL3" s="0"/>
      <c r="FSM3" s="0"/>
      <c r="FSN3" s="0"/>
      <c r="FSO3" s="0"/>
      <c r="FSP3" s="0"/>
      <c r="FSQ3" s="0"/>
      <c r="FSR3" s="0"/>
      <c r="FSS3" s="0"/>
      <c r="FST3" s="0"/>
      <c r="FSU3" s="0"/>
      <c r="FSV3" s="0"/>
      <c r="FSW3" s="0"/>
      <c r="FSX3" s="0"/>
      <c r="FSY3" s="0"/>
      <c r="FSZ3" s="0"/>
      <c r="FTA3" s="0"/>
      <c r="FTB3" s="0"/>
      <c r="FTC3" s="0"/>
      <c r="FTD3" s="0"/>
      <c r="FTE3" s="0"/>
      <c r="FTF3" s="0"/>
      <c r="FTG3" s="0"/>
      <c r="FTH3" s="0"/>
      <c r="FTI3" s="0"/>
      <c r="FTJ3" s="0"/>
      <c r="FTK3" s="0"/>
      <c r="FTL3" s="0"/>
      <c r="FTM3" s="0"/>
      <c r="FTN3" s="0"/>
      <c r="FTO3" s="0"/>
      <c r="FTP3" s="0"/>
      <c r="FTQ3" s="0"/>
      <c r="FTR3" s="0"/>
      <c r="FTS3" s="0"/>
      <c r="FTT3" s="0"/>
      <c r="FTU3" s="0"/>
      <c r="FTV3" s="0"/>
      <c r="FTW3" s="0"/>
      <c r="FTX3" s="0"/>
      <c r="FTY3" s="0"/>
      <c r="FTZ3" s="0"/>
      <c r="FUA3" s="0"/>
      <c r="FUB3" s="0"/>
      <c r="FUC3" s="0"/>
      <c r="FUD3" s="0"/>
      <c r="FUE3" s="0"/>
      <c r="FUF3" s="0"/>
      <c r="FUG3" s="0"/>
      <c r="FUH3" s="0"/>
      <c r="FUI3" s="0"/>
      <c r="FUJ3" s="0"/>
      <c r="FUK3" s="0"/>
      <c r="FUL3" s="0"/>
      <c r="FUM3" s="0"/>
      <c r="FUN3" s="0"/>
      <c r="FUO3" s="0"/>
      <c r="FUP3" s="0"/>
      <c r="FUQ3" s="0"/>
      <c r="FUR3" s="0"/>
      <c r="FUS3" s="0"/>
      <c r="FUT3" s="0"/>
      <c r="FUU3" s="0"/>
      <c r="FUV3" s="0"/>
      <c r="FUW3" s="0"/>
      <c r="FUX3" s="0"/>
      <c r="FUY3" s="0"/>
      <c r="FUZ3" s="0"/>
      <c r="FVA3" s="0"/>
      <c r="FVB3" s="0"/>
      <c r="FVC3" s="0"/>
      <c r="FVD3" s="0"/>
      <c r="FVE3" s="0"/>
      <c r="FVF3" s="0"/>
      <c r="FVG3" s="0"/>
      <c r="FVH3" s="0"/>
      <c r="FVI3" s="0"/>
      <c r="FVJ3" s="0"/>
      <c r="FVK3" s="0"/>
      <c r="FVL3" s="0"/>
      <c r="FVM3" s="0"/>
      <c r="FVN3" s="0"/>
      <c r="FVO3" s="0"/>
      <c r="FVP3" s="0"/>
      <c r="FVQ3" s="0"/>
      <c r="FVR3" s="0"/>
      <c r="FVS3" s="0"/>
      <c r="FVT3" s="0"/>
      <c r="FVU3" s="0"/>
      <c r="FVV3" s="0"/>
      <c r="FVW3" s="0"/>
      <c r="FVX3" s="0"/>
      <c r="FVY3" s="0"/>
      <c r="FVZ3" s="0"/>
      <c r="FWA3" s="0"/>
      <c r="FWB3" s="0"/>
      <c r="FWC3" s="0"/>
      <c r="FWD3" s="0"/>
      <c r="FWE3" s="0"/>
      <c r="FWF3" s="0"/>
      <c r="FWG3" s="0"/>
      <c r="FWH3" s="0"/>
      <c r="FWI3" s="0"/>
      <c r="FWJ3" s="0"/>
      <c r="FWK3" s="0"/>
      <c r="FWL3" s="0"/>
      <c r="FWM3" s="0"/>
      <c r="FWN3" s="0"/>
      <c r="FWO3" s="0"/>
      <c r="FWP3" s="0"/>
      <c r="FWQ3" s="0"/>
      <c r="FWR3" s="0"/>
      <c r="FWS3" s="0"/>
      <c r="FWT3" s="0"/>
      <c r="FWU3" s="0"/>
      <c r="FWV3" s="0"/>
      <c r="FWW3" s="0"/>
      <c r="FWX3" s="0"/>
      <c r="FWY3" s="0"/>
      <c r="FWZ3" s="0"/>
      <c r="FXA3" s="0"/>
      <c r="FXB3" s="0"/>
      <c r="FXC3" s="0"/>
      <c r="FXD3" s="0"/>
      <c r="FXE3" s="0"/>
      <c r="FXF3" s="0"/>
      <c r="FXG3" s="0"/>
      <c r="FXH3" s="0"/>
      <c r="FXI3" s="0"/>
      <c r="FXJ3" s="0"/>
      <c r="FXK3" s="0"/>
      <c r="FXL3" s="0"/>
      <c r="FXM3" s="0"/>
      <c r="FXN3" s="0"/>
      <c r="FXO3" s="0"/>
      <c r="FXP3" s="0"/>
      <c r="FXQ3" s="0"/>
      <c r="FXR3" s="0"/>
      <c r="FXS3" s="0"/>
      <c r="FXT3" s="0"/>
      <c r="FXU3" s="0"/>
      <c r="FXV3" s="0"/>
      <c r="FXW3" s="0"/>
      <c r="FXX3" s="0"/>
      <c r="FXY3" s="0"/>
      <c r="FXZ3" s="0"/>
      <c r="FYA3" s="0"/>
      <c r="FYB3" s="0"/>
      <c r="FYC3" s="0"/>
      <c r="FYD3" s="0"/>
      <c r="FYE3" s="0"/>
      <c r="FYF3" s="0"/>
      <c r="FYG3" s="0"/>
      <c r="FYH3" s="0"/>
      <c r="FYI3" s="0"/>
      <c r="FYJ3" s="0"/>
      <c r="FYK3" s="0"/>
      <c r="FYL3" s="0"/>
      <c r="FYM3" s="0"/>
      <c r="FYN3" s="0"/>
      <c r="FYO3" s="0"/>
      <c r="FYP3" s="0"/>
      <c r="FYQ3" s="0"/>
      <c r="FYR3" s="0"/>
      <c r="FYS3" s="0"/>
      <c r="FYT3" s="0"/>
      <c r="FYU3" s="0"/>
      <c r="FYV3" s="0"/>
      <c r="FYW3" s="0"/>
      <c r="FYX3" s="0"/>
      <c r="FYY3" s="0"/>
      <c r="FYZ3" s="0"/>
      <c r="FZA3" s="0"/>
      <c r="FZB3" s="0"/>
      <c r="FZC3" s="0"/>
      <c r="FZD3" s="0"/>
      <c r="FZE3" s="0"/>
      <c r="FZF3" s="0"/>
      <c r="FZG3" s="0"/>
      <c r="FZH3" s="0"/>
      <c r="FZI3" s="0"/>
      <c r="FZJ3" s="0"/>
      <c r="FZK3" s="0"/>
      <c r="FZL3" s="0"/>
      <c r="FZM3" s="0"/>
      <c r="FZN3" s="0"/>
      <c r="FZO3" s="0"/>
      <c r="FZP3" s="0"/>
      <c r="FZQ3" s="0"/>
      <c r="FZR3" s="0"/>
      <c r="FZS3" s="0"/>
      <c r="FZT3" s="0"/>
      <c r="FZU3" s="0"/>
      <c r="FZV3" s="0"/>
      <c r="FZW3" s="0"/>
      <c r="FZX3" s="0"/>
      <c r="FZY3" s="0"/>
      <c r="FZZ3" s="0"/>
      <c r="GAA3" s="0"/>
      <c r="GAB3" s="0"/>
      <c r="GAC3" s="0"/>
      <c r="GAD3" s="0"/>
      <c r="GAE3" s="0"/>
      <c r="GAF3" s="0"/>
      <c r="GAG3" s="0"/>
      <c r="GAH3" s="0"/>
      <c r="GAI3" s="0"/>
      <c r="GAJ3" s="0"/>
      <c r="GAK3" s="0"/>
      <c r="GAL3" s="0"/>
      <c r="GAM3" s="0"/>
      <c r="GAN3" s="0"/>
      <c r="GAO3" s="0"/>
      <c r="GAP3" s="0"/>
      <c r="GAQ3" s="0"/>
      <c r="GAR3" s="0"/>
      <c r="GAS3" s="0"/>
      <c r="GAT3" s="0"/>
      <c r="GAU3" s="0"/>
      <c r="GAV3" s="0"/>
      <c r="GAW3" s="0"/>
      <c r="GAX3" s="0"/>
      <c r="GAY3" s="0"/>
      <c r="GAZ3" s="0"/>
      <c r="GBA3" s="0"/>
      <c r="GBB3" s="0"/>
      <c r="GBC3" s="0"/>
      <c r="GBD3" s="0"/>
      <c r="GBE3" s="0"/>
      <c r="GBF3" s="0"/>
      <c r="GBG3" s="0"/>
      <c r="GBH3" s="0"/>
      <c r="GBI3" s="0"/>
      <c r="GBJ3" s="0"/>
      <c r="GBK3" s="0"/>
      <c r="GBL3" s="0"/>
      <c r="GBM3" s="0"/>
      <c r="GBN3" s="0"/>
      <c r="GBO3" s="0"/>
      <c r="GBP3" s="0"/>
      <c r="GBQ3" s="0"/>
      <c r="GBR3" s="0"/>
      <c r="GBS3" s="0"/>
      <c r="GBT3" s="0"/>
      <c r="GBU3" s="0"/>
      <c r="GBV3" s="0"/>
      <c r="GBW3" s="0"/>
      <c r="GBX3" s="0"/>
      <c r="GBY3" s="0"/>
      <c r="GBZ3" s="0"/>
      <c r="GCA3" s="0"/>
      <c r="GCB3" s="0"/>
      <c r="GCC3" s="0"/>
      <c r="GCD3" s="0"/>
      <c r="GCE3" s="0"/>
      <c r="GCF3" s="0"/>
      <c r="GCG3" s="0"/>
      <c r="GCH3" s="0"/>
      <c r="GCI3" s="0"/>
      <c r="GCJ3" s="0"/>
      <c r="GCK3" s="0"/>
      <c r="GCL3" s="0"/>
      <c r="GCM3" s="0"/>
      <c r="GCN3" s="0"/>
      <c r="GCO3" s="0"/>
      <c r="GCP3" s="0"/>
      <c r="GCQ3" s="0"/>
      <c r="GCR3" s="0"/>
      <c r="GCS3" s="0"/>
      <c r="GCT3" s="0"/>
      <c r="GCU3" s="0"/>
      <c r="GCV3" s="0"/>
      <c r="GCW3" s="0"/>
      <c r="GCX3" s="0"/>
      <c r="GCY3" s="0"/>
      <c r="GCZ3" s="0"/>
      <c r="GDA3" s="0"/>
      <c r="GDB3" s="0"/>
      <c r="GDC3" s="0"/>
      <c r="GDD3" s="0"/>
      <c r="GDE3" s="0"/>
      <c r="GDF3" s="0"/>
      <c r="GDG3" s="0"/>
      <c r="GDH3" s="0"/>
      <c r="GDI3" s="0"/>
      <c r="GDJ3" s="0"/>
      <c r="GDK3" s="0"/>
      <c r="GDL3" s="0"/>
      <c r="GDM3" s="0"/>
      <c r="GDN3" s="0"/>
      <c r="GDO3" s="0"/>
      <c r="GDP3" s="0"/>
      <c r="GDQ3" s="0"/>
      <c r="GDR3" s="0"/>
      <c r="GDS3" s="0"/>
      <c r="GDT3" s="0"/>
      <c r="GDU3" s="0"/>
      <c r="GDV3" s="0"/>
      <c r="GDW3" s="0"/>
      <c r="GDX3" s="0"/>
      <c r="GDY3" s="0"/>
      <c r="GDZ3" s="0"/>
      <c r="GEA3" s="0"/>
      <c r="GEB3" s="0"/>
      <c r="GEC3" s="0"/>
      <c r="GED3" s="0"/>
      <c r="GEE3" s="0"/>
      <c r="GEF3" s="0"/>
      <c r="GEG3" s="0"/>
      <c r="GEH3" s="0"/>
      <c r="GEI3" s="0"/>
      <c r="GEJ3" s="0"/>
      <c r="GEK3" s="0"/>
      <c r="GEL3" s="0"/>
      <c r="GEM3" s="0"/>
      <c r="GEN3" s="0"/>
      <c r="GEO3" s="0"/>
      <c r="GEP3" s="0"/>
      <c r="GEQ3" s="0"/>
      <c r="GER3" s="0"/>
      <c r="GES3" s="0"/>
      <c r="GET3" s="0"/>
      <c r="GEU3" s="0"/>
      <c r="GEV3" s="0"/>
      <c r="GEW3" s="0"/>
      <c r="GEX3" s="0"/>
      <c r="GEY3" s="0"/>
      <c r="GEZ3" s="0"/>
      <c r="GFA3" s="0"/>
      <c r="GFB3" s="0"/>
      <c r="GFC3" s="0"/>
      <c r="GFD3" s="0"/>
      <c r="GFE3" s="0"/>
      <c r="GFF3" s="0"/>
      <c r="GFG3" s="0"/>
      <c r="GFH3" s="0"/>
      <c r="GFI3" s="0"/>
      <c r="GFJ3" s="0"/>
      <c r="GFK3" s="0"/>
      <c r="GFL3" s="0"/>
      <c r="GFM3" s="0"/>
      <c r="GFN3" s="0"/>
      <c r="GFO3" s="0"/>
      <c r="GFP3" s="0"/>
      <c r="GFQ3" s="0"/>
      <c r="GFR3" s="0"/>
      <c r="GFS3" s="0"/>
      <c r="GFT3" s="0"/>
      <c r="GFU3" s="0"/>
      <c r="GFV3" s="0"/>
      <c r="GFW3" s="0"/>
      <c r="GFX3" s="0"/>
      <c r="GFY3" s="0"/>
      <c r="GFZ3" s="0"/>
      <c r="GGA3" s="0"/>
      <c r="GGB3" s="0"/>
      <c r="GGC3" s="0"/>
      <c r="GGD3" s="0"/>
      <c r="GGE3" s="0"/>
      <c r="GGF3" s="0"/>
      <c r="GGG3" s="0"/>
      <c r="GGH3" s="0"/>
      <c r="GGI3" s="0"/>
      <c r="GGJ3" s="0"/>
      <c r="GGK3" s="0"/>
      <c r="GGL3" s="0"/>
      <c r="GGM3" s="0"/>
      <c r="GGN3" s="0"/>
      <c r="GGO3" s="0"/>
      <c r="GGP3" s="0"/>
      <c r="GGQ3" s="0"/>
      <c r="GGR3" s="0"/>
      <c r="GGS3" s="0"/>
      <c r="GGT3" s="0"/>
      <c r="GGU3" s="0"/>
      <c r="GGV3" s="0"/>
      <c r="GGW3" s="0"/>
      <c r="GGX3" s="0"/>
      <c r="GGY3" s="0"/>
      <c r="GGZ3" s="0"/>
      <c r="GHA3" s="0"/>
      <c r="GHB3" s="0"/>
      <c r="GHC3" s="0"/>
      <c r="GHD3" s="0"/>
      <c r="GHE3" s="0"/>
      <c r="GHF3" s="0"/>
      <c r="GHG3" s="0"/>
      <c r="GHH3" s="0"/>
      <c r="GHI3" s="0"/>
      <c r="GHJ3" s="0"/>
      <c r="GHK3" s="0"/>
      <c r="GHL3" s="0"/>
      <c r="GHM3" s="0"/>
      <c r="GHN3" s="0"/>
      <c r="GHO3" s="0"/>
      <c r="GHP3" s="0"/>
      <c r="GHQ3" s="0"/>
      <c r="GHR3" s="0"/>
      <c r="GHS3" s="0"/>
      <c r="GHT3" s="0"/>
      <c r="GHU3" s="0"/>
      <c r="GHV3" s="0"/>
      <c r="GHW3" s="0"/>
      <c r="GHX3" s="0"/>
      <c r="GHY3" s="0"/>
      <c r="GHZ3" s="0"/>
      <c r="GIA3" s="0"/>
      <c r="GIB3" s="0"/>
      <c r="GIC3" s="0"/>
      <c r="GID3" s="0"/>
      <c r="GIE3" s="0"/>
      <c r="GIF3" s="0"/>
      <c r="GIG3" s="0"/>
      <c r="GIH3" s="0"/>
      <c r="GII3" s="0"/>
      <c r="GIJ3" s="0"/>
      <c r="GIK3" s="0"/>
      <c r="GIL3" s="0"/>
      <c r="GIM3" s="0"/>
      <c r="GIN3" s="0"/>
      <c r="GIO3" s="0"/>
      <c r="GIP3" s="0"/>
      <c r="GIQ3" s="0"/>
      <c r="GIR3" s="0"/>
      <c r="GIS3" s="0"/>
      <c r="GIT3" s="0"/>
      <c r="GIU3" s="0"/>
      <c r="GIV3" s="0"/>
      <c r="GIW3" s="0"/>
      <c r="GIX3" s="0"/>
      <c r="GIY3" s="0"/>
      <c r="GIZ3" s="0"/>
      <c r="GJA3" s="0"/>
      <c r="GJB3" s="0"/>
      <c r="GJC3" s="0"/>
      <c r="GJD3" s="0"/>
      <c r="GJE3" s="0"/>
      <c r="GJF3" s="0"/>
      <c r="GJG3" s="0"/>
      <c r="GJH3" s="0"/>
      <c r="GJI3" s="0"/>
      <c r="GJJ3" s="0"/>
      <c r="GJK3" s="0"/>
      <c r="GJL3" s="0"/>
      <c r="GJM3" s="0"/>
      <c r="GJN3" s="0"/>
      <c r="GJO3" s="0"/>
      <c r="GJP3" s="0"/>
      <c r="GJQ3" s="0"/>
      <c r="GJR3" s="0"/>
      <c r="GJS3" s="0"/>
      <c r="GJT3" s="0"/>
      <c r="GJU3" s="0"/>
      <c r="GJV3" s="0"/>
      <c r="GJW3" s="0"/>
      <c r="GJX3" s="0"/>
      <c r="GJY3" s="0"/>
      <c r="GJZ3" s="0"/>
      <c r="GKA3" s="0"/>
      <c r="GKB3" s="0"/>
      <c r="GKC3" s="0"/>
      <c r="GKD3" s="0"/>
      <c r="GKE3" s="0"/>
      <c r="GKF3" s="0"/>
      <c r="GKG3" s="0"/>
      <c r="GKH3" s="0"/>
      <c r="GKI3" s="0"/>
      <c r="GKJ3" s="0"/>
      <c r="GKK3" s="0"/>
      <c r="GKL3" s="0"/>
      <c r="GKM3" s="0"/>
      <c r="GKN3" s="0"/>
      <c r="GKO3" s="0"/>
      <c r="GKP3" s="0"/>
      <c r="GKQ3" s="0"/>
      <c r="GKR3" s="0"/>
      <c r="GKS3" s="0"/>
      <c r="GKT3" s="0"/>
      <c r="GKU3" s="0"/>
      <c r="GKV3" s="0"/>
      <c r="GKW3" s="0"/>
      <c r="GKX3" s="0"/>
      <c r="GKY3" s="0"/>
      <c r="GKZ3" s="0"/>
      <c r="GLA3" s="0"/>
      <c r="GLB3" s="0"/>
      <c r="GLC3" s="0"/>
      <c r="GLD3" s="0"/>
      <c r="GLE3" s="0"/>
      <c r="GLF3" s="0"/>
      <c r="GLG3" s="0"/>
      <c r="GLH3" s="0"/>
      <c r="GLI3" s="0"/>
      <c r="GLJ3" s="0"/>
      <c r="GLK3" s="0"/>
      <c r="GLL3" s="0"/>
      <c r="GLM3" s="0"/>
      <c r="GLN3" s="0"/>
      <c r="GLO3" s="0"/>
      <c r="GLP3" s="0"/>
      <c r="GLQ3" s="0"/>
      <c r="GLR3" s="0"/>
      <c r="GLS3" s="0"/>
      <c r="GLT3" s="0"/>
      <c r="GLU3" s="0"/>
      <c r="GLV3" s="0"/>
      <c r="GLW3" s="0"/>
      <c r="GLX3" s="0"/>
      <c r="GLY3" s="0"/>
      <c r="GLZ3" s="0"/>
      <c r="GMA3" s="0"/>
      <c r="GMB3" s="0"/>
      <c r="GMC3" s="0"/>
      <c r="GMD3" s="0"/>
      <c r="GME3" s="0"/>
      <c r="GMF3" s="0"/>
      <c r="GMG3" s="0"/>
      <c r="GMH3" s="0"/>
      <c r="GMI3" s="0"/>
      <c r="GMJ3" s="0"/>
      <c r="GMK3" s="0"/>
      <c r="GML3" s="0"/>
      <c r="GMM3" s="0"/>
      <c r="GMN3" s="0"/>
      <c r="GMO3" s="0"/>
      <c r="GMP3" s="0"/>
      <c r="GMQ3" s="0"/>
      <c r="GMR3" s="0"/>
      <c r="GMS3" s="0"/>
      <c r="GMT3" s="0"/>
      <c r="GMU3" s="0"/>
      <c r="GMV3" s="0"/>
      <c r="GMW3" s="0"/>
      <c r="GMX3" s="0"/>
      <c r="GMY3" s="0"/>
      <c r="GMZ3" s="0"/>
      <c r="GNA3" s="0"/>
      <c r="GNB3" s="0"/>
      <c r="GNC3" s="0"/>
      <c r="GND3" s="0"/>
      <c r="GNE3" s="0"/>
      <c r="GNF3" s="0"/>
      <c r="GNG3" s="0"/>
      <c r="GNH3" s="0"/>
      <c r="GNI3" s="0"/>
      <c r="GNJ3" s="0"/>
      <c r="GNK3" s="0"/>
      <c r="GNL3" s="0"/>
      <c r="GNM3" s="0"/>
      <c r="GNN3" s="0"/>
      <c r="GNO3" s="0"/>
      <c r="GNP3" s="0"/>
      <c r="GNQ3" s="0"/>
      <c r="GNR3" s="0"/>
      <c r="GNS3" s="0"/>
      <c r="GNT3" s="0"/>
      <c r="GNU3" s="0"/>
      <c r="GNV3" s="0"/>
      <c r="GNW3" s="0"/>
      <c r="GNX3" s="0"/>
      <c r="GNY3" s="0"/>
      <c r="GNZ3" s="0"/>
      <c r="GOA3" s="0"/>
      <c r="GOB3" s="0"/>
      <c r="GOC3" s="0"/>
      <c r="GOD3" s="0"/>
      <c r="GOE3" s="0"/>
      <c r="GOF3" s="0"/>
      <c r="GOG3" s="0"/>
      <c r="GOH3" s="0"/>
      <c r="GOI3" s="0"/>
      <c r="GOJ3" s="0"/>
      <c r="GOK3" s="0"/>
      <c r="GOL3" s="0"/>
      <c r="GOM3" s="0"/>
      <c r="GON3" s="0"/>
      <c r="GOO3" s="0"/>
      <c r="GOP3" s="0"/>
      <c r="GOQ3" s="0"/>
      <c r="GOR3" s="0"/>
      <c r="GOS3" s="0"/>
      <c r="GOT3" s="0"/>
      <c r="GOU3" s="0"/>
      <c r="GOV3" s="0"/>
      <c r="GOW3" s="0"/>
      <c r="GOX3" s="0"/>
      <c r="GOY3" s="0"/>
      <c r="GOZ3" s="0"/>
      <c r="GPA3" s="0"/>
      <c r="GPB3" s="0"/>
      <c r="GPC3" s="0"/>
      <c r="GPD3" s="0"/>
      <c r="GPE3" s="0"/>
      <c r="GPF3" s="0"/>
      <c r="GPG3" s="0"/>
      <c r="GPH3" s="0"/>
      <c r="GPI3" s="0"/>
      <c r="GPJ3" s="0"/>
      <c r="GPK3" s="0"/>
      <c r="GPL3" s="0"/>
      <c r="GPM3" s="0"/>
      <c r="GPN3" s="0"/>
      <c r="GPO3" s="0"/>
      <c r="GPP3" s="0"/>
      <c r="GPQ3" s="0"/>
      <c r="GPR3" s="0"/>
      <c r="GPS3" s="0"/>
      <c r="GPT3" s="0"/>
      <c r="GPU3" s="0"/>
      <c r="GPV3" s="0"/>
      <c r="GPW3" s="0"/>
      <c r="GPX3" s="0"/>
      <c r="GPY3" s="0"/>
      <c r="GPZ3" s="0"/>
      <c r="GQA3" s="0"/>
      <c r="GQB3" s="0"/>
      <c r="GQC3" s="0"/>
      <c r="GQD3" s="0"/>
      <c r="GQE3" s="0"/>
      <c r="GQF3" s="0"/>
      <c r="GQG3" s="0"/>
      <c r="GQH3" s="0"/>
      <c r="GQI3" s="0"/>
      <c r="GQJ3" s="0"/>
      <c r="GQK3" s="0"/>
      <c r="GQL3" s="0"/>
      <c r="GQM3" s="0"/>
      <c r="GQN3" s="0"/>
      <c r="GQO3" s="0"/>
      <c r="GQP3" s="0"/>
      <c r="GQQ3" s="0"/>
      <c r="GQR3" s="0"/>
      <c r="GQS3" s="0"/>
      <c r="GQT3" s="0"/>
      <c r="GQU3" s="0"/>
      <c r="GQV3" s="0"/>
      <c r="GQW3" s="0"/>
      <c r="GQX3" s="0"/>
      <c r="GQY3" s="0"/>
      <c r="GQZ3" s="0"/>
      <c r="GRA3" s="0"/>
      <c r="GRB3" s="0"/>
      <c r="GRC3" s="0"/>
      <c r="GRD3" s="0"/>
      <c r="GRE3" s="0"/>
      <c r="GRF3" s="0"/>
      <c r="GRG3" s="0"/>
      <c r="GRH3" s="0"/>
      <c r="GRI3" s="0"/>
      <c r="GRJ3" s="0"/>
      <c r="GRK3" s="0"/>
      <c r="GRL3" s="0"/>
      <c r="GRM3" s="0"/>
      <c r="GRN3" s="0"/>
      <c r="GRO3" s="0"/>
      <c r="GRP3" s="0"/>
      <c r="GRQ3" s="0"/>
      <c r="GRR3" s="0"/>
      <c r="GRS3" s="0"/>
      <c r="GRT3" s="0"/>
      <c r="GRU3" s="0"/>
      <c r="GRV3" s="0"/>
      <c r="GRW3" s="0"/>
      <c r="GRX3" s="0"/>
      <c r="GRY3" s="0"/>
      <c r="GRZ3" s="0"/>
      <c r="GSA3" s="0"/>
      <c r="GSB3" s="0"/>
      <c r="GSC3" s="0"/>
      <c r="GSD3" s="0"/>
      <c r="GSE3" s="0"/>
      <c r="GSF3" s="0"/>
      <c r="GSG3" s="0"/>
      <c r="GSH3" s="0"/>
      <c r="GSI3" s="0"/>
      <c r="GSJ3" s="0"/>
      <c r="GSK3" s="0"/>
      <c r="GSL3" s="0"/>
      <c r="GSM3" s="0"/>
      <c r="GSN3" s="0"/>
      <c r="GSO3" s="0"/>
      <c r="GSP3" s="0"/>
      <c r="GSQ3" s="0"/>
      <c r="GSR3" s="0"/>
      <c r="GSS3" s="0"/>
      <c r="GST3" s="0"/>
      <c r="GSU3" s="0"/>
      <c r="GSV3" s="0"/>
      <c r="GSW3" s="0"/>
      <c r="GSX3" s="0"/>
      <c r="GSY3" s="0"/>
      <c r="GSZ3" s="0"/>
      <c r="GTA3" s="0"/>
      <c r="GTB3" s="0"/>
      <c r="GTC3" s="0"/>
      <c r="GTD3" s="0"/>
      <c r="GTE3" s="0"/>
      <c r="GTF3" s="0"/>
      <c r="GTG3" s="0"/>
      <c r="GTH3" s="0"/>
      <c r="GTI3" s="0"/>
      <c r="GTJ3" s="0"/>
      <c r="GTK3" s="0"/>
      <c r="GTL3" s="0"/>
      <c r="GTM3" s="0"/>
      <c r="GTN3" s="0"/>
      <c r="GTO3" s="0"/>
      <c r="GTP3" s="0"/>
      <c r="GTQ3" s="0"/>
      <c r="GTR3" s="0"/>
      <c r="GTS3" s="0"/>
      <c r="GTT3" s="0"/>
      <c r="GTU3" s="0"/>
      <c r="GTV3" s="0"/>
      <c r="GTW3" s="0"/>
      <c r="GTX3" s="0"/>
      <c r="GTY3" s="0"/>
      <c r="GTZ3" s="0"/>
      <c r="GUA3" s="0"/>
      <c r="GUB3" s="0"/>
      <c r="GUC3" s="0"/>
      <c r="GUD3" s="0"/>
      <c r="GUE3" s="0"/>
      <c r="GUF3" s="0"/>
      <c r="GUG3" s="0"/>
      <c r="GUH3" s="0"/>
      <c r="GUI3" s="0"/>
      <c r="GUJ3" s="0"/>
      <c r="GUK3" s="0"/>
      <c r="GUL3" s="0"/>
      <c r="GUM3" s="0"/>
      <c r="GUN3" s="0"/>
      <c r="GUO3" s="0"/>
      <c r="GUP3" s="0"/>
      <c r="GUQ3" s="0"/>
      <c r="GUR3" s="0"/>
      <c r="GUS3" s="0"/>
      <c r="GUT3" s="0"/>
      <c r="GUU3" s="0"/>
      <c r="GUV3" s="0"/>
      <c r="GUW3" s="0"/>
      <c r="GUX3" s="0"/>
      <c r="GUY3" s="0"/>
      <c r="GUZ3" s="0"/>
      <c r="GVA3" s="0"/>
      <c r="GVB3" s="0"/>
      <c r="GVC3" s="0"/>
      <c r="GVD3" s="0"/>
      <c r="GVE3" s="0"/>
      <c r="GVF3" s="0"/>
      <c r="GVG3" s="0"/>
      <c r="GVH3" s="0"/>
      <c r="GVI3" s="0"/>
      <c r="GVJ3" s="0"/>
      <c r="GVK3" s="0"/>
      <c r="GVL3" s="0"/>
      <c r="GVM3" s="0"/>
      <c r="GVN3" s="0"/>
      <c r="GVO3" s="0"/>
      <c r="GVP3" s="0"/>
      <c r="GVQ3" s="0"/>
      <c r="GVR3" s="0"/>
      <c r="GVS3" s="0"/>
      <c r="GVT3" s="0"/>
      <c r="GVU3" s="0"/>
      <c r="GVV3" s="0"/>
      <c r="GVW3" s="0"/>
      <c r="GVX3" s="0"/>
      <c r="GVY3" s="0"/>
      <c r="GVZ3" s="0"/>
      <c r="GWA3" s="0"/>
      <c r="GWB3" s="0"/>
      <c r="GWC3" s="0"/>
      <c r="GWD3" s="0"/>
      <c r="GWE3" s="0"/>
      <c r="GWF3" s="0"/>
      <c r="GWG3" s="0"/>
      <c r="GWH3" s="0"/>
      <c r="GWI3" s="0"/>
      <c r="GWJ3" s="0"/>
      <c r="GWK3" s="0"/>
      <c r="GWL3" s="0"/>
      <c r="GWM3" s="0"/>
      <c r="GWN3" s="0"/>
      <c r="GWO3" s="0"/>
      <c r="GWP3" s="0"/>
      <c r="GWQ3" s="0"/>
      <c r="GWR3" s="0"/>
      <c r="GWS3" s="0"/>
      <c r="GWT3" s="0"/>
      <c r="GWU3" s="0"/>
      <c r="GWV3" s="0"/>
      <c r="GWW3" s="0"/>
      <c r="GWX3" s="0"/>
      <c r="GWY3" s="0"/>
      <c r="GWZ3" s="0"/>
      <c r="GXA3" s="0"/>
      <c r="GXB3" s="0"/>
      <c r="GXC3" s="0"/>
      <c r="GXD3" s="0"/>
      <c r="GXE3" s="0"/>
      <c r="GXF3" s="0"/>
      <c r="GXG3" s="0"/>
      <c r="GXH3" s="0"/>
      <c r="GXI3" s="0"/>
      <c r="GXJ3" s="0"/>
      <c r="GXK3" s="0"/>
      <c r="GXL3" s="0"/>
      <c r="GXM3" s="0"/>
      <c r="GXN3" s="0"/>
      <c r="GXO3" s="0"/>
      <c r="GXP3" s="0"/>
      <c r="GXQ3" s="0"/>
      <c r="GXR3" s="0"/>
      <c r="GXS3" s="0"/>
      <c r="GXT3" s="0"/>
      <c r="GXU3" s="0"/>
      <c r="GXV3" s="0"/>
      <c r="GXW3" s="0"/>
      <c r="GXX3" s="0"/>
      <c r="GXY3" s="0"/>
      <c r="GXZ3" s="0"/>
      <c r="GYA3" s="0"/>
      <c r="GYB3" s="0"/>
      <c r="GYC3" s="0"/>
      <c r="GYD3" s="0"/>
      <c r="GYE3" s="0"/>
      <c r="GYF3" s="0"/>
      <c r="GYG3" s="0"/>
      <c r="GYH3" s="0"/>
      <c r="GYI3" s="0"/>
      <c r="GYJ3" s="0"/>
      <c r="GYK3" s="0"/>
      <c r="GYL3" s="0"/>
      <c r="GYM3" s="0"/>
      <c r="GYN3" s="0"/>
      <c r="GYO3" s="0"/>
      <c r="GYP3" s="0"/>
      <c r="GYQ3" s="0"/>
      <c r="GYR3" s="0"/>
      <c r="GYS3" s="0"/>
      <c r="GYT3" s="0"/>
      <c r="GYU3" s="0"/>
      <c r="GYV3" s="0"/>
      <c r="GYW3" s="0"/>
      <c r="GYX3" s="0"/>
      <c r="GYY3" s="0"/>
      <c r="GYZ3" s="0"/>
      <c r="GZA3" s="0"/>
      <c r="GZB3" s="0"/>
      <c r="GZC3" s="0"/>
      <c r="GZD3" s="0"/>
      <c r="GZE3" s="0"/>
      <c r="GZF3" s="0"/>
      <c r="GZG3" s="0"/>
      <c r="GZH3" s="0"/>
      <c r="GZI3" s="0"/>
      <c r="GZJ3" s="0"/>
      <c r="GZK3" s="0"/>
      <c r="GZL3" s="0"/>
      <c r="GZM3" s="0"/>
      <c r="GZN3" s="0"/>
      <c r="GZO3" s="0"/>
      <c r="GZP3" s="0"/>
      <c r="GZQ3" s="0"/>
      <c r="GZR3" s="0"/>
      <c r="GZS3" s="0"/>
      <c r="GZT3" s="0"/>
      <c r="GZU3" s="0"/>
      <c r="GZV3" s="0"/>
      <c r="GZW3" s="0"/>
      <c r="GZX3" s="0"/>
      <c r="GZY3" s="0"/>
      <c r="GZZ3" s="0"/>
      <c r="HAA3" s="0"/>
      <c r="HAB3" s="0"/>
      <c r="HAC3" s="0"/>
      <c r="HAD3" s="0"/>
      <c r="HAE3" s="0"/>
      <c r="HAF3" s="0"/>
      <c r="HAG3" s="0"/>
      <c r="HAH3" s="0"/>
      <c r="HAI3" s="0"/>
      <c r="HAJ3" s="0"/>
      <c r="HAK3" s="0"/>
      <c r="HAL3" s="0"/>
      <c r="HAM3" s="0"/>
      <c r="HAN3" s="0"/>
      <c r="HAO3" s="0"/>
      <c r="HAP3" s="0"/>
      <c r="HAQ3" s="0"/>
      <c r="HAR3" s="0"/>
      <c r="HAS3" s="0"/>
      <c r="HAT3" s="0"/>
      <c r="HAU3" s="0"/>
      <c r="HAV3" s="0"/>
      <c r="HAW3" s="0"/>
      <c r="HAX3" s="0"/>
      <c r="HAY3" s="0"/>
      <c r="HAZ3" s="0"/>
      <c r="HBA3" s="0"/>
      <c r="HBB3" s="0"/>
      <c r="HBC3" s="0"/>
      <c r="HBD3" s="0"/>
      <c r="HBE3" s="0"/>
      <c r="HBF3" s="0"/>
      <c r="HBG3" s="0"/>
      <c r="HBH3" s="0"/>
      <c r="HBI3" s="0"/>
      <c r="HBJ3" s="0"/>
      <c r="HBK3" s="0"/>
      <c r="HBL3" s="0"/>
      <c r="HBM3" s="0"/>
      <c r="HBN3" s="0"/>
      <c r="HBO3" s="0"/>
      <c r="HBP3" s="0"/>
      <c r="HBQ3" s="0"/>
      <c r="HBR3" s="0"/>
      <c r="HBS3" s="0"/>
      <c r="HBT3" s="0"/>
      <c r="HBU3" s="0"/>
      <c r="HBV3" s="0"/>
      <c r="HBW3" s="0"/>
      <c r="HBX3" s="0"/>
      <c r="HBY3" s="0"/>
      <c r="HBZ3" s="0"/>
      <c r="HCA3" s="0"/>
      <c r="HCB3" s="0"/>
      <c r="HCC3" s="0"/>
      <c r="HCD3" s="0"/>
      <c r="HCE3" s="0"/>
      <c r="HCF3" s="0"/>
      <c r="HCG3" s="0"/>
      <c r="HCH3" s="0"/>
      <c r="HCI3" s="0"/>
      <c r="HCJ3" s="0"/>
      <c r="HCK3" s="0"/>
      <c r="HCL3" s="0"/>
      <c r="HCM3" s="0"/>
      <c r="HCN3" s="0"/>
      <c r="HCO3" s="0"/>
      <c r="HCP3" s="0"/>
      <c r="HCQ3" s="0"/>
      <c r="HCR3" s="0"/>
      <c r="HCS3" s="0"/>
      <c r="HCT3" s="0"/>
      <c r="HCU3" s="0"/>
      <c r="HCV3" s="0"/>
      <c r="HCW3" s="0"/>
      <c r="HCX3" s="0"/>
      <c r="HCY3" s="0"/>
      <c r="HCZ3" s="0"/>
      <c r="HDA3" s="0"/>
      <c r="HDB3" s="0"/>
      <c r="HDC3" s="0"/>
      <c r="HDD3" s="0"/>
      <c r="HDE3" s="0"/>
      <c r="HDF3" s="0"/>
      <c r="HDG3" s="0"/>
      <c r="HDH3" s="0"/>
      <c r="HDI3" s="0"/>
      <c r="HDJ3" s="0"/>
      <c r="HDK3" s="0"/>
      <c r="HDL3" s="0"/>
      <c r="HDM3" s="0"/>
      <c r="HDN3" s="0"/>
      <c r="HDO3" s="0"/>
      <c r="HDP3" s="0"/>
      <c r="HDQ3" s="0"/>
      <c r="HDR3" s="0"/>
      <c r="HDS3" s="0"/>
      <c r="HDT3" s="0"/>
      <c r="HDU3" s="0"/>
      <c r="HDV3" s="0"/>
      <c r="HDW3" s="0"/>
      <c r="HDX3" s="0"/>
      <c r="HDY3" s="0"/>
      <c r="HDZ3" s="0"/>
      <c r="HEA3" s="0"/>
      <c r="HEB3" s="0"/>
      <c r="HEC3" s="0"/>
      <c r="HED3" s="0"/>
      <c r="HEE3" s="0"/>
      <c r="HEF3" s="0"/>
      <c r="HEG3" s="0"/>
      <c r="HEH3" s="0"/>
      <c r="HEI3" s="0"/>
      <c r="HEJ3" s="0"/>
      <c r="HEK3" s="0"/>
      <c r="HEL3" s="0"/>
      <c r="HEM3" s="0"/>
      <c r="HEN3" s="0"/>
      <c r="HEO3" s="0"/>
      <c r="HEP3" s="0"/>
      <c r="HEQ3" s="0"/>
      <c r="HER3" s="0"/>
      <c r="HES3" s="0"/>
      <c r="HET3" s="0"/>
      <c r="HEU3" s="0"/>
      <c r="HEV3" s="0"/>
      <c r="HEW3" s="0"/>
      <c r="HEX3" s="0"/>
      <c r="HEY3" s="0"/>
      <c r="HEZ3" s="0"/>
      <c r="HFA3" s="0"/>
      <c r="HFB3" s="0"/>
      <c r="HFC3" s="0"/>
      <c r="HFD3" s="0"/>
      <c r="HFE3" s="0"/>
      <c r="HFF3" s="0"/>
      <c r="HFG3" s="0"/>
      <c r="HFH3" s="0"/>
      <c r="HFI3" s="0"/>
      <c r="HFJ3" s="0"/>
      <c r="HFK3" s="0"/>
      <c r="HFL3" s="0"/>
      <c r="HFM3" s="0"/>
      <c r="HFN3" s="0"/>
      <c r="HFO3" s="0"/>
      <c r="HFP3" s="0"/>
      <c r="HFQ3" s="0"/>
      <c r="HFR3" s="0"/>
      <c r="HFS3" s="0"/>
      <c r="HFT3" s="0"/>
      <c r="HFU3" s="0"/>
      <c r="HFV3" s="0"/>
      <c r="HFW3" s="0"/>
      <c r="HFX3" s="0"/>
      <c r="HFY3" s="0"/>
      <c r="HFZ3" s="0"/>
      <c r="HGA3" s="0"/>
      <c r="HGB3" s="0"/>
      <c r="HGC3" s="0"/>
      <c r="HGD3" s="0"/>
      <c r="HGE3" s="0"/>
      <c r="HGF3" s="0"/>
      <c r="HGG3" s="0"/>
      <c r="HGH3" s="0"/>
      <c r="HGI3" s="0"/>
      <c r="HGJ3" s="0"/>
      <c r="HGK3" s="0"/>
      <c r="HGL3" s="0"/>
      <c r="HGM3" s="0"/>
      <c r="HGN3" s="0"/>
      <c r="HGO3" s="0"/>
      <c r="HGP3" s="0"/>
      <c r="HGQ3" s="0"/>
      <c r="HGR3" s="0"/>
      <c r="HGS3" s="0"/>
      <c r="HGT3" s="0"/>
      <c r="HGU3" s="0"/>
      <c r="HGV3" s="0"/>
      <c r="HGW3" s="0"/>
      <c r="HGX3" s="0"/>
      <c r="HGY3" s="0"/>
      <c r="HGZ3" s="0"/>
      <c r="HHA3" s="0"/>
      <c r="HHB3" s="0"/>
      <c r="HHC3" s="0"/>
      <c r="HHD3" s="0"/>
      <c r="HHE3" s="0"/>
      <c r="HHF3" s="0"/>
      <c r="HHG3" s="0"/>
      <c r="HHH3" s="0"/>
      <c r="HHI3" s="0"/>
      <c r="HHJ3" s="0"/>
      <c r="HHK3" s="0"/>
      <c r="HHL3" s="0"/>
      <c r="HHM3" s="0"/>
      <c r="HHN3" s="0"/>
      <c r="HHO3" s="0"/>
      <c r="HHP3" s="0"/>
      <c r="HHQ3" s="0"/>
      <c r="HHR3" s="0"/>
      <c r="HHS3" s="0"/>
      <c r="HHT3" s="0"/>
      <c r="HHU3" s="0"/>
      <c r="HHV3" s="0"/>
      <c r="HHW3" s="0"/>
      <c r="HHX3" s="0"/>
      <c r="HHY3" s="0"/>
      <c r="HHZ3" s="0"/>
      <c r="HIA3" s="0"/>
      <c r="HIB3" s="0"/>
      <c r="HIC3" s="0"/>
      <c r="HID3" s="0"/>
      <c r="HIE3" s="0"/>
      <c r="HIF3" s="0"/>
      <c r="HIG3" s="0"/>
      <c r="HIH3" s="0"/>
      <c r="HII3" s="0"/>
      <c r="HIJ3" s="0"/>
      <c r="HIK3" s="0"/>
      <c r="HIL3" s="0"/>
      <c r="HIM3" s="0"/>
      <c r="HIN3" s="0"/>
      <c r="HIO3" s="0"/>
      <c r="HIP3" s="0"/>
      <c r="HIQ3" s="0"/>
      <c r="HIR3" s="0"/>
      <c r="HIS3" s="0"/>
      <c r="HIT3" s="0"/>
      <c r="HIU3" s="0"/>
      <c r="HIV3" s="0"/>
      <c r="HIW3" s="0"/>
      <c r="HIX3" s="0"/>
      <c r="HIY3" s="0"/>
      <c r="HIZ3" s="0"/>
      <c r="HJA3" s="0"/>
      <c r="HJB3" s="0"/>
      <c r="HJC3" s="0"/>
      <c r="HJD3" s="0"/>
      <c r="HJE3" s="0"/>
      <c r="HJF3" s="0"/>
      <c r="HJG3" s="0"/>
      <c r="HJH3" s="0"/>
      <c r="HJI3" s="0"/>
      <c r="HJJ3" s="0"/>
      <c r="HJK3" s="0"/>
      <c r="HJL3" s="0"/>
      <c r="HJM3" s="0"/>
      <c r="HJN3" s="0"/>
      <c r="HJO3" s="0"/>
      <c r="HJP3" s="0"/>
      <c r="HJQ3" s="0"/>
      <c r="HJR3" s="0"/>
      <c r="HJS3" s="0"/>
      <c r="HJT3" s="0"/>
      <c r="HJU3" s="0"/>
      <c r="HJV3" s="0"/>
      <c r="HJW3" s="0"/>
      <c r="HJX3" s="0"/>
      <c r="HJY3" s="0"/>
      <c r="HJZ3" s="0"/>
      <c r="HKA3" s="0"/>
      <c r="HKB3" s="0"/>
      <c r="HKC3" s="0"/>
      <c r="HKD3" s="0"/>
      <c r="HKE3" s="0"/>
      <c r="HKF3" s="0"/>
      <c r="HKG3" s="0"/>
      <c r="HKH3" s="0"/>
      <c r="HKI3" s="0"/>
      <c r="HKJ3" s="0"/>
      <c r="HKK3" s="0"/>
      <c r="HKL3" s="0"/>
      <c r="HKM3" s="0"/>
      <c r="HKN3" s="0"/>
      <c r="HKO3" s="0"/>
      <c r="HKP3" s="0"/>
      <c r="HKQ3" s="0"/>
      <c r="HKR3" s="0"/>
      <c r="HKS3" s="0"/>
      <c r="HKT3" s="0"/>
      <c r="HKU3" s="0"/>
      <c r="HKV3" s="0"/>
      <c r="HKW3" s="0"/>
      <c r="HKX3" s="0"/>
      <c r="HKY3" s="0"/>
      <c r="HKZ3" s="0"/>
      <c r="HLA3" s="0"/>
      <c r="HLB3" s="0"/>
      <c r="HLC3" s="0"/>
      <c r="HLD3" s="0"/>
      <c r="HLE3" s="0"/>
      <c r="HLF3" s="0"/>
      <c r="HLG3" s="0"/>
      <c r="HLH3" s="0"/>
      <c r="HLI3" s="0"/>
      <c r="HLJ3" s="0"/>
      <c r="HLK3" s="0"/>
      <c r="HLL3" s="0"/>
      <c r="HLM3" s="0"/>
      <c r="HLN3" s="0"/>
      <c r="HLO3" s="0"/>
      <c r="HLP3" s="0"/>
      <c r="HLQ3" s="0"/>
      <c r="HLR3" s="0"/>
      <c r="HLS3" s="0"/>
      <c r="HLT3" s="0"/>
      <c r="HLU3" s="0"/>
      <c r="HLV3" s="0"/>
      <c r="HLW3" s="0"/>
      <c r="HLX3" s="0"/>
      <c r="HLY3" s="0"/>
      <c r="HLZ3" s="0"/>
      <c r="HMA3" s="0"/>
      <c r="HMB3" s="0"/>
      <c r="HMC3" s="0"/>
      <c r="HMD3" s="0"/>
      <c r="HME3" s="0"/>
      <c r="HMF3" s="0"/>
      <c r="HMG3" s="0"/>
      <c r="HMH3" s="0"/>
      <c r="HMI3" s="0"/>
      <c r="HMJ3" s="0"/>
      <c r="HMK3" s="0"/>
      <c r="HML3" s="0"/>
      <c r="HMM3" s="0"/>
      <c r="HMN3" s="0"/>
      <c r="HMO3" s="0"/>
      <c r="HMP3" s="0"/>
      <c r="HMQ3" s="0"/>
      <c r="HMR3" s="0"/>
      <c r="HMS3" s="0"/>
      <c r="HMT3" s="0"/>
      <c r="HMU3" s="0"/>
      <c r="HMV3" s="0"/>
      <c r="HMW3" s="0"/>
      <c r="HMX3" s="0"/>
      <c r="HMY3" s="0"/>
      <c r="HMZ3" s="0"/>
      <c r="HNA3" s="0"/>
      <c r="HNB3" s="0"/>
      <c r="HNC3" s="0"/>
      <c r="HND3" s="0"/>
      <c r="HNE3" s="0"/>
      <c r="HNF3" s="0"/>
      <c r="HNG3" s="0"/>
      <c r="HNH3" s="0"/>
      <c r="HNI3" s="0"/>
      <c r="HNJ3" s="0"/>
      <c r="HNK3" s="0"/>
      <c r="HNL3" s="0"/>
      <c r="HNM3" s="0"/>
      <c r="HNN3" s="0"/>
      <c r="HNO3" s="0"/>
      <c r="HNP3" s="0"/>
      <c r="HNQ3" s="0"/>
      <c r="HNR3" s="0"/>
      <c r="HNS3" s="0"/>
      <c r="HNT3" s="0"/>
      <c r="HNU3" s="0"/>
      <c r="HNV3" s="0"/>
      <c r="HNW3" s="0"/>
      <c r="HNX3" s="0"/>
      <c r="HNY3" s="0"/>
      <c r="HNZ3" s="0"/>
      <c r="HOA3" s="0"/>
      <c r="HOB3" s="0"/>
      <c r="HOC3" s="0"/>
      <c r="HOD3" s="0"/>
      <c r="HOE3" s="0"/>
      <c r="HOF3" s="0"/>
      <c r="HOG3" s="0"/>
      <c r="HOH3" s="0"/>
      <c r="HOI3" s="0"/>
      <c r="HOJ3" s="0"/>
      <c r="HOK3" s="0"/>
      <c r="HOL3" s="0"/>
      <c r="HOM3" s="0"/>
      <c r="HON3" s="0"/>
      <c r="HOO3" s="0"/>
      <c r="HOP3" s="0"/>
      <c r="HOQ3" s="0"/>
      <c r="HOR3" s="0"/>
      <c r="HOS3" s="0"/>
      <c r="HOT3" s="0"/>
      <c r="HOU3" s="0"/>
      <c r="HOV3" s="0"/>
      <c r="HOW3" s="0"/>
      <c r="HOX3" s="0"/>
      <c r="HOY3" s="0"/>
      <c r="HOZ3" s="0"/>
      <c r="HPA3" s="0"/>
      <c r="HPB3" s="0"/>
      <c r="HPC3" s="0"/>
      <c r="HPD3" s="0"/>
      <c r="HPE3" s="0"/>
      <c r="HPF3" s="0"/>
      <c r="HPG3" s="0"/>
      <c r="HPH3" s="0"/>
      <c r="HPI3" s="0"/>
      <c r="HPJ3" s="0"/>
      <c r="HPK3" s="0"/>
      <c r="HPL3" s="0"/>
      <c r="HPM3" s="0"/>
      <c r="HPN3" s="0"/>
      <c r="HPO3" s="0"/>
      <c r="HPP3" s="0"/>
      <c r="HPQ3" s="0"/>
      <c r="HPR3" s="0"/>
      <c r="HPS3" s="0"/>
      <c r="HPT3" s="0"/>
      <c r="HPU3" s="0"/>
      <c r="HPV3" s="0"/>
      <c r="HPW3" s="0"/>
      <c r="HPX3" s="0"/>
      <c r="HPY3" s="0"/>
      <c r="HPZ3" s="0"/>
      <c r="HQA3" s="0"/>
      <c r="HQB3" s="0"/>
      <c r="HQC3" s="0"/>
      <c r="HQD3" s="0"/>
      <c r="HQE3" s="0"/>
      <c r="HQF3" s="0"/>
      <c r="HQG3" s="0"/>
      <c r="HQH3" s="0"/>
      <c r="HQI3" s="0"/>
      <c r="HQJ3" s="0"/>
      <c r="HQK3" s="0"/>
      <c r="HQL3" s="0"/>
      <c r="HQM3" s="0"/>
      <c r="HQN3" s="0"/>
      <c r="HQO3" s="0"/>
      <c r="HQP3" s="0"/>
      <c r="HQQ3" s="0"/>
      <c r="HQR3" s="0"/>
      <c r="HQS3" s="0"/>
      <c r="HQT3" s="0"/>
      <c r="HQU3" s="0"/>
      <c r="HQV3" s="0"/>
      <c r="HQW3" s="0"/>
      <c r="HQX3" s="0"/>
      <c r="HQY3" s="0"/>
      <c r="HQZ3" s="0"/>
      <c r="HRA3" s="0"/>
      <c r="HRB3" s="0"/>
      <c r="HRC3" s="0"/>
      <c r="HRD3" s="0"/>
      <c r="HRE3" s="0"/>
      <c r="HRF3" s="0"/>
      <c r="HRG3" s="0"/>
      <c r="HRH3" s="0"/>
      <c r="HRI3" s="0"/>
      <c r="HRJ3" s="0"/>
      <c r="HRK3" s="0"/>
      <c r="HRL3" s="0"/>
      <c r="HRM3" s="0"/>
      <c r="HRN3" s="0"/>
      <c r="HRO3" s="0"/>
      <c r="HRP3" s="0"/>
      <c r="HRQ3" s="0"/>
      <c r="HRR3" s="0"/>
      <c r="HRS3" s="0"/>
      <c r="HRT3" s="0"/>
      <c r="HRU3" s="0"/>
      <c r="HRV3" s="0"/>
      <c r="HRW3" s="0"/>
      <c r="HRX3" s="0"/>
      <c r="HRY3" s="0"/>
      <c r="HRZ3" s="0"/>
      <c r="HSA3" s="0"/>
      <c r="HSB3" s="0"/>
      <c r="HSC3" s="0"/>
      <c r="HSD3" s="0"/>
      <c r="HSE3" s="0"/>
      <c r="HSF3" s="0"/>
      <c r="HSG3" s="0"/>
      <c r="HSH3" s="0"/>
      <c r="HSI3" s="0"/>
      <c r="HSJ3" s="0"/>
      <c r="HSK3" s="0"/>
      <c r="HSL3" s="0"/>
      <c r="HSM3" s="0"/>
      <c r="HSN3" s="0"/>
      <c r="HSO3" s="0"/>
      <c r="HSP3" s="0"/>
      <c r="HSQ3" s="0"/>
      <c r="HSR3" s="0"/>
      <c r="HSS3" s="0"/>
      <c r="HST3" s="0"/>
      <c r="HSU3" s="0"/>
      <c r="HSV3" s="0"/>
      <c r="HSW3" s="0"/>
      <c r="HSX3" s="0"/>
      <c r="HSY3" s="0"/>
      <c r="HSZ3" s="0"/>
      <c r="HTA3" s="0"/>
      <c r="HTB3" s="0"/>
      <c r="HTC3" s="0"/>
      <c r="HTD3" s="0"/>
      <c r="HTE3" s="0"/>
      <c r="HTF3" s="0"/>
      <c r="HTG3" s="0"/>
      <c r="HTH3" s="0"/>
      <c r="HTI3" s="0"/>
      <c r="HTJ3" s="0"/>
      <c r="HTK3" s="0"/>
      <c r="HTL3" s="0"/>
      <c r="HTM3" s="0"/>
      <c r="HTN3" s="0"/>
      <c r="HTO3" s="0"/>
      <c r="HTP3" s="0"/>
      <c r="HTQ3" s="0"/>
      <c r="HTR3" s="0"/>
      <c r="HTS3" s="0"/>
      <c r="HTT3" s="0"/>
      <c r="HTU3" s="0"/>
      <c r="HTV3" s="0"/>
      <c r="HTW3" s="0"/>
      <c r="HTX3" s="0"/>
      <c r="HTY3" s="0"/>
      <c r="HTZ3" s="0"/>
      <c r="HUA3" s="0"/>
      <c r="HUB3" s="0"/>
      <c r="HUC3" s="0"/>
      <c r="HUD3" s="0"/>
      <c r="HUE3" s="0"/>
      <c r="HUF3" s="0"/>
      <c r="HUG3" s="0"/>
      <c r="HUH3" s="0"/>
      <c r="HUI3" s="0"/>
      <c r="HUJ3" s="0"/>
      <c r="HUK3" s="0"/>
      <c r="HUL3" s="0"/>
      <c r="HUM3" s="0"/>
      <c r="HUN3" s="0"/>
      <c r="HUO3" s="0"/>
      <c r="HUP3" s="0"/>
      <c r="HUQ3" s="0"/>
      <c r="HUR3" s="0"/>
      <c r="HUS3" s="0"/>
      <c r="HUT3" s="0"/>
      <c r="HUU3" s="0"/>
      <c r="HUV3" s="0"/>
      <c r="HUW3" s="0"/>
      <c r="HUX3" s="0"/>
      <c r="HUY3" s="0"/>
      <c r="HUZ3" s="0"/>
      <c r="HVA3" s="0"/>
      <c r="HVB3" s="0"/>
      <c r="HVC3" s="0"/>
      <c r="HVD3" s="0"/>
      <c r="HVE3" s="0"/>
      <c r="HVF3" s="0"/>
      <c r="HVG3" s="0"/>
      <c r="HVH3" s="0"/>
      <c r="HVI3" s="0"/>
      <c r="HVJ3" s="0"/>
      <c r="HVK3" s="0"/>
      <c r="HVL3" s="0"/>
      <c r="HVM3" s="0"/>
      <c r="HVN3" s="0"/>
      <c r="HVO3" s="0"/>
      <c r="HVP3" s="0"/>
      <c r="HVQ3" s="0"/>
      <c r="HVR3" s="0"/>
      <c r="HVS3" s="0"/>
      <c r="HVT3" s="0"/>
      <c r="HVU3" s="0"/>
      <c r="HVV3" s="0"/>
      <c r="HVW3" s="0"/>
      <c r="HVX3" s="0"/>
      <c r="HVY3" s="0"/>
      <c r="HVZ3" s="0"/>
      <c r="HWA3" s="0"/>
      <c r="HWB3" s="0"/>
      <c r="HWC3" s="0"/>
      <c r="HWD3" s="0"/>
      <c r="HWE3" s="0"/>
      <c r="HWF3" s="0"/>
      <c r="HWG3" s="0"/>
      <c r="HWH3" s="0"/>
      <c r="HWI3" s="0"/>
      <c r="HWJ3" s="0"/>
      <c r="HWK3" s="0"/>
      <c r="HWL3" s="0"/>
      <c r="HWM3" s="0"/>
      <c r="HWN3" s="0"/>
      <c r="HWO3" s="0"/>
      <c r="HWP3" s="0"/>
      <c r="HWQ3" s="0"/>
      <c r="HWR3" s="0"/>
      <c r="HWS3" s="0"/>
      <c r="HWT3" s="0"/>
      <c r="HWU3" s="0"/>
      <c r="HWV3" s="0"/>
      <c r="HWW3" s="0"/>
      <c r="HWX3" s="0"/>
      <c r="HWY3" s="0"/>
      <c r="HWZ3" s="0"/>
      <c r="HXA3" s="0"/>
      <c r="HXB3" s="0"/>
      <c r="HXC3" s="0"/>
      <c r="HXD3" s="0"/>
      <c r="HXE3" s="0"/>
      <c r="HXF3" s="0"/>
      <c r="HXG3" s="0"/>
      <c r="HXH3" s="0"/>
      <c r="HXI3" s="0"/>
      <c r="HXJ3" s="0"/>
      <c r="HXK3" s="0"/>
      <c r="HXL3" s="0"/>
      <c r="HXM3" s="0"/>
      <c r="HXN3" s="0"/>
      <c r="HXO3" s="0"/>
      <c r="HXP3" s="0"/>
      <c r="HXQ3" s="0"/>
      <c r="HXR3" s="0"/>
      <c r="HXS3" s="0"/>
      <c r="HXT3" s="0"/>
      <c r="HXU3" s="0"/>
      <c r="HXV3" s="0"/>
      <c r="HXW3" s="0"/>
      <c r="HXX3" s="0"/>
      <c r="HXY3" s="0"/>
      <c r="HXZ3" s="0"/>
      <c r="HYA3" s="0"/>
      <c r="HYB3" s="0"/>
      <c r="HYC3" s="0"/>
      <c r="HYD3" s="0"/>
      <c r="HYE3" s="0"/>
      <c r="HYF3" s="0"/>
      <c r="HYG3" s="0"/>
      <c r="HYH3" s="0"/>
      <c r="HYI3" s="0"/>
      <c r="HYJ3" s="0"/>
      <c r="HYK3" s="0"/>
      <c r="HYL3" s="0"/>
      <c r="HYM3" s="0"/>
      <c r="HYN3" s="0"/>
      <c r="HYO3" s="0"/>
      <c r="HYP3" s="0"/>
      <c r="HYQ3" s="0"/>
      <c r="HYR3" s="0"/>
      <c r="HYS3" s="0"/>
      <c r="HYT3" s="0"/>
      <c r="HYU3" s="0"/>
      <c r="HYV3" s="0"/>
      <c r="HYW3" s="0"/>
      <c r="HYX3" s="0"/>
      <c r="HYY3" s="0"/>
      <c r="HYZ3" s="0"/>
      <c r="HZA3" s="0"/>
      <c r="HZB3" s="0"/>
      <c r="HZC3" s="0"/>
      <c r="HZD3" s="0"/>
      <c r="HZE3" s="0"/>
      <c r="HZF3" s="0"/>
      <c r="HZG3" s="0"/>
      <c r="HZH3" s="0"/>
      <c r="HZI3" s="0"/>
      <c r="HZJ3" s="0"/>
      <c r="HZK3" s="0"/>
      <c r="HZL3" s="0"/>
      <c r="HZM3" s="0"/>
      <c r="HZN3" s="0"/>
      <c r="HZO3" s="0"/>
      <c r="HZP3" s="0"/>
      <c r="HZQ3" s="0"/>
      <c r="HZR3" s="0"/>
      <c r="HZS3" s="0"/>
      <c r="HZT3" s="0"/>
      <c r="HZU3" s="0"/>
      <c r="HZV3" s="0"/>
      <c r="HZW3" s="0"/>
      <c r="HZX3" s="0"/>
      <c r="HZY3" s="0"/>
      <c r="HZZ3" s="0"/>
      <c r="IAA3" s="0"/>
      <c r="IAB3" s="0"/>
      <c r="IAC3" s="0"/>
      <c r="IAD3" s="0"/>
      <c r="IAE3" s="0"/>
      <c r="IAF3" s="0"/>
      <c r="IAG3" s="0"/>
      <c r="IAH3" s="0"/>
      <c r="IAI3" s="0"/>
      <c r="IAJ3" s="0"/>
      <c r="IAK3" s="0"/>
      <c r="IAL3" s="0"/>
      <c r="IAM3" s="0"/>
      <c r="IAN3" s="0"/>
      <c r="IAO3" s="0"/>
      <c r="IAP3" s="0"/>
      <c r="IAQ3" s="0"/>
      <c r="IAR3" s="0"/>
      <c r="IAS3" s="0"/>
      <c r="IAT3" s="0"/>
      <c r="IAU3" s="0"/>
      <c r="IAV3" s="0"/>
      <c r="IAW3" s="0"/>
      <c r="IAX3" s="0"/>
      <c r="IAY3" s="0"/>
      <c r="IAZ3" s="0"/>
      <c r="IBA3" s="0"/>
      <c r="IBB3" s="0"/>
      <c r="IBC3" s="0"/>
      <c r="IBD3" s="0"/>
      <c r="IBE3" s="0"/>
      <c r="IBF3" s="0"/>
      <c r="IBG3" s="0"/>
      <c r="IBH3" s="0"/>
      <c r="IBI3" s="0"/>
      <c r="IBJ3" s="0"/>
      <c r="IBK3" s="0"/>
      <c r="IBL3" s="0"/>
      <c r="IBM3" s="0"/>
      <c r="IBN3" s="0"/>
      <c r="IBO3" s="0"/>
      <c r="IBP3" s="0"/>
      <c r="IBQ3" s="0"/>
      <c r="IBR3" s="0"/>
      <c r="IBS3" s="0"/>
      <c r="IBT3" s="0"/>
      <c r="IBU3" s="0"/>
      <c r="IBV3" s="0"/>
      <c r="IBW3" s="0"/>
      <c r="IBX3" s="0"/>
      <c r="IBY3" s="0"/>
      <c r="IBZ3" s="0"/>
      <c r="ICA3" s="0"/>
      <c r="ICB3" s="0"/>
      <c r="ICC3" s="0"/>
      <c r="ICD3" s="0"/>
      <c r="ICE3" s="0"/>
      <c r="ICF3" s="0"/>
      <c r="ICG3" s="0"/>
      <c r="ICH3" s="0"/>
      <c r="ICI3" s="0"/>
      <c r="ICJ3" s="0"/>
      <c r="ICK3" s="0"/>
      <c r="ICL3" s="0"/>
      <c r="ICM3" s="0"/>
      <c r="ICN3" s="0"/>
      <c r="ICO3" s="0"/>
      <c r="ICP3" s="0"/>
      <c r="ICQ3" s="0"/>
      <c r="ICR3" s="0"/>
      <c r="ICS3" s="0"/>
      <c r="ICT3" s="0"/>
      <c r="ICU3" s="0"/>
      <c r="ICV3" s="0"/>
      <c r="ICW3" s="0"/>
      <c r="ICX3" s="0"/>
      <c r="ICY3" s="0"/>
      <c r="ICZ3" s="0"/>
      <c r="IDA3" s="0"/>
      <c r="IDB3" s="0"/>
      <c r="IDC3" s="0"/>
      <c r="IDD3" s="0"/>
      <c r="IDE3" s="0"/>
      <c r="IDF3" s="0"/>
      <c r="IDG3" s="0"/>
      <c r="IDH3" s="0"/>
      <c r="IDI3" s="0"/>
      <c r="IDJ3" s="0"/>
      <c r="IDK3" s="0"/>
      <c r="IDL3" s="0"/>
      <c r="IDM3" s="0"/>
      <c r="IDN3" s="0"/>
      <c r="IDO3" s="0"/>
      <c r="IDP3" s="0"/>
      <c r="IDQ3" s="0"/>
      <c r="IDR3" s="0"/>
      <c r="IDS3" s="0"/>
      <c r="IDT3" s="0"/>
      <c r="IDU3" s="0"/>
      <c r="IDV3" s="0"/>
      <c r="IDW3" s="0"/>
      <c r="IDX3" s="0"/>
      <c r="IDY3" s="0"/>
      <c r="IDZ3" s="0"/>
      <c r="IEA3" s="0"/>
      <c r="IEB3" s="0"/>
      <c r="IEC3" s="0"/>
      <c r="IED3" s="0"/>
      <c r="IEE3" s="0"/>
      <c r="IEF3" s="0"/>
      <c r="IEG3" s="0"/>
      <c r="IEH3" s="0"/>
      <c r="IEI3" s="0"/>
      <c r="IEJ3" s="0"/>
      <c r="IEK3" s="0"/>
      <c r="IEL3" s="0"/>
      <c r="IEM3" s="0"/>
      <c r="IEN3" s="0"/>
      <c r="IEO3" s="0"/>
      <c r="IEP3" s="0"/>
      <c r="IEQ3" s="0"/>
      <c r="IER3" s="0"/>
      <c r="IES3" s="0"/>
      <c r="IET3" s="0"/>
      <c r="IEU3" s="0"/>
      <c r="IEV3" s="0"/>
      <c r="IEW3" s="0"/>
      <c r="IEX3" s="0"/>
      <c r="IEY3" s="0"/>
      <c r="IEZ3" s="0"/>
      <c r="IFA3" s="0"/>
      <c r="IFB3" s="0"/>
      <c r="IFC3" s="0"/>
      <c r="IFD3" s="0"/>
      <c r="IFE3" s="0"/>
      <c r="IFF3" s="0"/>
      <c r="IFG3" s="0"/>
      <c r="IFH3" s="0"/>
      <c r="IFI3" s="0"/>
      <c r="IFJ3" s="0"/>
      <c r="IFK3" s="0"/>
      <c r="IFL3" s="0"/>
      <c r="IFM3" s="0"/>
      <c r="IFN3" s="0"/>
      <c r="IFO3" s="0"/>
      <c r="IFP3" s="0"/>
      <c r="IFQ3" s="0"/>
      <c r="IFR3" s="0"/>
      <c r="IFS3" s="0"/>
      <c r="IFT3" s="0"/>
      <c r="IFU3" s="0"/>
      <c r="IFV3" s="0"/>
      <c r="IFW3" s="0"/>
      <c r="IFX3" s="0"/>
      <c r="IFY3" s="0"/>
      <c r="IFZ3" s="0"/>
      <c r="IGA3" s="0"/>
      <c r="IGB3" s="0"/>
      <c r="IGC3" s="0"/>
      <c r="IGD3" s="0"/>
      <c r="IGE3" s="0"/>
      <c r="IGF3" s="0"/>
      <c r="IGG3" s="0"/>
      <c r="IGH3" s="0"/>
      <c r="IGI3" s="0"/>
      <c r="IGJ3" s="0"/>
      <c r="IGK3" s="0"/>
      <c r="IGL3" s="0"/>
      <c r="IGM3" s="0"/>
      <c r="IGN3" s="0"/>
      <c r="IGO3" s="0"/>
      <c r="IGP3" s="0"/>
      <c r="IGQ3" s="0"/>
      <c r="IGR3" s="0"/>
      <c r="IGS3" s="0"/>
      <c r="IGT3" s="0"/>
      <c r="IGU3" s="0"/>
      <c r="IGV3" s="0"/>
      <c r="IGW3" s="0"/>
      <c r="IGX3" s="0"/>
      <c r="IGY3" s="0"/>
      <c r="IGZ3" s="0"/>
      <c r="IHA3" s="0"/>
      <c r="IHB3" s="0"/>
      <c r="IHC3" s="0"/>
      <c r="IHD3" s="0"/>
      <c r="IHE3" s="0"/>
      <c r="IHF3" s="0"/>
      <c r="IHG3" s="0"/>
      <c r="IHH3" s="0"/>
      <c r="IHI3" s="0"/>
      <c r="IHJ3" s="0"/>
      <c r="IHK3" s="0"/>
      <c r="IHL3" s="0"/>
      <c r="IHM3" s="0"/>
      <c r="IHN3" s="0"/>
      <c r="IHO3" s="0"/>
      <c r="IHP3" s="0"/>
      <c r="IHQ3" s="0"/>
      <c r="IHR3" s="0"/>
      <c r="IHS3" s="0"/>
      <c r="IHT3" s="0"/>
      <c r="IHU3" s="0"/>
      <c r="IHV3" s="0"/>
      <c r="IHW3" s="0"/>
      <c r="IHX3" s="0"/>
      <c r="IHY3" s="0"/>
      <c r="IHZ3" s="0"/>
      <c r="IIA3" s="0"/>
      <c r="IIB3" s="0"/>
      <c r="IIC3" s="0"/>
      <c r="IID3" s="0"/>
      <c r="IIE3" s="0"/>
      <c r="IIF3" s="0"/>
      <c r="IIG3" s="0"/>
      <c r="IIH3" s="0"/>
      <c r="III3" s="0"/>
      <c r="IIJ3" s="0"/>
      <c r="IIK3" s="0"/>
      <c r="IIL3" s="0"/>
      <c r="IIM3" s="0"/>
      <c r="IIN3" s="0"/>
      <c r="IIO3" s="0"/>
      <c r="IIP3" s="0"/>
      <c r="IIQ3" s="0"/>
      <c r="IIR3" s="0"/>
      <c r="IIS3" s="0"/>
      <c r="IIT3" s="0"/>
      <c r="IIU3" s="0"/>
      <c r="IIV3" s="0"/>
      <c r="IIW3" s="0"/>
      <c r="IIX3" s="0"/>
      <c r="IIY3" s="0"/>
      <c r="IIZ3" s="0"/>
      <c r="IJA3" s="0"/>
      <c r="IJB3" s="0"/>
      <c r="IJC3" s="0"/>
      <c r="IJD3" s="0"/>
      <c r="IJE3" s="0"/>
      <c r="IJF3" s="0"/>
      <c r="IJG3" s="0"/>
      <c r="IJH3" s="0"/>
      <c r="IJI3" s="0"/>
      <c r="IJJ3" s="0"/>
      <c r="IJK3" s="0"/>
      <c r="IJL3" s="0"/>
      <c r="IJM3" s="0"/>
      <c r="IJN3" s="0"/>
      <c r="IJO3" s="0"/>
      <c r="IJP3" s="0"/>
      <c r="IJQ3" s="0"/>
      <c r="IJR3" s="0"/>
      <c r="IJS3" s="0"/>
      <c r="IJT3" s="0"/>
      <c r="IJU3" s="0"/>
      <c r="IJV3" s="0"/>
      <c r="IJW3" s="0"/>
      <c r="IJX3" s="0"/>
      <c r="IJY3" s="0"/>
      <c r="IJZ3" s="0"/>
      <c r="IKA3" s="0"/>
      <c r="IKB3" s="0"/>
      <c r="IKC3" s="0"/>
      <c r="IKD3" s="0"/>
      <c r="IKE3" s="0"/>
      <c r="IKF3" s="0"/>
      <c r="IKG3" s="0"/>
      <c r="IKH3" s="0"/>
      <c r="IKI3" s="0"/>
      <c r="IKJ3" s="0"/>
      <c r="IKK3" s="0"/>
      <c r="IKL3" s="0"/>
      <c r="IKM3" s="0"/>
      <c r="IKN3" s="0"/>
      <c r="IKO3" s="0"/>
      <c r="IKP3" s="0"/>
      <c r="IKQ3" s="0"/>
      <c r="IKR3" s="0"/>
      <c r="IKS3" s="0"/>
      <c r="IKT3" s="0"/>
      <c r="IKU3" s="0"/>
      <c r="IKV3" s="0"/>
      <c r="IKW3" s="0"/>
      <c r="IKX3" s="0"/>
      <c r="IKY3" s="0"/>
      <c r="IKZ3" s="0"/>
      <c r="ILA3" s="0"/>
      <c r="ILB3" s="0"/>
      <c r="ILC3" s="0"/>
      <c r="ILD3" s="0"/>
      <c r="ILE3" s="0"/>
      <c r="ILF3" s="0"/>
      <c r="ILG3" s="0"/>
      <c r="ILH3" s="0"/>
      <c r="ILI3" s="0"/>
      <c r="ILJ3" s="0"/>
      <c r="ILK3" s="0"/>
      <c r="ILL3" s="0"/>
      <c r="ILM3" s="0"/>
      <c r="ILN3" s="0"/>
      <c r="ILO3" s="0"/>
      <c r="ILP3" s="0"/>
      <c r="ILQ3" s="0"/>
      <c r="ILR3" s="0"/>
      <c r="ILS3" s="0"/>
      <c r="ILT3" s="0"/>
      <c r="ILU3" s="0"/>
      <c r="ILV3" s="0"/>
      <c r="ILW3" s="0"/>
      <c r="ILX3" s="0"/>
      <c r="ILY3" s="0"/>
      <c r="ILZ3" s="0"/>
      <c r="IMA3" s="0"/>
      <c r="IMB3" s="0"/>
      <c r="IMC3" s="0"/>
      <c r="IMD3" s="0"/>
      <c r="IME3" s="0"/>
      <c r="IMF3" s="0"/>
      <c r="IMG3" s="0"/>
      <c r="IMH3" s="0"/>
      <c r="IMI3" s="0"/>
      <c r="IMJ3" s="0"/>
      <c r="IMK3" s="0"/>
      <c r="IML3" s="0"/>
      <c r="IMM3" s="0"/>
      <c r="IMN3" s="0"/>
      <c r="IMO3" s="0"/>
      <c r="IMP3" s="0"/>
      <c r="IMQ3" s="0"/>
      <c r="IMR3" s="0"/>
      <c r="IMS3" s="0"/>
      <c r="IMT3" s="0"/>
      <c r="IMU3" s="0"/>
      <c r="IMV3" s="0"/>
      <c r="IMW3" s="0"/>
      <c r="IMX3" s="0"/>
      <c r="IMY3" s="0"/>
      <c r="IMZ3" s="0"/>
      <c r="INA3" s="0"/>
      <c r="INB3" s="0"/>
      <c r="INC3" s="0"/>
      <c r="IND3" s="0"/>
      <c r="INE3" s="0"/>
      <c r="INF3" s="0"/>
      <c r="ING3" s="0"/>
      <c r="INH3" s="0"/>
      <c r="INI3" s="0"/>
      <c r="INJ3" s="0"/>
      <c r="INK3" s="0"/>
      <c r="INL3" s="0"/>
      <c r="INM3" s="0"/>
      <c r="INN3" s="0"/>
      <c r="INO3" s="0"/>
      <c r="INP3" s="0"/>
      <c r="INQ3" s="0"/>
      <c r="INR3" s="0"/>
      <c r="INS3" s="0"/>
      <c r="INT3" s="0"/>
      <c r="INU3" s="0"/>
      <c r="INV3" s="0"/>
      <c r="INW3" s="0"/>
      <c r="INX3" s="0"/>
      <c r="INY3" s="0"/>
      <c r="INZ3" s="0"/>
      <c r="IOA3" s="0"/>
      <c r="IOB3" s="0"/>
      <c r="IOC3" s="0"/>
      <c r="IOD3" s="0"/>
      <c r="IOE3" s="0"/>
      <c r="IOF3" s="0"/>
      <c r="IOG3" s="0"/>
      <c r="IOH3" s="0"/>
      <c r="IOI3" s="0"/>
      <c r="IOJ3" s="0"/>
      <c r="IOK3" s="0"/>
      <c r="IOL3" s="0"/>
      <c r="IOM3" s="0"/>
      <c r="ION3" s="0"/>
      <c r="IOO3" s="0"/>
      <c r="IOP3" s="0"/>
      <c r="IOQ3" s="0"/>
      <c r="IOR3" s="0"/>
      <c r="IOS3" s="0"/>
      <c r="IOT3" s="0"/>
      <c r="IOU3" s="0"/>
      <c r="IOV3" s="0"/>
      <c r="IOW3" s="0"/>
      <c r="IOX3" s="0"/>
      <c r="IOY3" s="0"/>
      <c r="IOZ3" s="0"/>
      <c r="IPA3" s="0"/>
      <c r="IPB3" s="0"/>
      <c r="IPC3" s="0"/>
      <c r="IPD3" s="0"/>
      <c r="IPE3" s="0"/>
      <c r="IPF3" s="0"/>
      <c r="IPG3" s="0"/>
      <c r="IPH3" s="0"/>
      <c r="IPI3" s="0"/>
      <c r="IPJ3" s="0"/>
      <c r="IPK3" s="0"/>
      <c r="IPL3" s="0"/>
      <c r="IPM3" s="0"/>
      <c r="IPN3" s="0"/>
      <c r="IPO3" s="0"/>
      <c r="IPP3" s="0"/>
      <c r="IPQ3" s="0"/>
      <c r="IPR3" s="0"/>
      <c r="IPS3" s="0"/>
      <c r="IPT3" s="0"/>
      <c r="IPU3" s="0"/>
      <c r="IPV3" s="0"/>
      <c r="IPW3" s="0"/>
      <c r="IPX3" s="0"/>
      <c r="IPY3" s="0"/>
      <c r="IPZ3" s="0"/>
      <c r="IQA3" s="0"/>
      <c r="IQB3" s="0"/>
      <c r="IQC3" s="0"/>
      <c r="IQD3" s="0"/>
      <c r="IQE3" s="0"/>
      <c r="IQF3" s="0"/>
      <c r="IQG3" s="0"/>
      <c r="IQH3" s="0"/>
      <c r="IQI3" s="0"/>
      <c r="IQJ3" s="0"/>
      <c r="IQK3" s="0"/>
      <c r="IQL3" s="0"/>
      <c r="IQM3" s="0"/>
      <c r="IQN3" s="0"/>
      <c r="IQO3" s="0"/>
      <c r="IQP3" s="0"/>
      <c r="IQQ3" s="0"/>
      <c r="IQR3" s="0"/>
      <c r="IQS3" s="0"/>
      <c r="IQT3" s="0"/>
      <c r="IQU3" s="0"/>
      <c r="IQV3" s="0"/>
      <c r="IQW3" s="0"/>
      <c r="IQX3" s="0"/>
      <c r="IQY3" s="0"/>
      <c r="IQZ3" s="0"/>
      <c r="IRA3" s="0"/>
      <c r="IRB3" s="0"/>
      <c r="IRC3" s="0"/>
      <c r="IRD3" s="0"/>
      <c r="IRE3" s="0"/>
      <c r="IRF3" s="0"/>
      <c r="IRG3" s="0"/>
      <c r="IRH3" s="0"/>
      <c r="IRI3" s="0"/>
      <c r="IRJ3" s="0"/>
      <c r="IRK3" s="0"/>
      <c r="IRL3" s="0"/>
      <c r="IRM3" s="0"/>
      <c r="IRN3" s="0"/>
      <c r="IRO3" s="0"/>
      <c r="IRP3" s="0"/>
      <c r="IRQ3" s="0"/>
      <c r="IRR3" s="0"/>
      <c r="IRS3" s="0"/>
      <c r="IRT3" s="0"/>
      <c r="IRU3" s="0"/>
      <c r="IRV3" s="0"/>
      <c r="IRW3" s="0"/>
      <c r="IRX3" s="0"/>
      <c r="IRY3" s="0"/>
      <c r="IRZ3" s="0"/>
      <c r="ISA3" s="0"/>
      <c r="ISB3" s="0"/>
      <c r="ISC3" s="0"/>
      <c r="ISD3" s="0"/>
      <c r="ISE3" s="0"/>
      <c r="ISF3" s="0"/>
      <c r="ISG3" s="0"/>
      <c r="ISH3" s="0"/>
      <c r="ISI3" s="0"/>
      <c r="ISJ3" s="0"/>
      <c r="ISK3" s="0"/>
      <c r="ISL3" s="0"/>
      <c r="ISM3" s="0"/>
      <c r="ISN3" s="0"/>
      <c r="ISO3" s="0"/>
      <c r="ISP3" s="0"/>
      <c r="ISQ3" s="0"/>
      <c r="ISR3" s="0"/>
      <c r="ISS3" s="0"/>
      <c r="IST3" s="0"/>
      <c r="ISU3" s="0"/>
      <c r="ISV3" s="0"/>
      <c r="ISW3" s="0"/>
      <c r="ISX3" s="0"/>
      <c r="ISY3" s="0"/>
      <c r="ISZ3" s="0"/>
      <c r="ITA3" s="0"/>
      <c r="ITB3" s="0"/>
      <c r="ITC3" s="0"/>
      <c r="ITD3" s="0"/>
      <c r="ITE3" s="0"/>
      <c r="ITF3" s="0"/>
      <c r="ITG3" s="0"/>
      <c r="ITH3" s="0"/>
      <c r="ITI3" s="0"/>
      <c r="ITJ3" s="0"/>
      <c r="ITK3" s="0"/>
      <c r="ITL3" s="0"/>
      <c r="ITM3" s="0"/>
      <c r="ITN3" s="0"/>
      <c r="ITO3" s="0"/>
      <c r="ITP3" s="0"/>
      <c r="ITQ3" s="0"/>
      <c r="ITR3" s="0"/>
      <c r="ITS3" s="0"/>
      <c r="ITT3" s="0"/>
      <c r="ITU3" s="0"/>
      <c r="ITV3" s="0"/>
      <c r="ITW3" s="0"/>
      <c r="ITX3" s="0"/>
      <c r="ITY3" s="0"/>
      <c r="ITZ3" s="0"/>
      <c r="IUA3" s="0"/>
      <c r="IUB3" s="0"/>
      <c r="IUC3" s="0"/>
      <c r="IUD3" s="0"/>
      <c r="IUE3" s="0"/>
      <c r="IUF3" s="0"/>
      <c r="IUG3" s="0"/>
      <c r="IUH3" s="0"/>
      <c r="IUI3" s="0"/>
      <c r="IUJ3" s="0"/>
      <c r="IUK3" s="0"/>
      <c r="IUL3" s="0"/>
      <c r="IUM3" s="0"/>
      <c r="IUN3" s="0"/>
      <c r="IUO3" s="0"/>
      <c r="IUP3" s="0"/>
      <c r="IUQ3" s="0"/>
      <c r="IUR3" s="0"/>
      <c r="IUS3" s="0"/>
      <c r="IUT3" s="0"/>
      <c r="IUU3" s="0"/>
      <c r="IUV3" s="0"/>
      <c r="IUW3" s="0"/>
      <c r="IUX3" s="0"/>
      <c r="IUY3" s="0"/>
      <c r="IUZ3" s="0"/>
      <c r="IVA3" s="0"/>
      <c r="IVB3" s="0"/>
      <c r="IVC3" s="0"/>
      <c r="IVD3" s="0"/>
      <c r="IVE3" s="0"/>
      <c r="IVF3" s="0"/>
      <c r="IVG3" s="0"/>
      <c r="IVH3" s="0"/>
      <c r="IVI3" s="0"/>
      <c r="IVJ3" s="0"/>
      <c r="IVK3" s="0"/>
      <c r="IVL3" s="0"/>
      <c r="IVM3" s="0"/>
      <c r="IVN3" s="0"/>
      <c r="IVO3" s="0"/>
      <c r="IVP3" s="0"/>
      <c r="IVQ3" s="0"/>
      <c r="IVR3" s="0"/>
      <c r="IVS3" s="0"/>
      <c r="IVT3" s="0"/>
      <c r="IVU3" s="0"/>
      <c r="IVV3" s="0"/>
      <c r="IVW3" s="0"/>
      <c r="IVX3" s="0"/>
      <c r="IVY3" s="0"/>
      <c r="IVZ3" s="0"/>
      <c r="IWA3" s="0"/>
      <c r="IWB3" s="0"/>
      <c r="IWC3" s="0"/>
      <c r="IWD3" s="0"/>
      <c r="IWE3" s="0"/>
      <c r="IWF3" s="0"/>
      <c r="IWG3" s="0"/>
      <c r="IWH3" s="0"/>
      <c r="IWI3" s="0"/>
      <c r="IWJ3" s="0"/>
      <c r="IWK3" s="0"/>
      <c r="IWL3" s="0"/>
      <c r="IWM3" s="0"/>
      <c r="IWN3" s="0"/>
      <c r="IWO3" s="0"/>
      <c r="IWP3" s="0"/>
      <c r="IWQ3" s="0"/>
      <c r="IWR3" s="0"/>
      <c r="IWS3" s="0"/>
      <c r="IWT3" s="0"/>
      <c r="IWU3" s="0"/>
      <c r="IWV3" s="0"/>
      <c r="IWW3" s="0"/>
      <c r="IWX3" s="0"/>
      <c r="IWY3" s="0"/>
      <c r="IWZ3" s="0"/>
      <c r="IXA3" s="0"/>
      <c r="IXB3" s="0"/>
      <c r="IXC3" s="0"/>
      <c r="IXD3" s="0"/>
      <c r="IXE3" s="0"/>
      <c r="IXF3" s="0"/>
      <c r="IXG3" s="0"/>
      <c r="IXH3" s="0"/>
      <c r="IXI3" s="0"/>
      <c r="IXJ3" s="0"/>
      <c r="IXK3" s="0"/>
      <c r="IXL3" s="0"/>
      <c r="IXM3" s="0"/>
      <c r="IXN3" s="0"/>
      <c r="IXO3" s="0"/>
      <c r="IXP3" s="0"/>
      <c r="IXQ3" s="0"/>
      <c r="IXR3" s="0"/>
      <c r="IXS3" s="0"/>
      <c r="IXT3" s="0"/>
      <c r="IXU3" s="0"/>
      <c r="IXV3" s="0"/>
      <c r="IXW3" s="0"/>
      <c r="IXX3" s="0"/>
      <c r="IXY3" s="0"/>
      <c r="IXZ3" s="0"/>
      <c r="IYA3" s="0"/>
      <c r="IYB3" s="0"/>
      <c r="IYC3" s="0"/>
      <c r="IYD3" s="0"/>
      <c r="IYE3" s="0"/>
      <c r="IYF3" s="0"/>
      <c r="IYG3" s="0"/>
      <c r="IYH3" s="0"/>
      <c r="IYI3" s="0"/>
      <c r="IYJ3" s="0"/>
      <c r="IYK3" s="0"/>
      <c r="IYL3" s="0"/>
      <c r="IYM3" s="0"/>
      <c r="IYN3" s="0"/>
      <c r="IYO3" s="0"/>
      <c r="IYP3" s="0"/>
      <c r="IYQ3" s="0"/>
      <c r="IYR3" s="0"/>
      <c r="IYS3" s="0"/>
      <c r="IYT3" s="0"/>
      <c r="IYU3" s="0"/>
      <c r="IYV3" s="0"/>
      <c r="IYW3" s="0"/>
      <c r="IYX3" s="0"/>
      <c r="IYY3" s="0"/>
      <c r="IYZ3" s="0"/>
      <c r="IZA3" s="0"/>
      <c r="IZB3" s="0"/>
      <c r="IZC3" s="0"/>
      <c r="IZD3" s="0"/>
      <c r="IZE3" s="0"/>
      <c r="IZF3" s="0"/>
      <c r="IZG3" s="0"/>
      <c r="IZH3" s="0"/>
      <c r="IZI3" s="0"/>
      <c r="IZJ3" s="0"/>
      <c r="IZK3" s="0"/>
      <c r="IZL3" s="0"/>
      <c r="IZM3" s="0"/>
      <c r="IZN3" s="0"/>
      <c r="IZO3" s="0"/>
      <c r="IZP3" s="0"/>
      <c r="IZQ3" s="0"/>
      <c r="IZR3" s="0"/>
      <c r="IZS3" s="0"/>
      <c r="IZT3" s="0"/>
      <c r="IZU3" s="0"/>
      <c r="IZV3" s="0"/>
      <c r="IZW3" s="0"/>
      <c r="IZX3" s="0"/>
      <c r="IZY3" s="0"/>
      <c r="IZZ3" s="0"/>
      <c r="JAA3" s="0"/>
      <c r="JAB3" s="0"/>
      <c r="JAC3" s="0"/>
      <c r="JAD3" s="0"/>
      <c r="JAE3" s="0"/>
      <c r="JAF3" s="0"/>
      <c r="JAG3" s="0"/>
      <c r="JAH3" s="0"/>
      <c r="JAI3" s="0"/>
      <c r="JAJ3" s="0"/>
      <c r="JAK3" s="0"/>
      <c r="JAL3" s="0"/>
      <c r="JAM3" s="0"/>
      <c r="JAN3" s="0"/>
      <c r="JAO3" s="0"/>
      <c r="JAP3" s="0"/>
      <c r="JAQ3" s="0"/>
      <c r="JAR3" s="0"/>
      <c r="JAS3" s="0"/>
      <c r="JAT3" s="0"/>
      <c r="JAU3" s="0"/>
      <c r="JAV3" s="0"/>
      <c r="JAW3" s="0"/>
      <c r="JAX3" s="0"/>
      <c r="JAY3" s="0"/>
      <c r="JAZ3" s="0"/>
      <c r="JBA3" s="0"/>
      <c r="JBB3" s="0"/>
      <c r="JBC3" s="0"/>
      <c r="JBD3" s="0"/>
      <c r="JBE3" s="0"/>
      <c r="JBF3" s="0"/>
      <c r="JBG3" s="0"/>
      <c r="JBH3" s="0"/>
      <c r="JBI3" s="0"/>
      <c r="JBJ3" s="0"/>
      <c r="JBK3" s="0"/>
      <c r="JBL3" s="0"/>
      <c r="JBM3" s="0"/>
      <c r="JBN3" s="0"/>
      <c r="JBO3" s="0"/>
      <c r="JBP3" s="0"/>
      <c r="JBQ3" s="0"/>
      <c r="JBR3" s="0"/>
      <c r="JBS3" s="0"/>
      <c r="JBT3" s="0"/>
      <c r="JBU3" s="0"/>
      <c r="JBV3" s="0"/>
      <c r="JBW3" s="0"/>
      <c r="JBX3" s="0"/>
      <c r="JBY3" s="0"/>
      <c r="JBZ3" s="0"/>
      <c r="JCA3" s="0"/>
      <c r="JCB3" s="0"/>
      <c r="JCC3" s="0"/>
      <c r="JCD3" s="0"/>
      <c r="JCE3" s="0"/>
      <c r="JCF3" s="0"/>
      <c r="JCG3" s="0"/>
      <c r="JCH3" s="0"/>
      <c r="JCI3" s="0"/>
      <c r="JCJ3" s="0"/>
      <c r="JCK3" s="0"/>
      <c r="JCL3" s="0"/>
      <c r="JCM3" s="0"/>
      <c r="JCN3" s="0"/>
      <c r="JCO3" s="0"/>
      <c r="JCP3" s="0"/>
      <c r="JCQ3" s="0"/>
      <c r="JCR3" s="0"/>
      <c r="JCS3" s="0"/>
      <c r="JCT3" s="0"/>
      <c r="JCU3" s="0"/>
      <c r="JCV3" s="0"/>
      <c r="JCW3" s="0"/>
      <c r="JCX3" s="0"/>
      <c r="JCY3" s="0"/>
      <c r="JCZ3" s="0"/>
      <c r="JDA3" s="0"/>
      <c r="JDB3" s="0"/>
      <c r="JDC3" s="0"/>
      <c r="JDD3" s="0"/>
      <c r="JDE3" s="0"/>
      <c r="JDF3" s="0"/>
      <c r="JDG3" s="0"/>
      <c r="JDH3" s="0"/>
      <c r="JDI3" s="0"/>
      <c r="JDJ3" s="0"/>
      <c r="JDK3" s="0"/>
      <c r="JDL3" s="0"/>
      <c r="JDM3" s="0"/>
      <c r="JDN3" s="0"/>
      <c r="JDO3" s="0"/>
      <c r="JDP3" s="0"/>
      <c r="JDQ3" s="0"/>
      <c r="JDR3" s="0"/>
      <c r="JDS3" s="0"/>
      <c r="JDT3" s="0"/>
      <c r="JDU3" s="0"/>
      <c r="JDV3" s="0"/>
      <c r="JDW3" s="0"/>
      <c r="JDX3" s="0"/>
      <c r="JDY3" s="0"/>
      <c r="JDZ3" s="0"/>
      <c r="JEA3" s="0"/>
      <c r="JEB3" s="0"/>
      <c r="JEC3" s="0"/>
      <c r="JED3" s="0"/>
      <c r="JEE3" s="0"/>
      <c r="JEF3" s="0"/>
      <c r="JEG3" s="0"/>
      <c r="JEH3" s="0"/>
      <c r="JEI3" s="0"/>
      <c r="JEJ3" s="0"/>
      <c r="JEK3" s="0"/>
      <c r="JEL3" s="0"/>
      <c r="JEM3" s="0"/>
      <c r="JEN3" s="0"/>
      <c r="JEO3" s="0"/>
      <c r="JEP3" s="0"/>
      <c r="JEQ3" s="0"/>
      <c r="JER3" s="0"/>
      <c r="JES3" s="0"/>
      <c r="JET3" s="0"/>
      <c r="JEU3" s="0"/>
      <c r="JEV3" s="0"/>
      <c r="JEW3" s="0"/>
      <c r="JEX3" s="0"/>
      <c r="JEY3" s="0"/>
      <c r="JEZ3" s="0"/>
      <c r="JFA3" s="0"/>
      <c r="JFB3" s="0"/>
      <c r="JFC3" s="0"/>
      <c r="JFD3" s="0"/>
      <c r="JFE3" s="0"/>
      <c r="JFF3" s="0"/>
      <c r="JFG3" s="0"/>
      <c r="JFH3" s="0"/>
      <c r="JFI3" s="0"/>
      <c r="JFJ3" s="0"/>
      <c r="JFK3" s="0"/>
      <c r="JFL3" s="0"/>
      <c r="JFM3" s="0"/>
      <c r="JFN3" s="0"/>
      <c r="JFO3" s="0"/>
      <c r="JFP3" s="0"/>
      <c r="JFQ3" s="0"/>
      <c r="JFR3" s="0"/>
      <c r="JFS3" s="0"/>
      <c r="JFT3" s="0"/>
      <c r="JFU3" s="0"/>
      <c r="JFV3" s="0"/>
      <c r="JFW3" s="0"/>
      <c r="JFX3" s="0"/>
      <c r="JFY3" s="0"/>
      <c r="JFZ3" s="0"/>
      <c r="JGA3" s="0"/>
      <c r="JGB3" s="0"/>
      <c r="JGC3" s="0"/>
      <c r="JGD3" s="0"/>
      <c r="JGE3" s="0"/>
      <c r="JGF3" s="0"/>
      <c r="JGG3" s="0"/>
      <c r="JGH3" s="0"/>
      <c r="JGI3" s="0"/>
      <c r="JGJ3" s="0"/>
      <c r="JGK3" s="0"/>
      <c r="JGL3" s="0"/>
      <c r="JGM3" s="0"/>
      <c r="JGN3" s="0"/>
      <c r="JGO3" s="0"/>
      <c r="JGP3" s="0"/>
      <c r="JGQ3" s="0"/>
      <c r="JGR3" s="0"/>
      <c r="JGS3" s="0"/>
      <c r="JGT3" s="0"/>
      <c r="JGU3" s="0"/>
      <c r="JGV3" s="0"/>
      <c r="JGW3" s="0"/>
      <c r="JGX3" s="0"/>
      <c r="JGY3" s="0"/>
      <c r="JGZ3" s="0"/>
      <c r="JHA3" s="0"/>
      <c r="JHB3" s="0"/>
      <c r="JHC3" s="0"/>
      <c r="JHD3" s="0"/>
      <c r="JHE3" s="0"/>
      <c r="JHF3" s="0"/>
      <c r="JHG3" s="0"/>
      <c r="JHH3" s="0"/>
      <c r="JHI3" s="0"/>
      <c r="JHJ3" s="0"/>
      <c r="JHK3" s="0"/>
      <c r="JHL3" s="0"/>
      <c r="JHM3" s="0"/>
      <c r="JHN3" s="0"/>
      <c r="JHO3" s="0"/>
      <c r="JHP3" s="0"/>
      <c r="JHQ3" s="0"/>
      <c r="JHR3" s="0"/>
      <c r="JHS3" s="0"/>
      <c r="JHT3" s="0"/>
      <c r="JHU3" s="0"/>
      <c r="JHV3" s="0"/>
      <c r="JHW3" s="0"/>
      <c r="JHX3" s="0"/>
      <c r="JHY3" s="0"/>
      <c r="JHZ3" s="0"/>
      <c r="JIA3" s="0"/>
      <c r="JIB3" s="0"/>
      <c r="JIC3" s="0"/>
      <c r="JID3" s="0"/>
      <c r="JIE3" s="0"/>
      <c r="JIF3" s="0"/>
      <c r="JIG3" s="0"/>
      <c r="JIH3" s="0"/>
      <c r="JII3" s="0"/>
      <c r="JIJ3" s="0"/>
      <c r="JIK3" s="0"/>
      <c r="JIL3" s="0"/>
      <c r="JIM3" s="0"/>
      <c r="JIN3" s="0"/>
      <c r="JIO3" s="0"/>
      <c r="JIP3" s="0"/>
      <c r="JIQ3" s="0"/>
      <c r="JIR3" s="0"/>
      <c r="JIS3" s="0"/>
      <c r="JIT3" s="0"/>
      <c r="JIU3" s="0"/>
      <c r="JIV3" s="0"/>
      <c r="JIW3" s="0"/>
      <c r="JIX3" s="0"/>
      <c r="JIY3" s="0"/>
      <c r="JIZ3" s="0"/>
      <c r="JJA3" s="0"/>
      <c r="JJB3" s="0"/>
      <c r="JJC3" s="0"/>
      <c r="JJD3" s="0"/>
      <c r="JJE3" s="0"/>
      <c r="JJF3" s="0"/>
      <c r="JJG3" s="0"/>
      <c r="JJH3" s="0"/>
      <c r="JJI3" s="0"/>
      <c r="JJJ3" s="0"/>
      <c r="JJK3" s="0"/>
      <c r="JJL3" s="0"/>
      <c r="JJM3" s="0"/>
      <c r="JJN3" s="0"/>
      <c r="JJO3" s="0"/>
      <c r="JJP3" s="0"/>
      <c r="JJQ3" s="0"/>
      <c r="JJR3" s="0"/>
      <c r="JJS3" s="0"/>
      <c r="JJT3" s="0"/>
      <c r="JJU3" s="0"/>
      <c r="JJV3" s="0"/>
      <c r="JJW3" s="0"/>
      <c r="JJX3" s="0"/>
      <c r="JJY3" s="0"/>
      <c r="JJZ3" s="0"/>
      <c r="JKA3" s="0"/>
      <c r="JKB3" s="0"/>
      <c r="JKC3" s="0"/>
      <c r="JKD3" s="0"/>
      <c r="JKE3" s="0"/>
      <c r="JKF3" s="0"/>
      <c r="JKG3" s="0"/>
      <c r="JKH3" s="0"/>
      <c r="JKI3" s="0"/>
      <c r="JKJ3" s="0"/>
      <c r="JKK3" s="0"/>
      <c r="JKL3" s="0"/>
      <c r="JKM3" s="0"/>
      <c r="JKN3" s="0"/>
      <c r="JKO3" s="0"/>
      <c r="JKP3" s="0"/>
      <c r="JKQ3" s="0"/>
      <c r="JKR3" s="0"/>
      <c r="JKS3" s="0"/>
      <c r="JKT3" s="0"/>
      <c r="JKU3" s="0"/>
      <c r="JKV3" s="0"/>
      <c r="JKW3" s="0"/>
      <c r="JKX3" s="0"/>
      <c r="JKY3" s="0"/>
      <c r="JKZ3" s="0"/>
      <c r="JLA3" s="0"/>
      <c r="JLB3" s="0"/>
      <c r="JLC3" s="0"/>
      <c r="JLD3" s="0"/>
      <c r="JLE3" s="0"/>
      <c r="JLF3" s="0"/>
      <c r="JLG3" s="0"/>
      <c r="JLH3" s="0"/>
      <c r="JLI3" s="0"/>
      <c r="JLJ3" s="0"/>
      <c r="JLK3" s="0"/>
      <c r="JLL3" s="0"/>
      <c r="JLM3" s="0"/>
      <c r="JLN3" s="0"/>
      <c r="JLO3" s="0"/>
      <c r="JLP3" s="0"/>
      <c r="JLQ3" s="0"/>
      <c r="JLR3" s="0"/>
      <c r="JLS3" s="0"/>
      <c r="JLT3" s="0"/>
      <c r="JLU3" s="0"/>
      <c r="JLV3" s="0"/>
      <c r="JLW3" s="0"/>
      <c r="JLX3" s="0"/>
      <c r="JLY3" s="0"/>
      <c r="JLZ3" s="0"/>
      <c r="JMA3" s="0"/>
      <c r="JMB3" s="0"/>
      <c r="JMC3" s="0"/>
      <c r="JMD3" s="0"/>
      <c r="JME3" s="0"/>
      <c r="JMF3" s="0"/>
      <c r="JMG3" s="0"/>
      <c r="JMH3" s="0"/>
      <c r="JMI3" s="0"/>
      <c r="JMJ3" s="0"/>
      <c r="JMK3" s="0"/>
      <c r="JML3" s="0"/>
      <c r="JMM3" s="0"/>
      <c r="JMN3" s="0"/>
      <c r="JMO3" s="0"/>
      <c r="JMP3" s="0"/>
      <c r="JMQ3" s="0"/>
      <c r="JMR3" s="0"/>
      <c r="JMS3" s="0"/>
      <c r="JMT3" s="0"/>
      <c r="JMU3" s="0"/>
      <c r="JMV3" s="0"/>
      <c r="JMW3" s="0"/>
      <c r="JMX3" s="0"/>
      <c r="JMY3" s="0"/>
      <c r="JMZ3" s="0"/>
      <c r="JNA3" s="0"/>
      <c r="JNB3" s="0"/>
      <c r="JNC3" s="0"/>
      <c r="JND3" s="0"/>
      <c r="JNE3" s="0"/>
      <c r="JNF3" s="0"/>
      <c r="JNG3" s="0"/>
      <c r="JNH3" s="0"/>
      <c r="JNI3" s="0"/>
      <c r="JNJ3" s="0"/>
      <c r="JNK3" s="0"/>
      <c r="JNL3" s="0"/>
      <c r="JNM3" s="0"/>
      <c r="JNN3" s="0"/>
      <c r="JNO3" s="0"/>
      <c r="JNP3" s="0"/>
      <c r="JNQ3" s="0"/>
      <c r="JNR3" s="0"/>
      <c r="JNS3" s="0"/>
      <c r="JNT3" s="0"/>
      <c r="JNU3" s="0"/>
      <c r="JNV3" s="0"/>
      <c r="JNW3" s="0"/>
      <c r="JNX3" s="0"/>
      <c r="JNY3" s="0"/>
      <c r="JNZ3" s="0"/>
      <c r="JOA3" s="0"/>
      <c r="JOB3" s="0"/>
      <c r="JOC3" s="0"/>
      <c r="JOD3" s="0"/>
      <c r="JOE3" s="0"/>
      <c r="JOF3" s="0"/>
      <c r="JOG3" s="0"/>
      <c r="JOH3" s="0"/>
      <c r="JOI3" s="0"/>
      <c r="JOJ3" s="0"/>
      <c r="JOK3" s="0"/>
      <c r="JOL3" s="0"/>
      <c r="JOM3" s="0"/>
      <c r="JON3" s="0"/>
      <c r="JOO3" s="0"/>
      <c r="JOP3" s="0"/>
      <c r="JOQ3" s="0"/>
      <c r="JOR3" s="0"/>
      <c r="JOS3" s="0"/>
      <c r="JOT3" s="0"/>
      <c r="JOU3" s="0"/>
      <c r="JOV3" s="0"/>
      <c r="JOW3" s="0"/>
      <c r="JOX3" s="0"/>
      <c r="JOY3" s="0"/>
      <c r="JOZ3" s="0"/>
      <c r="JPA3" s="0"/>
      <c r="JPB3" s="0"/>
      <c r="JPC3" s="0"/>
      <c r="JPD3" s="0"/>
      <c r="JPE3" s="0"/>
      <c r="JPF3" s="0"/>
      <c r="JPG3" s="0"/>
      <c r="JPH3" s="0"/>
      <c r="JPI3" s="0"/>
      <c r="JPJ3" s="0"/>
      <c r="JPK3" s="0"/>
      <c r="JPL3" s="0"/>
      <c r="JPM3" s="0"/>
      <c r="JPN3" s="0"/>
      <c r="JPO3" s="0"/>
      <c r="JPP3" s="0"/>
      <c r="JPQ3" s="0"/>
      <c r="JPR3" s="0"/>
      <c r="JPS3" s="0"/>
      <c r="JPT3" s="0"/>
      <c r="JPU3" s="0"/>
      <c r="JPV3" s="0"/>
      <c r="JPW3" s="0"/>
      <c r="JPX3" s="0"/>
      <c r="JPY3" s="0"/>
      <c r="JPZ3" s="0"/>
      <c r="JQA3" s="0"/>
      <c r="JQB3" s="0"/>
      <c r="JQC3" s="0"/>
      <c r="JQD3" s="0"/>
      <c r="JQE3" s="0"/>
      <c r="JQF3" s="0"/>
      <c r="JQG3" s="0"/>
      <c r="JQH3" s="0"/>
      <c r="JQI3" s="0"/>
      <c r="JQJ3" s="0"/>
      <c r="JQK3" s="0"/>
      <c r="JQL3" s="0"/>
      <c r="JQM3" s="0"/>
      <c r="JQN3" s="0"/>
      <c r="JQO3" s="0"/>
      <c r="JQP3" s="0"/>
      <c r="JQQ3" s="0"/>
      <c r="JQR3" s="0"/>
      <c r="JQS3" s="0"/>
      <c r="JQT3" s="0"/>
      <c r="JQU3" s="0"/>
      <c r="JQV3" s="0"/>
      <c r="JQW3" s="0"/>
      <c r="JQX3" s="0"/>
      <c r="JQY3" s="0"/>
      <c r="JQZ3" s="0"/>
      <c r="JRA3" s="0"/>
      <c r="JRB3" s="0"/>
      <c r="JRC3" s="0"/>
      <c r="JRD3" s="0"/>
      <c r="JRE3" s="0"/>
      <c r="JRF3" s="0"/>
      <c r="JRG3" s="0"/>
      <c r="JRH3" s="0"/>
      <c r="JRI3" s="0"/>
      <c r="JRJ3" s="0"/>
      <c r="JRK3" s="0"/>
      <c r="JRL3" s="0"/>
      <c r="JRM3" s="0"/>
      <c r="JRN3" s="0"/>
      <c r="JRO3" s="0"/>
      <c r="JRP3" s="0"/>
      <c r="JRQ3" s="0"/>
      <c r="JRR3" s="0"/>
      <c r="JRS3" s="0"/>
      <c r="JRT3" s="0"/>
      <c r="JRU3" s="0"/>
      <c r="JRV3" s="0"/>
      <c r="JRW3" s="0"/>
      <c r="JRX3" s="0"/>
      <c r="JRY3" s="0"/>
      <c r="JRZ3" s="0"/>
      <c r="JSA3" s="0"/>
      <c r="JSB3" s="0"/>
      <c r="JSC3" s="0"/>
      <c r="JSD3" s="0"/>
      <c r="JSE3" s="0"/>
      <c r="JSF3" s="0"/>
      <c r="JSG3" s="0"/>
      <c r="JSH3" s="0"/>
      <c r="JSI3" s="0"/>
      <c r="JSJ3" s="0"/>
      <c r="JSK3" s="0"/>
      <c r="JSL3" s="0"/>
      <c r="JSM3" s="0"/>
      <c r="JSN3" s="0"/>
      <c r="JSO3" s="0"/>
      <c r="JSP3" s="0"/>
      <c r="JSQ3" s="0"/>
      <c r="JSR3" s="0"/>
      <c r="JSS3" s="0"/>
      <c r="JST3" s="0"/>
      <c r="JSU3" s="0"/>
      <c r="JSV3" s="0"/>
      <c r="JSW3" s="0"/>
      <c r="JSX3" s="0"/>
      <c r="JSY3" s="0"/>
      <c r="JSZ3" s="0"/>
      <c r="JTA3" s="0"/>
      <c r="JTB3" s="0"/>
      <c r="JTC3" s="0"/>
      <c r="JTD3" s="0"/>
      <c r="JTE3" s="0"/>
      <c r="JTF3" s="0"/>
      <c r="JTG3" s="0"/>
      <c r="JTH3" s="0"/>
      <c r="JTI3" s="0"/>
      <c r="JTJ3" s="0"/>
      <c r="JTK3" s="0"/>
      <c r="JTL3" s="0"/>
      <c r="JTM3" s="0"/>
      <c r="JTN3" s="0"/>
      <c r="JTO3" s="0"/>
      <c r="JTP3" s="0"/>
      <c r="JTQ3" s="0"/>
      <c r="JTR3" s="0"/>
      <c r="JTS3" s="0"/>
      <c r="JTT3" s="0"/>
      <c r="JTU3" s="0"/>
      <c r="JTV3" s="0"/>
      <c r="JTW3" s="0"/>
      <c r="JTX3" s="0"/>
      <c r="JTY3" s="0"/>
      <c r="JTZ3" s="0"/>
      <c r="JUA3" s="0"/>
      <c r="JUB3" s="0"/>
      <c r="JUC3" s="0"/>
      <c r="JUD3" s="0"/>
      <c r="JUE3" s="0"/>
      <c r="JUF3" s="0"/>
      <c r="JUG3" s="0"/>
      <c r="JUH3" s="0"/>
      <c r="JUI3" s="0"/>
      <c r="JUJ3" s="0"/>
      <c r="JUK3" s="0"/>
      <c r="JUL3" s="0"/>
      <c r="JUM3" s="0"/>
      <c r="JUN3" s="0"/>
      <c r="JUO3" s="0"/>
      <c r="JUP3" s="0"/>
      <c r="JUQ3" s="0"/>
      <c r="JUR3" s="0"/>
      <c r="JUS3" s="0"/>
      <c r="JUT3" s="0"/>
      <c r="JUU3" s="0"/>
      <c r="JUV3" s="0"/>
      <c r="JUW3" s="0"/>
      <c r="JUX3" s="0"/>
      <c r="JUY3" s="0"/>
      <c r="JUZ3" s="0"/>
      <c r="JVA3" s="0"/>
      <c r="JVB3" s="0"/>
      <c r="JVC3" s="0"/>
      <c r="JVD3" s="0"/>
      <c r="JVE3" s="0"/>
      <c r="JVF3" s="0"/>
      <c r="JVG3" s="0"/>
      <c r="JVH3" s="0"/>
      <c r="JVI3" s="0"/>
      <c r="JVJ3" s="0"/>
      <c r="JVK3" s="0"/>
      <c r="JVL3" s="0"/>
      <c r="JVM3" s="0"/>
      <c r="JVN3" s="0"/>
      <c r="JVO3" s="0"/>
      <c r="JVP3" s="0"/>
      <c r="JVQ3" s="0"/>
      <c r="JVR3" s="0"/>
      <c r="JVS3" s="0"/>
      <c r="JVT3" s="0"/>
      <c r="JVU3" s="0"/>
      <c r="JVV3" s="0"/>
      <c r="JVW3" s="0"/>
      <c r="JVX3" s="0"/>
      <c r="JVY3" s="0"/>
      <c r="JVZ3" s="0"/>
      <c r="JWA3" s="0"/>
      <c r="JWB3" s="0"/>
      <c r="JWC3" s="0"/>
      <c r="JWD3" s="0"/>
      <c r="JWE3" s="0"/>
      <c r="JWF3" s="0"/>
      <c r="JWG3" s="0"/>
      <c r="JWH3" s="0"/>
      <c r="JWI3" s="0"/>
      <c r="JWJ3" s="0"/>
      <c r="JWK3" s="0"/>
      <c r="JWL3" s="0"/>
      <c r="JWM3" s="0"/>
      <c r="JWN3" s="0"/>
      <c r="JWO3" s="0"/>
      <c r="JWP3" s="0"/>
      <c r="JWQ3" s="0"/>
      <c r="JWR3" s="0"/>
      <c r="JWS3" s="0"/>
      <c r="JWT3" s="0"/>
      <c r="JWU3" s="0"/>
      <c r="JWV3" s="0"/>
      <c r="JWW3" s="0"/>
      <c r="JWX3" s="0"/>
      <c r="JWY3" s="0"/>
      <c r="JWZ3" s="0"/>
      <c r="JXA3" s="0"/>
      <c r="JXB3" s="0"/>
      <c r="JXC3" s="0"/>
      <c r="JXD3" s="0"/>
      <c r="JXE3" s="0"/>
      <c r="JXF3" s="0"/>
      <c r="JXG3" s="0"/>
      <c r="JXH3" s="0"/>
      <c r="JXI3" s="0"/>
      <c r="JXJ3" s="0"/>
      <c r="JXK3" s="0"/>
      <c r="JXL3" s="0"/>
      <c r="JXM3" s="0"/>
      <c r="JXN3" s="0"/>
      <c r="JXO3" s="0"/>
      <c r="JXP3" s="0"/>
      <c r="JXQ3" s="0"/>
      <c r="JXR3" s="0"/>
      <c r="JXS3" s="0"/>
      <c r="JXT3" s="0"/>
      <c r="JXU3" s="0"/>
      <c r="JXV3" s="0"/>
      <c r="JXW3" s="0"/>
      <c r="JXX3" s="0"/>
      <c r="JXY3" s="0"/>
      <c r="JXZ3" s="0"/>
      <c r="JYA3" s="0"/>
      <c r="JYB3" s="0"/>
      <c r="JYC3" s="0"/>
      <c r="JYD3" s="0"/>
      <c r="JYE3" s="0"/>
      <c r="JYF3" s="0"/>
      <c r="JYG3" s="0"/>
      <c r="JYH3" s="0"/>
      <c r="JYI3" s="0"/>
      <c r="JYJ3" s="0"/>
      <c r="JYK3" s="0"/>
      <c r="JYL3" s="0"/>
      <c r="JYM3" s="0"/>
      <c r="JYN3" s="0"/>
      <c r="JYO3" s="0"/>
      <c r="JYP3" s="0"/>
      <c r="JYQ3" s="0"/>
      <c r="JYR3" s="0"/>
      <c r="JYS3" s="0"/>
      <c r="JYT3" s="0"/>
      <c r="JYU3" s="0"/>
      <c r="JYV3" s="0"/>
      <c r="JYW3" s="0"/>
      <c r="JYX3" s="0"/>
      <c r="JYY3" s="0"/>
      <c r="JYZ3" s="0"/>
      <c r="JZA3" s="0"/>
      <c r="JZB3" s="0"/>
      <c r="JZC3" s="0"/>
      <c r="JZD3" s="0"/>
      <c r="JZE3" s="0"/>
      <c r="JZF3" s="0"/>
      <c r="JZG3" s="0"/>
      <c r="JZH3" s="0"/>
      <c r="JZI3" s="0"/>
      <c r="JZJ3" s="0"/>
      <c r="JZK3" s="0"/>
      <c r="JZL3" s="0"/>
      <c r="JZM3" s="0"/>
      <c r="JZN3" s="0"/>
      <c r="JZO3" s="0"/>
      <c r="JZP3" s="0"/>
      <c r="JZQ3" s="0"/>
      <c r="JZR3" s="0"/>
      <c r="JZS3" s="0"/>
      <c r="JZT3" s="0"/>
      <c r="JZU3" s="0"/>
      <c r="JZV3" s="0"/>
      <c r="JZW3" s="0"/>
      <c r="JZX3" s="0"/>
      <c r="JZY3" s="0"/>
      <c r="JZZ3" s="0"/>
      <c r="KAA3" s="0"/>
      <c r="KAB3" s="0"/>
      <c r="KAC3" s="0"/>
      <c r="KAD3" s="0"/>
      <c r="KAE3" s="0"/>
      <c r="KAF3" s="0"/>
      <c r="KAG3" s="0"/>
      <c r="KAH3" s="0"/>
      <c r="KAI3" s="0"/>
      <c r="KAJ3" s="0"/>
      <c r="KAK3" s="0"/>
      <c r="KAL3" s="0"/>
      <c r="KAM3" s="0"/>
      <c r="KAN3" s="0"/>
      <c r="KAO3" s="0"/>
      <c r="KAP3" s="0"/>
      <c r="KAQ3" s="0"/>
      <c r="KAR3" s="0"/>
      <c r="KAS3" s="0"/>
      <c r="KAT3" s="0"/>
      <c r="KAU3" s="0"/>
      <c r="KAV3" s="0"/>
      <c r="KAW3" s="0"/>
      <c r="KAX3" s="0"/>
      <c r="KAY3" s="0"/>
      <c r="KAZ3" s="0"/>
      <c r="KBA3" s="0"/>
      <c r="KBB3" s="0"/>
      <c r="KBC3" s="0"/>
      <c r="KBD3" s="0"/>
      <c r="KBE3" s="0"/>
      <c r="KBF3" s="0"/>
      <c r="KBG3" s="0"/>
      <c r="KBH3" s="0"/>
      <c r="KBI3" s="0"/>
      <c r="KBJ3" s="0"/>
      <c r="KBK3" s="0"/>
      <c r="KBL3" s="0"/>
      <c r="KBM3" s="0"/>
      <c r="KBN3" s="0"/>
      <c r="KBO3" s="0"/>
      <c r="KBP3" s="0"/>
      <c r="KBQ3" s="0"/>
      <c r="KBR3" s="0"/>
      <c r="KBS3" s="0"/>
      <c r="KBT3" s="0"/>
      <c r="KBU3" s="0"/>
      <c r="KBV3" s="0"/>
      <c r="KBW3" s="0"/>
      <c r="KBX3" s="0"/>
      <c r="KBY3" s="0"/>
      <c r="KBZ3" s="0"/>
      <c r="KCA3" s="0"/>
      <c r="KCB3" s="0"/>
      <c r="KCC3" s="0"/>
      <c r="KCD3" s="0"/>
      <c r="KCE3" s="0"/>
      <c r="KCF3" s="0"/>
      <c r="KCG3" s="0"/>
      <c r="KCH3" s="0"/>
      <c r="KCI3" s="0"/>
      <c r="KCJ3" s="0"/>
      <c r="KCK3" s="0"/>
      <c r="KCL3" s="0"/>
      <c r="KCM3" s="0"/>
      <c r="KCN3" s="0"/>
      <c r="KCO3" s="0"/>
      <c r="KCP3" s="0"/>
      <c r="KCQ3" s="0"/>
      <c r="KCR3" s="0"/>
      <c r="KCS3" s="0"/>
      <c r="KCT3" s="0"/>
      <c r="KCU3" s="0"/>
      <c r="KCV3" s="0"/>
      <c r="KCW3" s="0"/>
      <c r="KCX3" s="0"/>
      <c r="KCY3" s="0"/>
      <c r="KCZ3" s="0"/>
      <c r="KDA3" s="0"/>
      <c r="KDB3" s="0"/>
      <c r="KDC3" s="0"/>
      <c r="KDD3" s="0"/>
      <c r="KDE3" s="0"/>
      <c r="KDF3" s="0"/>
      <c r="KDG3" s="0"/>
      <c r="KDH3" s="0"/>
      <c r="KDI3" s="0"/>
      <c r="KDJ3" s="0"/>
      <c r="KDK3" s="0"/>
      <c r="KDL3" s="0"/>
      <c r="KDM3" s="0"/>
      <c r="KDN3" s="0"/>
      <c r="KDO3" s="0"/>
      <c r="KDP3" s="0"/>
      <c r="KDQ3" s="0"/>
      <c r="KDR3" s="0"/>
      <c r="KDS3" s="0"/>
      <c r="KDT3" s="0"/>
      <c r="KDU3" s="0"/>
      <c r="KDV3" s="0"/>
      <c r="KDW3" s="0"/>
      <c r="KDX3" s="0"/>
      <c r="KDY3" s="0"/>
      <c r="KDZ3" s="0"/>
      <c r="KEA3" s="0"/>
      <c r="KEB3" s="0"/>
      <c r="KEC3" s="0"/>
      <c r="KED3" s="0"/>
      <c r="KEE3" s="0"/>
      <c r="KEF3" s="0"/>
      <c r="KEG3" s="0"/>
      <c r="KEH3" s="0"/>
      <c r="KEI3" s="0"/>
      <c r="KEJ3" s="0"/>
      <c r="KEK3" s="0"/>
      <c r="KEL3" s="0"/>
      <c r="KEM3" s="0"/>
      <c r="KEN3" s="0"/>
      <c r="KEO3" s="0"/>
      <c r="KEP3" s="0"/>
      <c r="KEQ3" s="0"/>
      <c r="KER3" s="0"/>
      <c r="KES3" s="0"/>
      <c r="KET3" s="0"/>
      <c r="KEU3" s="0"/>
      <c r="KEV3" s="0"/>
      <c r="KEW3" s="0"/>
      <c r="KEX3" s="0"/>
      <c r="KEY3" s="0"/>
      <c r="KEZ3" s="0"/>
      <c r="KFA3" s="0"/>
      <c r="KFB3" s="0"/>
      <c r="KFC3" s="0"/>
      <c r="KFD3" s="0"/>
      <c r="KFE3" s="0"/>
      <c r="KFF3" s="0"/>
      <c r="KFG3" s="0"/>
      <c r="KFH3" s="0"/>
      <c r="KFI3" s="0"/>
      <c r="KFJ3" s="0"/>
      <c r="KFK3" s="0"/>
      <c r="KFL3" s="0"/>
      <c r="KFM3" s="0"/>
      <c r="KFN3" s="0"/>
      <c r="KFO3" s="0"/>
      <c r="KFP3" s="0"/>
      <c r="KFQ3" s="0"/>
      <c r="KFR3" s="0"/>
      <c r="KFS3" s="0"/>
      <c r="KFT3" s="0"/>
      <c r="KFU3" s="0"/>
      <c r="KFV3" s="0"/>
      <c r="KFW3" s="0"/>
      <c r="KFX3" s="0"/>
      <c r="KFY3" s="0"/>
      <c r="KFZ3" s="0"/>
      <c r="KGA3" s="0"/>
      <c r="KGB3" s="0"/>
      <c r="KGC3" s="0"/>
      <c r="KGD3" s="0"/>
      <c r="KGE3" s="0"/>
      <c r="KGF3" s="0"/>
      <c r="KGG3" s="0"/>
      <c r="KGH3" s="0"/>
      <c r="KGI3" s="0"/>
      <c r="KGJ3" s="0"/>
      <c r="KGK3" s="0"/>
      <c r="KGL3" s="0"/>
      <c r="KGM3" s="0"/>
      <c r="KGN3" s="0"/>
      <c r="KGO3" s="0"/>
      <c r="KGP3" s="0"/>
      <c r="KGQ3" s="0"/>
      <c r="KGR3" s="0"/>
      <c r="KGS3" s="0"/>
      <c r="KGT3" s="0"/>
      <c r="KGU3" s="0"/>
      <c r="KGV3" s="0"/>
      <c r="KGW3" s="0"/>
      <c r="KGX3" s="0"/>
      <c r="KGY3" s="0"/>
      <c r="KGZ3" s="0"/>
      <c r="KHA3" s="0"/>
      <c r="KHB3" s="0"/>
      <c r="KHC3" s="0"/>
      <c r="KHD3" s="0"/>
      <c r="KHE3" s="0"/>
      <c r="KHF3" s="0"/>
      <c r="KHG3" s="0"/>
      <c r="KHH3" s="0"/>
      <c r="KHI3" s="0"/>
      <c r="KHJ3" s="0"/>
      <c r="KHK3" s="0"/>
      <c r="KHL3" s="0"/>
      <c r="KHM3" s="0"/>
      <c r="KHN3" s="0"/>
      <c r="KHO3" s="0"/>
      <c r="KHP3" s="0"/>
      <c r="KHQ3" s="0"/>
      <c r="KHR3" s="0"/>
      <c r="KHS3" s="0"/>
      <c r="KHT3" s="0"/>
      <c r="KHU3" s="0"/>
      <c r="KHV3" s="0"/>
      <c r="KHW3" s="0"/>
      <c r="KHX3" s="0"/>
      <c r="KHY3" s="0"/>
      <c r="KHZ3" s="0"/>
      <c r="KIA3" s="0"/>
      <c r="KIB3" s="0"/>
      <c r="KIC3" s="0"/>
      <c r="KID3" s="0"/>
      <c r="KIE3" s="0"/>
      <c r="KIF3" s="0"/>
      <c r="KIG3" s="0"/>
      <c r="KIH3" s="0"/>
      <c r="KII3" s="0"/>
      <c r="KIJ3" s="0"/>
      <c r="KIK3" s="0"/>
      <c r="KIL3" s="0"/>
      <c r="KIM3" s="0"/>
      <c r="KIN3" s="0"/>
      <c r="KIO3" s="0"/>
      <c r="KIP3" s="0"/>
      <c r="KIQ3" s="0"/>
      <c r="KIR3" s="0"/>
      <c r="KIS3" s="0"/>
      <c r="KIT3" s="0"/>
      <c r="KIU3" s="0"/>
      <c r="KIV3" s="0"/>
      <c r="KIW3" s="0"/>
      <c r="KIX3" s="0"/>
      <c r="KIY3" s="0"/>
      <c r="KIZ3" s="0"/>
      <c r="KJA3" s="0"/>
      <c r="KJB3" s="0"/>
      <c r="KJC3" s="0"/>
      <c r="KJD3" s="0"/>
      <c r="KJE3" s="0"/>
      <c r="KJF3" s="0"/>
      <c r="KJG3" s="0"/>
      <c r="KJH3" s="0"/>
      <c r="KJI3" s="0"/>
      <c r="KJJ3" s="0"/>
      <c r="KJK3" s="0"/>
      <c r="KJL3" s="0"/>
      <c r="KJM3" s="0"/>
      <c r="KJN3" s="0"/>
      <c r="KJO3" s="0"/>
      <c r="KJP3" s="0"/>
      <c r="KJQ3" s="0"/>
      <c r="KJR3" s="0"/>
      <c r="KJS3" s="0"/>
      <c r="KJT3" s="0"/>
      <c r="KJU3" s="0"/>
      <c r="KJV3" s="0"/>
      <c r="KJW3" s="0"/>
      <c r="KJX3" s="0"/>
      <c r="KJY3" s="0"/>
      <c r="KJZ3" s="0"/>
      <c r="KKA3" s="0"/>
      <c r="KKB3" s="0"/>
      <c r="KKC3" s="0"/>
      <c r="KKD3" s="0"/>
      <c r="KKE3" s="0"/>
      <c r="KKF3" s="0"/>
      <c r="KKG3" s="0"/>
      <c r="KKH3" s="0"/>
      <c r="KKI3" s="0"/>
      <c r="KKJ3" s="0"/>
      <c r="KKK3" s="0"/>
      <c r="KKL3" s="0"/>
      <c r="KKM3" s="0"/>
      <c r="KKN3" s="0"/>
      <c r="KKO3" s="0"/>
      <c r="KKP3" s="0"/>
      <c r="KKQ3" s="0"/>
      <c r="KKR3" s="0"/>
      <c r="KKS3" s="0"/>
      <c r="KKT3" s="0"/>
      <c r="KKU3" s="0"/>
      <c r="KKV3" s="0"/>
      <c r="KKW3" s="0"/>
      <c r="KKX3" s="0"/>
      <c r="KKY3" s="0"/>
      <c r="KKZ3" s="0"/>
      <c r="KLA3" s="0"/>
      <c r="KLB3" s="0"/>
      <c r="KLC3" s="0"/>
      <c r="KLD3" s="0"/>
      <c r="KLE3" s="0"/>
      <c r="KLF3" s="0"/>
      <c r="KLG3" s="0"/>
      <c r="KLH3" s="0"/>
      <c r="KLI3" s="0"/>
      <c r="KLJ3" s="0"/>
      <c r="KLK3" s="0"/>
      <c r="KLL3" s="0"/>
      <c r="KLM3" s="0"/>
      <c r="KLN3" s="0"/>
      <c r="KLO3" s="0"/>
      <c r="KLP3" s="0"/>
      <c r="KLQ3" s="0"/>
      <c r="KLR3" s="0"/>
      <c r="KLS3" s="0"/>
      <c r="KLT3" s="0"/>
      <c r="KLU3" s="0"/>
      <c r="KLV3" s="0"/>
      <c r="KLW3" s="0"/>
      <c r="KLX3" s="0"/>
      <c r="KLY3" s="0"/>
      <c r="KLZ3" s="0"/>
      <c r="KMA3" s="0"/>
      <c r="KMB3" s="0"/>
      <c r="KMC3" s="0"/>
      <c r="KMD3" s="0"/>
      <c r="KME3" s="0"/>
      <c r="KMF3" s="0"/>
      <c r="KMG3" s="0"/>
      <c r="KMH3" s="0"/>
      <c r="KMI3" s="0"/>
      <c r="KMJ3" s="0"/>
      <c r="KMK3" s="0"/>
      <c r="KML3" s="0"/>
      <c r="KMM3" s="0"/>
      <c r="KMN3" s="0"/>
      <c r="KMO3" s="0"/>
      <c r="KMP3" s="0"/>
      <c r="KMQ3" s="0"/>
      <c r="KMR3" s="0"/>
      <c r="KMS3" s="0"/>
      <c r="KMT3" s="0"/>
      <c r="KMU3" s="0"/>
      <c r="KMV3" s="0"/>
      <c r="KMW3" s="0"/>
      <c r="KMX3" s="0"/>
      <c r="KMY3" s="0"/>
      <c r="KMZ3" s="0"/>
      <c r="KNA3" s="0"/>
      <c r="KNB3" s="0"/>
      <c r="KNC3" s="0"/>
      <c r="KND3" s="0"/>
      <c r="KNE3" s="0"/>
      <c r="KNF3" s="0"/>
      <c r="KNG3" s="0"/>
      <c r="KNH3" s="0"/>
      <c r="KNI3" s="0"/>
      <c r="KNJ3" s="0"/>
      <c r="KNK3" s="0"/>
      <c r="KNL3" s="0"/>
      <c r="KNM3" s="0"/>
      <c r="KNN3" s="0"/>
      <c r="KNO3" s="0"/>
      <c r="KNP3" s="0"/>
      <c r="KNQ3" s="0"/>
      <c r="KNR3" s="0"/>
      <c r="KNS3" s="0"/>
      <c r="KNT3" s="0"/>
      <c r="KNU3" s="0"/>
      <c r="KNV3" s="0"/>
      <c r="KNW3" s="0"/>
      <c r="KNX3" s="0"/>
      <c r="KNY3" s="0"/>
      <c r="KNZ3" s="0"/>
      <c r="KOA3" s="0"/>
      <c r="KOB3" s="0"/>
      <c r="KOC3" s="0"/>
      <c r="KOD3" s="0"/>
      <c r="KOE3" s="0"/>
      <c r="KOF3" s="0"/>
      <c r="KOG3" s="0"/>
      <c r="KOH3" s="0"/>
      <c r="KOI3" s="0"/>
      <c r="KOJ3" s="0"/>
      <c r="KOK3" s="0"/>
      <c r="KOL3" s="0"/>
      <c r="KOM3" s="0"/>
      <c r="KON3" s="0"/>
      <c r="KOO3" s="0"/>
      <c r="KOP3" s="0"/>
      <c r="KOQ3" s="0"/>
      <c r="KOR3" s="0"/>
      <c r="KOS3" s="0"/>
      <c r="KOT3" s="0"/>
      <c r="KOU3" s="0"/>
      <c r="KOV3" s="0"/>
      <c r="KOW3" s="0"/>
      <c r="KOX3" s="0"/>
      <c r="KOY3" s="0"/>
      <c r="KOZ3" s="0"/>
      <c r="KPA3" s="0"/>
      <c r="KPB3" s="0"/>
      <c r="KPC3" s="0"/>
      <c r="KPD3" s="0"/>
      <c r="KPE3" s="0"/>
      <c r="KPF3" s="0"/>
      <c r="KPG3" s="0"/>
      <c r="KPH3" s="0"/>
      <c r="KPI3" s="0"/>
      <c r="KPJ3" s="0"/>
      <c r="KPK3" s="0"/>
      <c r="KPL3" s="0"/>
      <c r="KPM3" s="0"/>
      <c r="KPN3" s="0"/>
      <c r="KPO3" s="0"/>
      <c r="KPP3" s="0"/>
      <c r="KPQ3" s="0"/>
      <c r="KPR3" s="0"/>
      <c r="KPS3" s="0"/>
      <c r="KPT3" s="0"/>
      <c r="KPU3" s="0"/>
      <c r="KPV3" s="0"/>
      <c r="KPW3" s="0"/>
      <c r="KPX3" s="0"/>
      <c r="KPY3" s="0"/>
      <c r="KPZ3" s="0"/>
      <c r="KQA3" s="0"/>
      <c r="KQB3" s="0"/>
      <c r="KQC3" s="0"/>
      <c r="KQD3" s="0"/>
      <c r="KQE3" s="0"/>
      <c r="KQF3" s="0"/>
      <c r="KQG3" s="0"/>
      <c r="KQH3" s="0"/>
      <c r="KQI3" s="0"/>
      <c r="KQJ3" s="0"/>
      <c r="KQK3" s="0"/>
      <c r="KQL3" s="0"/>
      <c r="KQM3" s="0"/>
      <c r="KQN3" s="0"/>
      <c r="KQO3" s="0"/>
      <c r="KQP3" s="0"/>
      <c r="KQQ3" s="0"/>
      <c r="KQR3" s="0"/>
      <c r="KQS3" s="0"/>
      <c r="KQT3" s="0"/>
      <c r="KQU3" s="0"/>
      <c r="KQV3" s="0"/>
      <c r="KQW3" s="0"/>
      <c r="KQX3" s="0"/>
      <c r="KQY3" s="0"/>
      <c r="KQZ3" s="0"/>
      <c r="KRA3" s="0"/>
      <c r="KRB3" s="0"/>
      <c r="KRC3" s="0"/>
      <c r="KRD3" s="0"/>
      <c r="KRE3" s="0"/>
      <c r="KRF3" s="0"/>
      <c r="KRG3" s="0"/>
      <c r="KRH3" s="0"/>
      <c r="KRI3" s="0"/>
      <c r="KRJ3" s="0"/>
      <c r="KRK3" s="0"/>
      <c r="KRL3" s="0"/>
      <c r="KRM3" s="0"/>
      <c r="KRN3" s="0"/>
      <c r="KRO3" s="0"/>
      <c r="KRP3" s="0"/>
      <c r="KRQ3" s="0"/>
      <c r="KRR3" s="0"/>
      <c r="KRS3" s="0"/>
      <c r="KRT3" s="0"/>
      <c r="KRU3" s="0"/>
      <c r="KRV3" s="0"/>
      <c r="KRW3" s="0"/>
      <c r="KRX3" s="0"/>
      <c r="KRY3" s="0"/>
      <c r="KRZ3" s="0"/>
      <c r="KSA3" s="0"/>
      <c r="KSB3" s="0"/>
      <c r="KSC3" s="0"/>
      <c r="KSD3" s="0"/>
      <c r="KSE3" s="0"/>
      <c r="KSF3" s="0"/>
      <c r="KSG3" s="0"/>
      <c r="KSH3" s="0"/>
      <c r="KSI3" s="0"/>
      <c r="KSJ3" s="0"/>
      <c r="KSK3" s="0"/>
      <c r="KSL3" s="0"/>
      <c r="KSM3" s="0"/>
      <c r="KSN3" s="0"/>
      <c r="KSO3" s="0"/>
      <c r="KSP3" s="0"/>
      <c r="KSQ3" s="0"/>
      <c r="KSR3" s="0"/>
      <c r="KSS3" s="0"/>
      <c r="KST3" s="0"/>
      <c r="KSU3" s="0"/>
      <c r="KSV3" s="0"/>
      <c r="KSW3" s="0"/>
      <c r="KSX3" s="0"/>
      <c r="KSY3" s="0"/>
      <c r="KSZ3" s="0"/>
      <c r="KTA3" s="0"/>
      <c r="KTB3" s="0"/>
      <c r="KTC3" s="0"/>
      <c r="KTD3" s="0"/>
      <c r="KTE3" s="0"/>
      <c r="KTF3" s="0"/>
      <c r="KTG3" s="0"/>
      <c r="KTH3" s="0"/>
      <c r="KTI3" s="0"/>
      <c r="KTJ3" s="0"/>
      <c r="KTK3" s="0"/>
      <c r="KTL3" s="0"/>
      <c r="KTM3" s="0"/>
      <c r="KTN3" s="0"/>
      <c r="KTO3" s="0"/>
      <c r="KTP3" s="0"/>
      <c r="KTQ3" s="0"/>
      <c r="KTR3" s="0"/>
      <c r="KTS3" s="0"/>
      <c r="KTT3" s="0"/>
      <c r="KTU3" s="0"/>
      <c r="KTV3" s="0"/>
      <c r="KTW3" s="0"/>
      <c r="KTX3" s="0"/>
      <c r="KTY3" s="0"/>
      <c r="KTZ3" s="0"/>
      <c r="KUA3" s="0"/>
      <c r="KUB3" s="0"/>
      <c r="KUC3" s="0"/>
      <c r="KUD3" s="0"/>
      <c r="KUE3" s="0"/>
      <c r="KUF3" s="0"/>
      <c r="KUG3" s="0"/>
      <c r="KUH3" s="0"/>
      <c r="KUI3" s="0"/>
      <c r="KUJ3" s="0"/>
      <c r="KUK3" s="0"/>
      <c r="KUL3" s="0"/>
      <c r="KUM3" s="0"/>
      <c r="KUN3" s="0"/>
      <c r="KUO3" s="0"/>
      <c r="KUP3" s="0"/>
      <c r="KUQ3" s="0"/>
      <c r="KUR3" s="0"/>
      <c r="KUS3" s="0"/>
      <c r="KUT3" s="0"/>
      <c r="KUU3" s="0"/>
      <c r="KUV3" s="0"/>
      <c r="KUW3" s="0"/>
      <c r="KUX3" s="0"/>
      <c r="KUY3" s="0"/>
      <c r="KUZ3" s="0"/>
      <c r="KVA3" s="0"/>
      <c r="KVB3" s="0"/>
      <c r="KVC3" s="0"/>
      <c r="KVD3" s="0"/>
      <c r="KVE3" s="0"/>
      <c r="KVF3" s="0"/>
      <c r="KVG3" s="0"/>
      <c r="KVH3" s="0"/>
      <c r="KVI3" s="0"/>
      <c r="KVJ3" s="0"/>
      <c r="KVK3" s="0"/>
      <c r="KVL3" s="0"/>
      <c r="KVM3" s="0"/>
      <c r="KVN3" s="0"/>
      <c r="KVO3" s="0"/>
      <c r="KVP3" s="0"/>
      <c r="KVQ3" s="0"/>
      <c r="KVR3" s="0"/>
      <c r="KVS3" s="0"/>
      <c r="KVT3" s="0"/>
      <c r="KVU3" s="0"/>
      <c r="KVV3" s="0"/>
      <c r="KVW3" s="0"/>
      <c r="KVX3" s="0"/>
      <c r="KVY3" s="0"/>
      <c r="KVZ3" s="0"/>
      <c r="KWA3" s="0"/>
      <c r="KWB3" s="0"/>
      <c r="KWC3" s="0"/>
      <c r="KWD3" s="0"/>
      <c r="KWE3" s="0"/>
      <c r="KWF3" s="0"/>
      <c r="KWG3" s="0"/>
      <c r="KWH3" s="0"/>
      <c r="KWI3" s="0"/>
      <c r="KWJ3" s="0"/>
      <c r="KWK3" s="0"/>
      <c r="KWL3" s="0"/>
      <c r="KWM3" s="0"/>
      <c r="KWN3" s="0"/>
      <c r="KWO3" s="0"/>
      <c r="KWP3" s="0"/>
      <c r="KWQ3" s="0"/>
      <c r="KWR3" s="0"/>
      <c r="KWS3" s="0"/>
      <c r="KWT3" s="0"/>
      <c r="KWU3" s="0"/>
      <c r="KWV3" s="0"/>
      <c r="KWW3" s="0"/>
      <c r="KWX3" s="0"/>
      <c r="KWY3" s="0"/>
      <c r="KWZ3" s="0"/>
      <c r="KXA3" s="0"/>
      <c r="KXB3" s="0"/>
      <c r="KXC3" s="0"/>
      <c r="KXD3" s="0"/>
      <c r="KXE3" s="0"/>
      <c r="KXF3" s="0"/>
      <c r="KXG3" s="0"/>
      <c r="KXH3" s="0"/>
      <c r="KXI3" s="0"/>
      <c r="KXJ3" s="0"/>
      <c r="KXK3" s="0"/>
      <c r="KXL3" s="0"/>
      <c r="KXM3" s="0"/>
      <c r="KXN3" s="0"/>
      <c r="KXO3" s="0"/>
      <c r="KXP3" s="0"/>
      <c r="KXQ3" s="0"/>
      <c r="KXR3" s="0"/>
      <c r="KXS3" s="0"/>
      <c r="KXT3" s="0"/>
      <c r="KXU3" s="0"/>
      <c r="KXV3" s="0"/>
      <c r="KXW3" s="0"/>
      <c r="KXX3" s="0"/>
      <c r="KXY3" s="0"/>
      <c r="KXZ3" s="0"/>
      <c r="KYA3" s="0"/>
      <c r="KYB3" s="0"/>
      <c r="KYC3" s="0"/>
      <c r="KYD3" s="0"/>
      <c r="KYE3" s="0"/>
      <c r="KYF3" s="0"/>
      <c r="KYG3" s="0"/>
      <c r="KYH3" s="0"/>
      <c r="KYI3" s="0"/>
      <c r="KYJ3" s="0"/>
      <c r="KYK3" s="0"/>
      <c r="KYL3" s="0"/>
      <c r="KYM3" s="0"/>
      <c r="KYN3" s="0"/>
      <c r="KYO3" s="0"/>
      <c r="KYP3" s="0"/>
      <c r="KYQ3" s="0"/>
      <c r="KYR3" s="0"/>
      <c r="KYS3" s="0"/>
      <c r="KYT3" s="0"/>
      <c r="KYU3" s="0"/>
      <c r="KYV3" s="0"/>
      <c r="KYW3" s="0"/>
      <c r="KYX3" s="0"/>
      <c r="KYY3" s="0"/>
      <c r="KYZ3" s="0"/>
      <c r="KZA3" s="0"/>
      <c r="KZB3" s="0"/>
      <c r="KZC3" s="0"/>
      <c r="KZD3" s="0"/>
      <c r="KZE3" s="0"/>
      <c r="KZF3" s="0"/>
      <c r="KZG3" s="0"/>
      <c r="KZH3" s="0"/>
      <c r="KZI3" s="0"/>
      <c r="KZJ3" s="0"/>
      <c r="KZK3" s="0"/>
      <c r="KZL3" s="0"/>
      <c r="KZM3" s="0"/>
      <c r="KZN3" s="0"/>
      <c r="KZO3" s="0"/>
      <c r="KZP3" s="0"/>
      <c r="KZQ3" s="0"/>
      <c r="KZR3" s="0"/>
      <c r="KZS3" s="0"/>
      <c r="KZT3" s="0"/>
      <c r="KZU3" s="0"/>
      <c r="KZV3" s="0"/>
      <c r="KZW3" s="0"/>
      <c r="KZX3" s="0"/>
      <c r="KZY3" s="0"/>
      <c r="KZZ3" s="0"/>
      <c r="LAA3" s="0"/>
      <c r="LAB3" s="0"/>
      <c r="LAC3" s="0"/>
      <c r="LAD3" s="0"/>
      <c r="LAE3" s="0"/>
      <c r="LAF3" s="0"/>
      <c r="LAG3" s="0"/>
      <c r="LAH3" s="0"/>
      <c r="LAI3" s="0"/>
      <c r="LAJ3" s="0"/>
      <c r="LAK3" s="0"/>
      <c r="LAL3" s="0"/>
      <c r="LAM3" s="0"/>
      <c r="LAN3" s="0"/>
      <c r="LAO3" s="0"/>
      <c r="LAP3" s="0"/>
      <c r="LAQ3" s="0"/>
      <c r="LAR3" s="0"/>
      <c r="LAS3" s="0"/>
      <c r="LAT3" s="0"/>
      <c r="LAU3" s="0"/>
      <c r="LAV3" s="0"/>
      <c r="LAW3" s="0"/>
      <c r="LAX3" s="0"/>
      <c r="LAY3" s="0"/>
      <c r="LAZ3" s="0"/>
      <c r="LBA3" s="0"/>
      <c r="LBB3" s="0"/>
      <c r="LBC3" s="0"/>
      <c r="LBD3" s="0"/>
      <c r="LBE3" s="0"/>
      <c r="LBF3" s="0"/>
      <c r="LBG3" s="0"/>
      <c r="LBH3" s="0"/>
      <c r="LBI3" s="0"/>
      <c r="LBJ3" s="0"/>
      <c r="LBK3" s="0"/>
      <c r="LBL3" s="0"/>
      <c r="LBM3" s="0"/>
      <c r="LBN3" s="0"/>
      <c r="LBO3" s="0"/>
      <c r="LBP3" s="0"/>
      <c r="LBQ3" s="0"/>
      <c r="LBR3" s="0"/>
      <c r="LBS3" s="0"/>
      <c r="LBT3" s="0"/>
      <c r="LBU3" s="0"/>
      <c r="LBV3" s="0"/>
      <c r="LBW3" s="0"/>
      <c r="LBX3" s="0"/>
      <c r="LBY3" s="0"/>
      <c r="LBZ3" s="0"/>
      <c r="LCA3" s="0"/>
      <c r="LCB3" s="0"/>
      <c r="LCC3" s="0"/>
      <c r="LCD3" s="0"/>
      <c r="LCE3" s="0"/>
      <c r="LCF3" s="0"/>
      <c r="LCG3" s="0"/>
      <c r="LCH3" s="0"/>
      <c r="LCI3" s="0"/>
      <c r="LCJ3" s="0"/>
      <c r="LCK3" s="0"/>
      <c r="LCL3" s="0"/>
      <c r="LCM3" s="0"/>
      <c r="LCN3" s="0"/>
      <c r="LCO3" s="0"/>
      <c r="LCP3" s="0"/>
      <c r="LCQ3" s="0"/>
      <c r="LCR3" s="0"/>
      <c r="LCS3" s="0"/>
      <c r="LCT3" s="0"/>
      <c r="LCU3" s="0"/>
      <c r="LCV3" s="0"/>
      <c r="LCW3" s="0"/>
      <c r="LCX3" s="0"/>
      <c r="LCY3" s="0"/>
      <c r="LCZ3" s="0"/>
      <c r="LDA3" s="0"/>
      <c r="LDB3" s="0"/>
      <c r="LDC3" s="0"/>
      <c r="LDD3" s="0"/>
      <c r="LDE3" s="0"/>
      <c r="LDF3" s="0"/>
      <c r="LDG3" s="0"/>
      <c r="LDH3" s="0"/>
      <c r="LDI3" s="0"/>
      <c r="LDJ3" s="0"/>
      <c r="LDK3" s="0"/>
      <c r="LDL3" s="0"/>
      <c r="LDM3" s="0"/>
      <c r="LDN3" s="0"/>
      <c r="LDO3" s="0"/>
      <c r="LDP3" s="0"/>
      <c r="LDQ3" s="0"/>
      <c r="LDR3" s="0"/>
      <c r="LDS3" s="0"/>
      <c r="LDT3" s="0"/>
      <c r="LDU3" s="0"/>
      <c r="LDV3" s="0"/>
      <c r="LDW3" s="0"/>
      <c r="LDX3" s="0"/>
      <c r="LDY3" s="0"/>
      <c r="LDZ3" s="0"/>
      <c r="LEA3" s="0"/>
      <c r="LEB3" s="0"/>
      <c r="LEC3" s="0"/>
      <c r="LED3" s="0"/>
      <c r="LEE3" s="0"/>
      <c r="LEF3" s="0"/>
      <c r="LEG3" s="0"/>
      <c r="LEH3" s="0"/>
      <c r="LEI3" s="0"/>
      <c r="LEJ3" s="0"/>
      <c r="LEK3" s="0"/>
      <c r="LEL3" s="0"/>
      <c r="LEM3" s="0"/>
      <c r="LEN3" s="0"/>
      <c r="LEO3" s="0"/>
      <c r="LEP3" s="0"/>
      <c r="LEQ3" s="0"/>
      <c r="LER3" s="0"/>
      <c r="LES3" s="0"/>
      <c r="LET3" s="0"/>
      <c r="LEU3" s="0"/>
      <c r="LEV3" s="0"/>
      <c r="LEW3" s="0"/>
      <c r="LEX3" s="0"/>
      <c r="LEY3" s="0"/>
      <c r="LEZ3" s="0"/>
      <c r="LFA3" s="0"/>
      <c r="LFB3" s="0"/>
      <c r="LFC3" s="0"/>
      <c r="LFD3" s="0"/>
      <c r="LFE3" s="0"/>
      <c r="LFF3" s="0"/>
      <c r="LFG3" s="0"/>
      <c r="LFH3" s="0"/>
      <c r="LFI3" s="0"/>
      <c r="LFJ3" s="0"/>
      <c r="LFK3" s="0"/>
      <c r="LFL3" s="0"/>
      <c r="LFM3" s="0"/>
      <c r="LFN3" s="0"/>
      <c r="LFO3" s="0"/>
      <c r="LFP3" s="0"/>
      <c r="LFQ3" s="0"/>
      <c r="LFR3" s="0"/>
      <c r="LFS3" s="0"/>
      <c r="LFT3" s="0"/>
      <c r="LFU3" s="0"/>
      <c r="LFV3" s="0"/>
      <c r="LFW3" s="0"/>
      <c r="LFX3" s="0"/>
      <c r="LFY3" s="0"/>
      <c r="LFZ3" s="0"/>
      <c r="LGA3" s="0"/>
      <c r="LGB3" s="0"/>
      <c r="LGC3" s="0"/>
      <c r="LGD3" s="0"/>
      <c r="LGE3" s="0"/>
      <c r="LGF3" s="0"/>
      <c r="LGG3" s="0"/>
      <c r="LGH3" s="0"/>
      <c r="LGI3" s="0"/>
      <c r="LGJ3" s="0"/>
      <c r="LGK3" s="0"/>
      <c r="LGL3" s="0"/>
      <c r="LGM3" s="0"/>
      <c r="LGN3" s="0"/>
      <c r="LGO3" s="0"/>
      <c r="LGP3" s="0"/>
      <c r="LGQ3" s="0"/>
      <c r="LGR3" s="0"/>
      <c r="LGS3" s="0"/>
      <c r="LGT3" s="0"/>
      <c r="LGU3" s="0"/>
      <c r="LGV3" s="0"/>
      <c r="LGW3" s="0"/>
      <c r="LGX3" s="0"/>
      <c r="LGY3" s="0"/>
      <c r="LGZ3" s="0"/>
      <c r="LHA3" s="0"/>
      <c r="LHB3" s="0"/>
      <c r="LHC3" s="0"/>
      <c r="LHD3" s="0"/>
      <c r="LHE3" s="0"/>
      <c r="LHF3" s="0"/>
      <c r="LHG3" s="0"/>
      <c r="LHH3" s="0"/>
      <c r="LHI3" s="0"/>
      <c r="LHJ3" s="0"/>
      <c r="LHK3" s="0"/>
      <c r="LHL3" s="0"/>
      <c r="LHM3" s="0"/>
      <c r="LHN3" s="0"/>
      <c r="LHO3" s="0"/>
      <c r="LHP3" s="0"/>
      <c r="LHQ3" s="0"/>
      <c r="LHR3" s="0"/>
      <c r="LHS3" s="0"/>
      <c r="LHT3" s="0"/>
      <c r="LHU3" s="0"/>
      <c r="LHV3" s="0"/>
      <c r="LHW3" s="0"/>
      <c r="LHX3" s="0"/>
      <c r="LHY3" s="0"/>
      <c r="LHZ3" s="0"/>
      <c r="LIA3" s="0"/>
      <c r="LIB3" s="0"/>
      <c r="LIC3" s="0"/>
      <c r="LID3" s="0"/>
      <c r="LIE3" s="0"/>
      <c r="LIF3" s="0"/>
      <c r="LIG3" s="0"/>
      <c r="LIH3" s="0"/>
      <c r="LII3" s="0"/>
      <c r="LIJ3" s="0"/>
      <c r="LIK3" s="0"/>
      <c r="LIL3" s="0"/>
      <c r="LIM3" s="0"/>
      <c r="LIN3" s="0"/>
      <c r="LIO3" s="0"/>
      <c r="LIP3" s="0"/>
      <c r="LIQ3" s="0"/>
      <c r="LIR3" s="0"/>
      <c r="LIS3" s="0"/>
      <c r="LIT3" s="0"/>
      <c r="LIU3" s="0"/>
      <c r="LIV3" s="0"/>
      <c r="LIW3" s="0"/>
      <c r="LIX3" s="0"/>
      <c r="LIY3" s="0"/>
      <c r="LIZ3" s="0"/>
      <c r="LJA3" s="0"/>
      <c r="LJB3" s="0"/>
      <c r="LJC3" s="0"/>
      <c r="LJD3" s="0"/>
      <c r="LJE3" s="0"/>
      <c r="LJF3" s="0"/>
      <c r="LJG3" s="0"/>
      <c r="LJH3" s="0"/>
      <c r="LJI3" s="0"/>
      <c r="LJJ3" s="0"/>
      <c r="LJK3" s="0"/>
      <c r="LJL3" s="0"/>
      <c r="LJM3" s="0"/>
      <c r="LJN3" s="0"/>
      <c r="LJO3" s="0"/>
      <c r="LJP3" s="0"/>
      <c r="LJQ3" s="0"/>
      <c r="LJR3" s="0"/>
      <c r="LJS3" s="0"/>
      <c r="LJT3" s="0"/>
      <c r="LJU3" s="0"/>
      <c r="LJV3" s="0"/>
      <c r="LJW3" s="0"/>
      <c r="LJX3" s="0"/>
      <c r="LJY3" s="0"/>
      <c r="LJZ3" s="0"/>
      <c r="LKA3" s="0"/>
      <c r="LKB3" s="0"/>
      <c r="LKC3" s="0"/>
      <c r="LKD3" s="0"/>
      <c r="LKE3" s="0"/>
      <c r="LKF3" s="0"/>
      <c r="LKG3" s="0"/>
      <c r="LKH3" s="0"/>
      <c r="LKI3" s="0"/>
      <c r="LKJ3" s="0"/>
      <c r="LKK3" s="0"/>
      <c r="LKL3" s="0"/>
      <c r="LKM3" s="0"/>
      <c r="LKN3" s="0"/>
      <c r="LKO3" s="0"/>
      <c r="LKP3" s="0"/>
      <c r="LKQ3" s="0"/>
      <c r="LKR3" s="0"/>
      <c r="LKS3" s="0"/>
      <c r="LKT3" s="0"/>
      <c r="LKU3" s="0"/>
      <c r="LKV3" s="0"/>
      <c r="LKW3" s="0"/>
      <c r="LKX3" s="0"/>
      <c r="LKY3" s="0"/>
      <c r="LKZ3" s="0"/>
      <c r="LLA3" s="0"/>
      <c r="LLB3" s="0"/>
      <c r="LLC3" s="0"/>
      <c r="LLD3" s="0"/>
      <c r="LLE3" s="0"/>
      <c r="LLF3" s="0"/>
      <c r="LLG3" s="0"/>
      <c r="LLH3" s="0"/>
      <c r="LLI3" s="0"/>
      <c r="LLJ3" s="0"/>
      <c r="LLK3" s="0"/>
      <c r="LLL3" s="0"/>
      <c r="LLM3" s="0"/>
      <c r="LLN3" s="0"/>
      <c r="LLO3" s="0"/>
      <c r="LLP3" s="0"/>
      <c r="LLQ3" s="0"/>
      <c r="LLR3" s="0"/>
      <c r="LLS3" s="0"/>
      <c r="LLT3" s="0"/>
      <c r="LLU3" s="0"/>
      <c r="LLV3" s="0"/>
      <c r="LLW3" s="0"/>
      <c r="LLX3" s="0"/>
      <c r="LLY3" s="0"/>
      <c r="LLZ3" s="0"/>
      <c r="LMA3" s="0"/>
      <c r="LMB3" s="0"/>
      <c r="LMC3" s="0"/>
      <c r="LMD3" s="0"/>
      <c r="LME3" s="0"/>
      <c r="LMF3" s="0"/>
      <c r="LMG3" s="0"/>
      <c r="LMH3" s="0"/>
      <c r="LMI3" s="0"/>
      <c r="LMJ3" s="0"/>
      <c r="LMK3" s="0"/>
      <c r="LML3" s="0"/>
      <c r="LMM3" s="0"/>
      <c r="LMN3" s="0"/>
      <c r="LMO3" s="0"/>
      <c r="LMP3" s="0"/>
      <c r="LMQ3" s="0"/>
      <c r="LMR3" s="0"/>
      <c r="LMS3" s="0"/>
      <c r="LMT3" s="0"/>
      <c r="LMU3" s="0"/>
      <c r="LMV3" s="0"/>
      <c r="LMW3" s="0"/>
      <c r="LMX3" s="0"/>
      <c r="LMY3" s="0"/>
      <c r="LMZ3" s="0"/>
      <c r="LNA3" s="0"/>
      <c r="LNB3" s="0"/>
      <c r="LNC3" s="0"/>
      <c r="LND3" s="0"/>
      <c r="LNE3" s="0"/>
      <c r="LNF3" s="0"/>
      <c r="LNG3" s="0"/>
      <c r="LNH3" s="0"/>
      <c r="LNI3" s="0"/>
      <c r="LNJ3" s="0"/>
      <c r="LNK3" s="0"/>
      <c r="LNL3" s="0"/>
      <c r="LNM3" s="0"/>
      <c r="LNN3" s="0"/>
      <c r="LNO3" s="0"/>
      <c r="LNP3" s="0"/>
      <c r="LNQ3" s="0"/>
      <c r="LNR3" s="0"/>
      <c r="LNS3" s="0"/>
      <c r="LNT3" s="0"/>
      <c r="LNU3" s="0"/>
      <c r="LNV3" s="0"/>
      <c r="LNW3" s="0"/>
      <c r="LNX3" s="0"/>
      <c r="LNY3" s="0"/>
      <c r="LNZ3" s="0"/>
      <c r="LOA3" s="0"/>
      <c r="LOB3" s="0"/>
      <c r="LOC3" s="0"/>
      <c r="LOD3" s="0"/>
      <c r="LOE3" s="0"/>
      <c r="LOF3" s="0"/>
      <c r="LOG3" s="0"/>
      <c r="LOH3" s="0"/>
      <c r="LOI3" s="0"/>
      <c r="LOJ3" s="0"/>
      <c r="LOK3" s="0"/>
      <c r="LOL3" s="0"/>
      <c r="LOM3" s="0"/>
      <c r="LON3" s="0"/>
      <c r="LOO3" s="0"/>
      <c r="LOP3" s="0"/>
      <c r="LOQ3" s="0"/>
      <c r="LOR3" s="0"/>
      <c r="LOS3" s="0"/>
      <c r="LOT3" s="0"/>
      <c r="LOU3" s="0"/>
      <c r="LOV3" s="0"/>
      <c r="LOW3" s="0"/>
      <c r="LOX3" s="0"/>
      <c r="LOY3" s="0"/>
      <c r="LOZ3" s="0"/>
      <c r="LPA3" s="0"/>
      <c r="LPB3" s="0"/>
      <c r="LPC3" s="0"/>
      <c r="LPD3" s="0"/>
      <c r="LPE3" s="0"/>
      <c r="LPF3" s="0"/>
      <c r="LPG3" s="0"/>
      <c r="LPH3" s="0"/>
      <c r="LPI3" s="0"/>
      <c r="LPJ3" s="0"/>
      <c r="LPK3" s="0"/>
      <c r="LPL3" s="0"/>
      <c r="LPM3" s="0"/>
      <c r="LPN3" s="0"/>
      <c r="LPO3" s="0"/>
      <c r="LPP3" s="0"/>
      <c r="LPQ3" s="0"/>
      <c r="LPR3" s="0"/>
      <c r="LPS3" s="0"/>
      <c r="LPT3" s="0"/>
      <c r="LPU3" s="0"/>
      <c r="LPV3" s="0"/>
      <c r="LPW3" s="0"/>
      <c r="LPX3" s="0"/>
      <c r="LPY3" s="0"/>
      <c r="LPZ3" s="0"/>
      <c r="LQA3" s="0"/>
      <c r="LQB3" s="0"/>
      <c r="LQC3" s="0"/>
      <c r="LQD3" s="0"/>
      <c r="LQE3" s="0"/>
      <c r="LQF3" s="0"/>
      <c r="LQG3" s="0"/>
      <c r="LQH3" s="0"/>
      <c r="LQI3" s="0"/>
      <c r="LQJ3" s="0"/>
      <c r="LQK3" s="0"/>
      <c r="LQL3" s="0"/>
      <c r="LQM3" s="0"/>
      <c r="LQN3" s="0"/>
      <c r="LQO3" s="0"/>
      <c r="LQP3" s="0"/>
      <c r="LQQ3" s="0"/>
      <c r="LQR3" s="0"/>
      <c r="LQS3" s="0"/>
      <c r="LQT3" s="0"/>
      <c r="LQU3" s="0"/>
      <c r="LQV3" s="0"/>
      <c r="LQW3" s="0"/>
      <c r="LQX3" s="0"/>
      <c r="LQY3" s="0"/>
      <c r="LQZ3" s="0"/>
      <c r="LRA3" s="0"/>
      <c r="LRB3" s="0"/>
      <c r="LRC3" s="0"/>
      <c r="LRD3" s="0"/>
      <c r="LRE3" s="0"/>
      <c r="LRF3" s="0"/>
      <c r="LRG3" s="0"/>
      <c r="LRH3" s="0"/>
      <c r="LRI3" s="0"/>
      <c r="LRJ3" s="0"/>
      <c r="LRK3" s="0"/>
      <c r="LRL3" s="0"/>
      <c r="LRM3" s="0"/>
      <c r="LRN3" s="0"/>
      <c r="LRO3" s="0"/>
      <c r="LRP3" s="0"/>
      <c r="LRQ3" s="0"/>
      <c r="LRR3" s="0"/>
      <c r="LRS3" s="0"/>
      <c r="LRT3" s="0"/>
      <c r="LRU3" s="0"/>
      <c r="LRV3" s="0"/>
      <c r="LRW3" s="0"/>
      <c r="LRX3" s="0"/>
      <c r="LRY3" s="0"/>
      <c r="LRZ3" s="0"/>
      <c r="LSA3" s="0"/>
      <c r="LSB3" s="0"/>
      <c r="LSC3" s="0"/>
      <c r="LSD3" s="0"/>
      <c r="LSE3" s="0"/>
      <c r="LSF3" s="0"/>
      <c r="LSG3" s="0"/>
      <c r="LSH3" s="0"/>
      <c r="LSI3" s="0"/>
      <c r="LSJ3" s="0"/>
      <c r="LSK3" s="0"/>
      <c r="LSL3" s="0"/>
      <c r="LSM3" s="0"/>
      <c r="LSN3" s="0"/>
      <c r="LSO3" s="0"/>
      <c r="LSP3" s="0"/>
      <c r="LSQ3" s="0"/>
      <c r="LSR3" s="0"/>
      <c r="LSS3" s="0"/>
      <c r="LST3" s="0"/>
      <c r="LSU3" s="0"/>
      <c r="LSV3" s="0"/>
      <c r="LSW3" s="0"/>
      <c r="LSX3" s="0"/>
      <c r="LSY3" s="0"/>
      <c r="LSZ3" s="0"/>
      <c r="LTA3" s="0"/>
      <c r="LTB3" s="0"/>
      <c r="LTC3" s="0"/>
      <c r="LTD3" s="0"/>
      <c r="LTE3" s="0"/>
      <c r="LTF3" s="0"/>
      <c r="LTG3" s="0"/>
      <c r="LTH3" s="0"/>
      <c r="LTI3" s="0"/>
      <c r="LTJ3" s="0"/>
      <c r="LTK3" s="0"/>
      <c r="LTL3" s="0"/>
      <c r="LTM3" s="0"/>
      <c r="LTN3" s="0"/>
      <c r="LTO3" s="0"/>
      <c r="LTP3" s="0"/>
      <c r="LTQ3" s="0"/>
      <c r="LTR3" s="0"/>
      <c r="LTS3" s="0"/>
      <c r="LTT3" s="0"/>
      <c r="LTU3" s="0"/>
      <c r="LTV3" s="0"/>
      <c r="LTW3" s="0"/>
      <c r="LTX3" s="0"/>
      <c r="LTY3" s="0"/>
      <c r="LTZ3" s="0"/>
      <c r="LUA3" s="0"/>
      <c r="LUB3" s="0"/>
      <c r="LUC3" s="0"/>
      <c r="LUD3" s="0"/>
      <c r="LUE3" s="0"/>
      <c r="LUF3" s="0"/>
      <c r="LUG3" s="0"/>
      <c r="LUH3" s="0"/>
      <c r="LUI3" s="0"/>
      <c r="LUJ3" s="0"/>
      <c r="LUK3" s="0"/>
      <c r="LUL3" s="0"/>
      <c r="LUM3" s="0"/>
      <c r="LUN3" s="0"/>
      <c r="LUO3" s="0"/>
      <c r="LUP3" s="0"/>
      <c r="LUQ3" s="0"/>
      <c r="LUR3" s="0"/>
      <c r="LUS3" s="0"/>
      <c r="LUT3" s="0"/>
      <c r="LUU3" s="0"/>
      <c r="LUV3" s="0"/>
      <c r="LUW3" s="0"/>
      <c r="LUX3" s="0"/>
      <c r="LUY3" s="0"/>
      <c r="LUZ3" s="0"/>
      <c r="LVA3" s="0"/>
      <c r="LVB3" s="0"/>
      <c r="LVC3" s="0"/>
      <c r="LVD3" s="0"/>
      <c r="LVE3" s="0"/>
      <c r="LVF3" s="0"/>
      <c r="LVG3" s="0"/>
      <c r="LVH3" s="0"/>
      <c r="LVI3" s="0"/>
      <c r="LVJ3" s="0"/>
      <c r="LVK3" s="0"/>
      <c r="LVL3" s="0"/>
      <c r="LVM3" s="0"/>
      <c r="LVN3" s="0"/>
      <c r="LVO3" s="0"/>
      <c r="LVP3" s="0"/>
      <c r="LVQ3" s="0"/>
      <c r="LVR3" s="0"/>
      <c r="LVS3" s="0"/>
      <c r="LVT3" s="0"/>
      <c r="LVU3" s="0"/>
      <c r="LVV3" s="0"/>
      <c r="LVW3" s="0"/>
      <c r="LVX3" s="0"/>
      <c r="LVY3" s="0"/>
      <c r="LVZ3" s="0"/>
      <c r="LWA3" s="0"/>
      <c r="LWB3" s="0"/>
      <c r="LWC3" s="0"/>
      <c r="LWD3" s="0"/>
      <c r="LWE3" s="0"/>
      <c r="LWF3" s="0"/>
      <c r="LWG3" s="0"/>
      <c r="LWH3" s="0"/>
      <c r="LWI3" s="0"/>
      <c r="LWJ3" s="0"/>
      <c r="LWK3" s="0"/>
      <c r="LWL3" s="0"/>
      <c r="LWM3" s="0"/>
      <c r="LWN3" s="0"/>
      <c r="LWO3" s="0"/>
      <c r="LWP3" s="0"/>
      <c r="LWQ3" s="0"/>
      <c r="LWR3" s="0"/>
      <c r="LWS3" s="0"/>
      <c r="LWT3" s="0"/>
      <c r="LWU3" s="0"/>
      <c r="LWV3" s="0"/>
      <c r="LWW3" s="0"/>
      <c r="LWX3" s="0"/>
      <c r="LWY3" s="0"/>
      <c r="LWZ3" s="0"/>
      <c r="LXA3" s="0"/>
      <c r="LXB3" s="0"/>
      <c r="LXC3" s="0"/>
      <c r="LXD3" s="0"/>
      <c r="LXE3" s="0"/>
      <c r="LXF3" s="0"/>
      <c r="LXG3" s="0"/>
      <c r="LXH3" s="0"/>
      <c r="LXI3" s="0"/>
      <c r="LXJ3" s="0"/>
      <c r="LXK3" s="0"/>
      <c r="LXL3" s="0"/>
      <c r="LXM3" s="0"/>
      <c r="LXN3" s="0"/>
      <c r="LXO3" s="0"/>
      <c r="LXP3" s="0"/>
      <c r="LXQ3" s="0"/>
      <c r="LXR3" s="0"/>
      <c r="LXS3" s="0"/>
      <c r="LXT3" s="0"/>
      <c r="LXU3" s="0"/>
      <c r="LXV3" s="0"/>
      <c r="LXW3" s="0"/>
      <c r="LXX3" s="0"/>
      <c r="LXY3" s="0"/>
      <c r="LXZ3" s="0"/>
      <c r="LYA3" s="0"/>
      <c r="LYB3" s="0"/>
      <c r="LYC3" s="0"/>
      <c r="LYD3" s="0"/>
      <c r="LYE3" s="0"/>
      <c r="LYF3" s="0"/>
      <c r="LYG3" s="0"/>
      <c r="LYH3" s="0"/>
      <c r="LYI3" s="0"/>
      <c r="LYJ3" s="0"/>
      <c r="LYK3" s="0"/>
      <c r="LYL3" s="0"/>
      <c r="LYM3" s="0"/>
      <c r="LYN3" s="0"/>
      <c r="LYO3" s="0"/>
      <c r="LYP3" s="0"/>
      <c r="LYQ3" s="0"/>
      <c r="LYR3" s="0"/>
      <c r="LYS3" s="0"/>
      <c r="LYT3" s="0"/>
      <c r="LYU3" s="0"/>
      <c r="LYV3" s="0"/>
      <c r="LYW3" s="0"/>
      <c r="LYX3" s="0"/>
      <c r="LYY3" s="0"/>
      <c r="LYZ3" s="0"/>
      <c r="LZA3" s="0"/>
      <c r="LZB3" s="0"/>
      <c r="LZC3" s="0"/>
      <c r="LZD3" s="0"/>
      <c r="LZE3" s="0"/>
      <c r="LZF3" s="0"/>
      <c r="LZG3" s="0"/>
      <c r="LZH3" s="0"/>
      <c r="LZI3" s="0"/>
      <c r="LZJ3" s="0"/>
      <c r="LZK3" s="0"/>
      <c r="LZL3" s="0"/>
      <c r="LZM3" s="0"/>
      <c r="LZN3" s="0"/>
      <c r="LZO3" s="0"/>
      <c r="LZP3" s="0"/>
      <c r="LZQ3" s="0"/>
      <c r="LZR3" s="0"/>
      <c r="LZS3" s="0"/>
      <c r="LZT3" s="0"/>
      <c r="LZU3" s="0"/>
      <c r="LZV3" s="0"/>
      <c r="LZW3" s="0"/>
      <c r="LZX3" s="0"/>
      <c r="LZY3" s="0"/>
      <c r="LZZ3" s="0"/>
      <c r="MAA3" s="0"/>
      <c r="MAB3" s="0"/>
      <c r="MAC3" s="0"/>
      <c r="MAD3" s="0"/>
      <c r="MAE3" s="0"/>
      <c r="MAF3" s="0"/>
      <c r="MAG3" s="0"/>
      <c r="MAH3" s="0"/>
      <c r="MAI3" s="0"/>
      <c r="MAJ3" s="0"/>
      <c r="MAK3" s="0"/>
      <c r="MAL3" s="0"/>
      <c r="MAM3" s="0"/>
      <c r="MAN3" s="0"/>
      <c r="MAO3" s="0"/>
      <c r="MAP3" s="0"/>
      <c r="MAQ3" s="0"/>
      <c r="MAR3" s="0"/>
      <c r="MAS3" s="0"/>
      <c r="MAT3" s="0"/>
      <c r="MAU3" s="0"/>
      <c r="MAV3" s="0"/>
      <c r="MAW3" s="0"/>
      <c r="MAX3" s="0"/>
      <c r="MAY3" s="0"/>
      <c r="MAZ3" s="0"/>
      <c r="MBA3" s="0"/>
      <c r="MBB3" s="0"/>
      <c r="MBC3" s="0"/>
      <c r="MBD3" s="0"/>
      <c r="MBE3" s="0"/>
      <c r="MBF3" s="0"/>
      <c r="MBG3" s="0"/>
      <c r="MBH3" s="0"/>
      <c r="MBI3" s="0"/>
      <c r="MBJ3" s="0"/>
      <c r="MBK3" s="0"/>
      <c r="MBL3" s="0"/>
      <c r="MBM3" s="0"/>
      <c r="MBN3" s="0"/>
      <c r="MBO3" s="0"/>
      <c r="MBP3" s="0"/>
      <c r="MBQ3" s="0"/>
      <c r="MBR3" s="0"/>
      <c r="MBS3" s="0"/>
      <c r="MBT3" s="0"/>
      <c r="MBU3" s="0"/>
      <c r="MBV3" s="0"/>
      <c r="MBW3" s="0"/>
      <c r="MBX3" s="0"/>
      <c r="MBY3" s="0"/>
      <c r="MBZ3" s="0"/>
      <c r="MCA3" s="0"/>
      <c r="MCB3" s="0"/>
      <c r="MCC3" s="0"/>
      <c r="MCD3" s="0"/>
      <c r="MCE3" s="0"/>
      <c r="MCF3" s="0"/>
      <c r="MCG3" s="0"/>
      <c r="MCH3" s="0"/>
      <c r="MCI3" s="0"/>
      <c r="MCJ3" s="0"/>
      <c r="MCK3" s="0"/>
      <c r="MCL3" s="0"/>
      <c r="MCM3" s="0"/>
      <c r="MCN3" s="0"/>
      <c r="MCO3" s="0"/>
      <c r="MCP3" s="0"/>
      <c r="MCQ3" s="0"/>
      <c r="MCR3" s="0"/>
      <c r="MCS3" s="0"/>
      <c r="MCT3" s="0"/>
      <c r="MCU3" s="0"/>
      <c r="MCV3" s="0"/>
      <c r="MCW3" s="0"/>
      <c r="MCX3" s="0"/>
      <c r="MCY3" s="0"/>
      <c r="MCZ3" s="0"/>
      <c r="MDA3" s="0"/>
      <c r="MDB3" s="0"/>
      <c r="MDC3" s="0"/>
      <c r="MDD3" s="0"/>
      <c r="MDE3" s="0"/>
      <c r="MDF3" s="0"/>
      <c r="MDG3" s="0"/>
      <c r="MDH3" s="0"/>
      <c r="MDI3" s="0"/>
      <c r="MDJ3" s="0"/>
      <c r="MDK3" s="0"/>
      <c r="MDL3" s="0"/>
      <c r="MDM3" s="0"/>
      <c r="MDN3" s="0"/>
      <c r="MDO3" s="0"/>
      <c r="MDP3" s="0"/>
      <c r="MDQ3" s="0"/>
      <c r="MDR3" s="0"/>
      <c r="MDS3" s="0"/>
      <c r="MDT3" s="0"/>
      <c r="MDU3" s="0"/>
      <c r="MDV3" s="0"/>
      <c r="MDW3" s="0"/>
      <c r="MDX3" s="0"/>
      <c r="MDY3" s="0"/>
      <c r="MDZ3" s="0"/>
      <c r="MEA3" s="0"/>
      <c r="MEB3" s="0"/>
      <c r="MEC3" s="0"/>
      <c r="MED3" s="0"/>
      <c r="MEE3" s="0"/>
      <c r="MEF3" s="0"/>
      <c r="MEG3" s="0"/>
      <c r="MEH3" s="0"/>
      <c r="MEI3" s="0"/>
      <c r="MEJ3" s="0"/>
      <c r="MEK3" s="0"/>
      <c r="MEL3" s="0"/>
      <c r="MEM3" s="0"/>
      <c r="MEN3" s="0"/>
      <c r="MEO3" s="0"/>
      <c r="MEP3" s="0"/>
      <c r="MEQ3" s="0"/>
      <c r="MER3" s="0"/>
      <c r="MES3" s="0"/>
      <c r="MET3" s="0"/>
      <c r="MEU3" s="0"/>
      <c r="MEV3" s="0"/>
      <c r="MEW3" s="0"/>
      <c r="MEX3" s="0"/>
      <c r="MEY3" s="0"/>
      <c r="MEZ3" s="0"/>
      <c r="MFA3" s="0"/>
      <c r="MFB3" s="0"/>
      <c r="MFC3" s="0"/>
      <c r="MFD3" s="0"/>
      <c r="MFE3" s="0"/>
      <c r="MFF3" s="0"/>
      <c r="MFG3" s="0"/>
      <c r="MFH3" s="0"/>
      <c r="MFI3" s="0"/>
      <c r="MFJ3" s="0"/>
      <c r="MFK3" s="0"/>
      <c r="MFL3" s="0"/>
      <c r="MFM3" s="0"/>
      <c r="MFN3" s="0"/>
      <c r="MFO3" s="0"/>
      <c r="MFP3" s="0"/>
      <c r="MFQ3" s="0"/>
      <c r="MFR3" s="0"/>
      <c r="MFS3" s="0"/>
      <c r="MFT3" s="0"/>
      <c r="MFU3" s="0"/>
      <c r="MFV3" s="0"/>
      <c r="MFW3" s="0"/>
      <c r="MFX3" s="0"/>
      <c r="MFY3" s="0"/>
      <c r="MFZ3" s="0"/>
      <c r="MGA3" s="0"/>
      <c r="MGB3" s="0"/>
      <c r="MGC3" s="0"/>
      <c r="MGD3" s="0"/>
      <c r="MGE3" s="0"/>
      <c r="MGF3" s="0"/>
      <c r="MGG3" s="0"/>
      <c r="MGH3" s="0"/>
      <c r="MGI3" s="0"/>
      <c r="MGJ3" s="0"/>
      <c r="MGK3" s="0"/>
      <c r="MGL3" s="0"/>
      <c r="MGM3" s="0"/>
      <c r="MGN3" s="0"/>
      <c r="MGO3" s="0"/>
      <c r="MGP3" s="0"/>
      <c r="MGQ3" s="0"/>
      <c r="MGR3" s="0"/>
      <c r="MGS3" s="0"/>
      <c r="MGT3" s="0"/>
      <c r="MGU3" s="0"/>
      <c r="MGV3" s="0"/>
      <c r="MGW3" s="0"/>
      <c r="MGX3" s="0"/>
      <c r="MGY3" s="0"/>
      <c r="MGZ3" s="0"/>
      <c r="MHA3" s="0"/>
      <c r="MHB3" s="0"/>
      <c r="MHC3" s="0"/>
      <c r="MHD3" s="0"/>
      <c r="MHE3" s="0"/>
      <c r="MHF3" s="0"/>
      <c r="MHG3" s="0"/>
      <c r="MHH3" s="0"/>
      <c r="MHI3" s="0"/>
      <c r="MHJ3" s="0"/>
      <c r="MHK3" s="0"/>
      <c r="MHL3" s="0"/>
      <c r="MHM3" s="0"/>
      <c r="MHN3" s="0"/>
      <c r="MHO3" s="0"/>
      <c r="MHP3" s="0"/>
      <c r="MHQ3" s="0"/>
      <c r="MHR3" s="0"/>
      <c r="MHS3" s="0"/>
      <c r="MHT3" s="0"/>
      <c r="MHU3" s="0"/>
      <c r="MHV3" s="0"/>
      <c r="MHW3" s="0"/>
      <c r="MHX3" s="0"/>
      <c r="MHY3" s="0"/>
      <c r="MHZ3" s="0"/>
      <c r="MIA3" s="0"/>
      <c r="MIB3" s="0"/>
      <c r="MIC3" s="0"/>
      <c r="MID3" s="0"/>
      <c r="MIE3" s="0"/>
      <c r="MIF3" s="0"/>
      <c r="MIG3" s="0"/>
      <c r="MIH3" s="0"/>
      <c r="MII3" s="0"/>
      <c r="MIJ3" s="0"/>
      <c r="MIK3" s="0"/>
      <c r="MIL3" s="0"/>
      <c r="MIM3" s="0"/>
      <c r="MIN3" s="0"/>
      <c r="MIO3" s="0"/>
      <c r="MIP3" s="0"/>
      <c r="MIQ3" s="0"/>
      <c r="MIR3" s="0"/>
      <c r="MIS3" s="0"/>
      <c r="MIT3" s="0"/>
      <c r="MIU3" s="0"/>
      <c r="MIV3" s="0"/>
      <c r="MIW3" s="0"/>
      <c r="MIX3" s="0"/>
      <c r="MIY3" s="0"/>
      <c r="MIZ3" s="0"/>
      <c r="MJA3" s="0"/>
      <c r="MJB3" s="0"/>
      <c r="MJC3" s="0"/>
      <c r="MJD3" s="0"/>
      <c r="MJE3" s="0"/>
      <c r="MJF3" s="0"/>
      <c r="MJG3" s="0"/>
      <c r="MJH3" s="0"/>
      <c r="MJI3" s="0"/>
      <c r="MJJ3" s="0"/>
      <c r="MJK3" s="0"/>
      <c r="MJL3" s="0"/>
      <c r="MJM3" s="0"/>
      <c r="MJN3" s="0"/>
      <c r="MJO3" s="0"/>
      <c r="MJP3" s="0"/>
      <c r="MJQ3" s="0"/>
      <c r="MJR3" s="0"/>
      <c r="MJS3" s="0"/>
      <c r="MJT3" s="0"/>
      <c r="MJU3" s="0"/>
      <c r="MJV3" s="0"/>
      <c r="MJW3" s="0"/>
      <c r="MJX3" s="0"/>
      <c r="MJY3" s="0"/>
      <c r="MJZ3" s="0"/>
      <c r="MKA3" s="0"/>
      <c r="MKB3" s="0"/>
      <c r="MKC3" s="0"/>
      <c r="MKD3" s="0"/>
      <c r="MKE3" s="0"/>
      <c r="MKF3" s="0"/>
      <c r="MKG3" s="0"/>
      <c r="MKH3" s="0"/>
      <c r="MKI3" s="0"/>
      <c r="MKJ3" s="0"/>
      <c r="MKK3" s="0"/>
      <c r="MKL3" s="0"/>
      <c r="MKM3" s="0"/>
      <c r="MKN3" s="0"/>
      <c r="MKO3" s="0"/>
      <c r="MKP3" s="0"/>
      <c r="MKQ3" s="0"/>
      <c r="MKR3" s="0"/>
      <c r="MKS3" s="0"/>
      <c r="MKT3" s="0"/>
      <c r="MKU3" s="0"/>
      <c r="MKV3" s="0"/>
      <c r="MKW3" s="0"/>
      <c r="MKX3" s="0"/>
      <c r="MKY3" s="0"/>
      <c r="MKZ3" s="0"/>
      <c r="MLA3" s="0"/>
      <c r="MLB3" s="0"/>
      <c r="MLC3" s="0"/>
      <c r="MLD3" s="0"/>
      <c r="MLE3" s="0"/>
      <c r="MLF3" s="0"/>
      <c r="MLG3" s="0"/>
      <c r="MLH3" s="0"/>
      <c r="MLI3" s="0"/>
      <c r="MLJ3" s="0"/>
      <c r="MLK3" s="0"/>
      <c r="MLL3" s="0"/>
      <c r="MLM3" s="0"/>
      <c r="MLN3" s="0"/>
      <c r="MLO3" s="0"/>
      <c r="MLP3" s="0"/>
      <c r="MLQ3" s="0"/>
      <c r="MLR3" s="0"/>
      <c r="MLS3" s="0"/>
      <c r="MLT3" s="0"/>
      <c r="MLU3" s="0"/>
      <c r="MLV3" s="0"/>
      <c r="MLW3" s="0"/>
      <c r="MLX3" s="0"/>
      <c r="MLY3" s="0"/>
      <c r="MLZ3" s="0"/>
      <c r="MMA3" s="0"/>
      <c r="MMB3" s="0"/>
      <c r="MMC3" s="0"/>
      <c r="MMD3" s="0"/>
      <c r="MME3" s="0"/>
      <c r="MMF3" s="0"/>
      <c r="MMG3" s="0"/>
      <c r="MMH3" s="0"/>
      <c r="MMI3" s="0"/>
      <c r="MMJ3" s="0"/>
      <c r="MMK3" s="0"/>
      <c r="MML3" s="0"/>
      <c r="MMM3" s="0"/>
      <c r="MMN3" s="0"/>
      <c r="MMO3" s="0"/>
      <c r="MMP3" s="0"/>
      <c r="MMQ3" s="0"/>
      <c r="MMR3" s="0"/>
      <c r="MMS3" s="0"/>
      <c r="MMT3" s="0"/>
      <c r="MMU3" s="0"/>
      <c r="MMV3" s="0"/>
      <c r="MMW3" s="0"/>
      <c r="MMX3" s="0"/>
      <c r="MMY3" s="0"/>
      <c r="MMZ3" s="0"/>
      <c r="MNA3" s="0"/>
      <c r="MNB3" s="0"/>
      <c r="MNC3" s="0"/>
      <c r="MND3" s="0"/>
      <c r="MNE3" s="0"/>
      <c r="MNF3" s="0"/>
      <c r="MNG3" s="0"/>
      <c r="MNH3" s="0"/>
      <c r="MNI3" s="0"/>
      <c r="MNJ3" s="0"/>
      <c r="MNK3" s="0"/>
      <c r="MNL3" s="0"/>
      <c r="MNM3" s="0"/>
      <c r="MNN3" s="0"/>
      <c r="MNO3" s="0"/>
      <c r="MNP3" s="0"/>
      <c r="MNQ3" s="0"/>
      <c r="MNR3" s="0"/>
      <c r="MNS3" s="0"/>
      <c r="MNT3" s="0"/>
      <c r="MNU3" s="0"/>
      <c r="MNV3" s="0"/>
      <c r="MNW3" s="0"/>
      <c r="MNX3" s="0"/>
      <c r="MNY3" s="0"/>
      <c r="MNZ3" s="0"/>
      <c r="MOA3" s="0"/>
      <c r="MOB3" s="0"/>
      <c r="MOC3" s="0"/>
      <c r="MOD3" s="0"/>
      <c r="MOE3" s="0"/>
      <c r="MOF3" s="0"/>
      <c r="MOG3" s="0"/>
      <c r="MOH3" s="0"/>
      <c r="MOI3" s="0"/>
      <c r="MOJ3" s="0"/>
      <c r="MOK3" s="0"/>
      <c r="MOL3" s="0"/>
      <c r="MOM3" s="0"/>
      <c r="MON3" s="0"/>
      <c r="MOO3" s="0"/>
      <c r="MOP3" s="0"/>
      <c r="MOQ3" s="0"/>
      <c r="MOR3" s="0"/>
      <c r="MOS3" s="0"/>
      <c r="MOT3" s="0"/>
      <c r="MOU3" s="0"/>
      <c r="MOV3" s="0"/>
      <c r="MOW3" s="0"/>
      <c r="MOX3" s="0"/>
      <c r="MOY3" s="0"/>
      <c r="MOZ3" s="0"/>
      <c r="MPA3" s="0"/>
      <c r="MPB3" s="0"/>
      <c r="MPC3" s="0"/>
      <c r="MPD3" s="0"/>
      <c r="MPE3" s="0"/>
      <c r="MPF3" s="0"/>
      <c r="MPG3" s="0"/>
      <c r="MPH3" s="0"/>
      <c r="MPI3" s="0"/>
      <c r="MPJ3" s="0"/>
      <c r="MPK3" s="0"/>
      <c r="MPL3" s="0"/>
      <c r="MPM3" s="0"/>
      <c r="MPN3" s="0"/>
      <c r="MPO3" s="0"/>
      <c r="MPP3" s="0"/>
      <c r="MPQ3" s="0"/>
      <c r="MPR3" s="0"/>
      <c r="MPS3" s="0"/>
      <c r="MPT3" s="0"/>
      <c r="MPU3" s="0"/>
      <c r="MPV3" s="0"/>
      <c r="MPW3" s="0"/>
      <c r="MPX3" s="0"/>
      <c r="MPY3" s="0"/>
      <c r="MPZ3" s="0"/>
      <c r="MQA3" s="0"/>
      <c r="MQB3" s="0"/>
      <c r="MQC3" s="0"/>
      <c r="MQD3" s="0"/>
      <c r="MQE3" s="0"/>
      <c r="MQF3" s="0"/>
      <c r="MQG3" s="0"/>
      <c r="MQH3" s="0"/>
      <c r="MQI3" s="0"/>
      <c r="MQJ3" s="0"/>
      <c r="MQK3" s="0"/>
      <c r="MQL3" s="0"/>
      <c r="MQM3" s="0"/>
      <c r="MQN3" s="0"/>
      <c r="MQO3" s="0"/>
      <c r="MQP3" s="0"/>
      <c r="MQQ3" s="0"/>
      <c r="MQR3" s="0"/>
      <c r="MQS3" s="0"/>
      <c r="MQT3" s="0"/>
      <c r="MQU3" s="0"/>
      <c r="MQV3" s="0"/>
      <c r="MQW3" s="0"/>
      <c r="MQX3" s="0"/>
      <c r="MQY3" s="0"/>
      <c r="MQZ3" s="0"/>
      <c r="MRA3" s="0"/>
      <c r="MRB3" s="0"/>
      <c r="MRC3" s="0"/>
      <c r="MRD3" s="0"/>
      <c r="MRE3" s="0"/>
      <c r="MRF3" s="0"/>
      <c r="MRG3" s="0"/>
      <c r="MRH3" s="0"/>
      <c r="MRI3" s="0"/>
      <c r="MRJ3" s="0"/>
      <c r="MRK3" s="0"/>
      <c r="MRL3" s="0"/>
      <c r="MRM3" s="0"/>
      <c r="MRN3" s="0"/>
      <c r="MRO3" s="0"/>
      <c r="MRP3" s="0"/>
      <c r="MRQ3" s="0"/>
      <c r="MRR3" s="0"/>
      <c r="MRS3" s="0"/>
      <c r="MRT3" s="0"/>
      <c r="MRU3" s="0"/>
      <c r="MRV3" s="0"/>
      <c r="MRW3" s="0"/>
      <c r="MRX3" s="0"/>
      <c r="MRY3" s="0"/>
      <c r="MRZ3" s="0"/>
      <c r="MSA3" s="0"/>
      <c r="MSB3" s="0"/>
      <c r="MSC3" s="0"/>
      <c r="MSD3" s="0"/>
      <c r="MSE3" s="0"/>
      <c r="MSF3" s="0"/>
      <c r="MSG3" s="0"/>
      <c r="MSH3" s="0"/>
      <c r="MSI3" s="0"/>
      <c r="MSJ3" s="0"/>
      <c r="MSK3" s="0"/>
      <c r="MSL3" s="0"/>
      <c r="MSM3" s="0"/>
      <c r="MSN3" s="0"/>
      <c r="MSO3" s="0"/>
      <c r="MSP3" s="0"/>
      <c r="MSQ3" s="0"/>
      <c r="MSR3" s="0"/>
      <c r="MSS3" s="0"/>
      <c r="MST3" s="0"/>
      <c r="MSU3" s="0"/>
      <c r="MSV3" s="0"/>
      <c r="MSW3" s="0"/>
      <c r="MSX3" s="0"/>
      <c r="MSY3" s="0"/>
      <c r="MSZ3" s="0"/>
      <c r="MTA3" s="0"/>
      <c r="MTB3" s="0"/>
      <c r="MTC3" s="0"/>
      <c r="MTD3" s="0"/>
      <c r="MTE3" s="0"/>
      <c r="MTF3" s="0"/>
      <c r="MTG3" s="0"/>
      <c r="MTH3" s="0"/>
      <c r="MTI3" s="0"/>
      <c r="MTJ3" s="0"/>
      <c r="MTK3" s="0"/>
      <c r="MTL3" s="0"/>
      <c r="MTM3" s="0"/>
      <c r="MTN3" s="0"/>
      <c r="MTO3" s="0"/>
      <c r="MTP3" s="0"/>
      <c r="MTQ3" s="0"/>
      <c r="MTR3" s="0"/>
      <c r="MTS3" s="0"/>
      <c r="MTT3" s="0"/>
      <c r="MTU3" s="0"/>
      <c r="MTV3" s="0"/>
      <c r="MTW3" s="0"/>
      <c r="MTX3" s="0"/>
      <c r="MTY3" s="0"/>
      <c r="MTZ3" s="0"/>
      <c r="MUA3" s="0"/>
      <c r="MUB3" s="0"/>
      <c r="MUC3" s="0"/>
      <c r="MUD3" s="0"/>
      <c r="MUE3" s="0"/>
      <c r="MUF3" s="0"/>
      <c r="MUG3" s="0"/>
      <c r="MUH3" s="0"/>
      <c r="MUI3" s="0"/>
      <c r="MUJ3" s="0"/>
      <c r="MUK3" s="0"/>
      <c r="MUL3" s="0"/>
      <c r="MUM3" s="0"/>
      <c r="MUN3" s="0"/>
      <c r="MUO3" s="0"/>
      <c r="MUP3" s="0"/>
      <c r="MUQ3" s="0"/>
      <c r="MUR3" s="0"/>
      <c r="MUS3" s="0"/>
      <c r="MUT3" s="0"/>
      <c r="MUU3" s="0"/>
      <c r="MUV3" s="0"/>
      <c r="MUW3" s="0"/>
      <c r="MUX3" s="0"/>
      <c r="MUY3" s="0"/>
      <c r="MUZ3" s="0"/>
      <c r="MVA3" s="0"/>
      <c r="MVB3" s="0"/>
      <c r="MVC3" s="0"/>
      <c r="MVD3" s="0"/>
      <c r="MVE3" s="0"/>
      <c r="MVF3" s="0"/>
      <c r="MVG3" s="0"/>
      <c r="MVH3" s="0"/>
      <c r="MVI3" s="0"/>
      <c r="MVJ3" s="0"/>
      <c r="MVK3" s="0"/>
      <c r="MVL3" s="0"/>
      <c r="MVM3" s="0"/>
      <c r="MVN3" s="0"/>
      <c r="MVO3" s="0"/>
      <c r="MVP3" s="0"/>
      <c r="MVQ3" s="0"/>
      <c r="MVR3" s="0"/>
      <c r="MVS3" s="0"/>
      <c r="MVT3" s="0"/>
      <c r="MVU3" s="0"/>
      <c r="MVV3" s="0"/>
      <c r="MVW3" s="0"/>
      <c r="MVX3" s="0"/>
      <c r="MVY3" s="0"/>
      <c r="MVZ3" s="0"/>
      <c r="MWA3" s="0"/>
      <c r="MWB3" s="0"/>
      <c r="MWC3" s="0"/>
      <c r="MWD3" s="0"/>
      <c r="MWE3" s="0"/>
      <c r="MWF3" s="0"/>
      <c r="MWG3" s="0"/>
      <c r="MWH3" s="0"/>
      <c r="MWI3" s="0"/>
      <c r="MWJ3" s="0"/>
      <c r="MWK3" s="0"/>
      <c r="MWL3" s="0"/>
      <c r="MWM3" s="0"/>
      <c r="MWN3" s="0"/>
      <c r="MWO3" s="0"/>
      <c r="MWP3" s="0"/>
      <c r="MWQ3" s="0"/>
      <c r="MWR3" s="0"/>
      <c r="MWS3" s="0"/>
      <c r="MWT3" s="0"/>
      <c r="MWU3" s="0"/>
      <c r="MWV3" s="0"/>
      <c r="MWW3" s="0"/>
      <c r="MWX3" s="0"/>
      <c r="MWY3" s="0"/>
      <c r="MWZ3" s="0"/>
      <c r="MXA3" s="0"/>
      <c r="MXB3" s="0"/>
      <c r="MXC3" s="0"/>
      <c r="MXD3" s="0"/>
      <c r="MXE3" s="0"/>
      <c r="MXF3" s="0"/>
      <c r="MXG3" s="0"/>
      <c r="MXH3" s="0"/>
      <c r="MXI3" s="0"/>
      <c r="MXJ3" s="0"/>
      <c r="MXK3" s="0"/>
      <c r="MXL3" s="0"/>
      <c r="MXM3" s="0"/>
      <c r="MXN3" s="0"/>
      <c r="MXO3" s="0"/>
      <c r="MXP3" s="0"/>
      <c r="MXQ3" s="0"/>
      <c r="MXR3" s="0"/>
      <c r="MXS3" s="0"/>
      <c r="MXT3" s="0"/>
      <c r="MXU3" s="0"/>
      <c r="MXV3" s="0"/>
      <c r="MXW3" s="0"/>
      <c r="MXX3" s="0"/>
      <c r="MXY3" s="0"/>
      <c r="MXZ3" s="0"/>
      <c r="MYA3" s="0"/>
      <c r="MYB3" s="0"/>
      <c r="MYC3" s="0"/>
      <c r="MYD3" s="0"/>
      <c r="MYE3" s="0"/>
      <c r="MYF3" s="0"/>
      <c r="MYG3" s="0"/>
      <c r="MYH3" s="0"/>
      <c r="MYI3" s="0"/>
      <c r="MYJ3" s="0"/>
      <c r="MYK3" s="0"/>
      <c r="MYL3" s="0"/>
      <c r="MYM3" s="0"/>
      <c r="MYN3" s="0"/>
      <c r="MYO3" s="0"/>
      <c r="MYP3" s="0"/>
      <c r="MYQ3" s="0"/>
      <c r="MYR3" s="0"/>
      <c r="MYS3" s="0"/>
      <c r="MYT3" s="0"/>
      <c r="MYU3" s="0"/>
      <c r="MYV3" s="0"/>
      <c r="MYW3" s="0"/>
      <c r="MYX3" s="0"/>
      <c r="MYY3" s="0"/>
      <c r="MYZ3" s="0"/>
      <c r="MZA3" s="0"/>
      <c r="MZB3" s="0"/>
      <c r="MZC3" s="0"/>
      <c r="MZD3" s="0"/>
      <c r="MZE3" s="0"/>
      <c r="MZF3" s="0"/>
      <c r="MZG3" s="0"/>
      <c r="MZH3" s="0"/>
      <c r="MZI3" s="0"/>
      <c r="MZJ3" s="0"/>
      <c r="MZK3" s="0"/>
      <c r="MZL3" s="0"/>
      <c r="MZM3" s="0"/>
      <c r="MZN3" s="0"/>
      <c r="MZO3" s="0"/>
      <c r="MZP3" s="0"/>
      <c r="MZQ3" s="0"/>
      <c r="MZR3" s="0"/>
      <c r="MZS3" s="0"/>
      <c r="MZT3" s="0"/>
      <c r="MZU3" s="0"/>
      <c r="MZV3" s="0"/>
      <c r="MZW3" s="0"/>
      <c r="MZX3" s="0"/>
      <c r="MZY3" s="0"/>
      <c r="MZZ3" s="0"/>
      <c r="NAA3" s="0"/>
      <c r="NAB3" s="0"/>
      <c r="NAC3" s="0"/>
      <c r="NAD3" s="0"/>
      <c r="NAE3" s="0"/>
      <c r="NAF3" s="0"/>
      <c r="NAG3" s="0"/>
      <c r="NAH3" s="0"/>
      <c r="NAI3" s="0"/>
      <c r="NAJ3" s="0"/>
      <c r="NAK3" s="0"/>
      <c r="NAL3" s="0"/>
      <c r="NAM3" s="0"/>
      <c r="NAN3" s="0"/>
      <c r="NAO3" s="0"/>
      <c r="NAP3" s="0"/>
      <c r="NAQ3" s="0"/>
      <c r="NAR3" s="0"/>
      <c r="NAS3" s="0"/>
      <c r="NAT3" s="0"/>
      <c r="NAU3" s="0"/>
      <c r="NAV3" s="0"/>
      <c r="NAW3" s="0"/>
      <c r="NAX3" s="0"/>
      <c r="NAY3" s="0"/>
      <c r="NAZ3" s="0"/>
      <c r="NBA3" s="0"/>
      <c r="NBB3" s="0"/>
      <c r="NBC3" s="0"/>
      <c r="NBD3" s="0"/>
      <c r="NBE3" s="0"/>
      <c r="NBF3" s="0"/>
      <c r="NBG3" s="0"/>
      <c r="NBH3" s="0"/>
      <c r="NBI3" s="0"/>
      <c r="NBJ3" s="0"/>
      <c r="NBK3" s="0"/>
      <c r="NBL3" s="0"/>
      <c r="NBM3" s="0"/>
      <c r="NBN3" s="0"/>
      <c r="NBO3" s="0"/>
      <c r="NBP3" s="0"/>
      <c r="NBQ3" s="0"/>
      <c r="NBR3" s="0"/>
      <c r="NBS3" s="0"/>
      <c r="NBT3" s="0"/>
      <c r="NBU3" s="0"/>
      <c r="NBV3" s="0"/>
      <c r="NBW3" s="0"/>
      <c r="NBX3" s="0"/>
      <c r="NBY3" s="0"/>
      <c r="NBZ3" s="0"/>
      <c r="NCA3" s="0"/>
      <c r="NCB3" s="0"/>
      <c r="NCC3" s="0"/>
      <c r="NCD3" s="0"/>
      <c r="NCE3" s="0"/>
      <c r="NCF3" s="0"/>
      <c r="NCG3" s="0"/>
      <c r="NCH3" s="0"/>
      <c r="NCI3" s="0"/>
      <c r="NCJ3" s="0"/>
      <c r="NCK3" s="0"/>
      <c r="NCL3" s="0"/>
      <c r="NCM3" s="0"/>
      <c r="NCN3" s="0"/>
      <c r="NCO3" s="0"/>
      <c r="NCP3" s="0"/>
      <c r="NCQ3" s="0"/>
      <c r="NCR3" s="0"/>
      <c r="NCS3" s="0"/>
      <c r="NCT3" s="0"/>
      <c r="NCU3" s="0"/>
      <c r="NCV3" s="0"/>
      <c r="NCW3" s="0"/>
      <c r="NCX3" s="0"/>
      <c r="NCY3" s="0"/>
      <c r="NCZ3" s="0"/>
      <c r="NDA3" s="0"/>
      <c r="NDB3" s="0"/>
      <c r="NDC3" s="0"/>
      <c r="NDD3" s="0"/>
      <c r="NDE3" s="0"/>
      <c r="NDF3" s="0"/>
      <c r="NDG3" s="0"/>
      <c r="NDH3" s="0"/>
      <c r="NDI3" s="0"/>
      <c r="NDJ3" s="0"/>
      <c r="NDK3" s="0"/>
      <c r="NDL3" s="0"/>
      <c r="NDM3" s="0"/>
      <c r="NDN3" s="0"/>
      <c r="NDO3" s="0"/>
      <c r="NDP3" s="0"/>
      <c r="NDQ3" s="0"/>
      <c r="NDR3" s="0"/>
      <c r="NDS3" s="0"/>
      <c r="NDT3" s="0"/>
      <c r="NDU3" s="0"/>
      <c r="NDV3" s="0"/>
      <c r="NDW3" s="0"/>
      <c r="NDX3" s="0"/>
      <c r="NDY3" s="0"/>
      <c r="NDZ3" s="0"/>
      <c r="NEA3" s="0"/>
      <c r="NEB3" s="0"/>
      <c r="NEC3" s="0"/>
      <c r="NED3" s="0"/>
      <c r="NEE3" s="0"/>
      <c r="NEF3" s="0"/>
      <c r="NEG3" s="0"/>
      <c r="NEH3" s="0"/>
      <c r="NEI3" s="0"/>
      <c r="NEJ3" s="0"/>
      <c r="NEK3" s="0"/>
      <c r="NEL3" s="0"/>
      <c r="NEM3" s="0"/>
      <c r="NEN3" s="0"/>
      <c r="NEO3" s="0"/>
      <c r="NEP3" s="0"/>
      <c r="NEQ3" s="0"/>
      <c r="NER3" s="0"/>
      <c r="NES3" s="0"/>
      <c r="NET3" s="0"/>
      <c r="NEU3" s="0"/>
      <c r="NEV3" s="0"/>
      <c r="NEW3" s="0"/>
      <c r="NEX3" s="0"/>
      <c r="NEY3" s="0"/>
      <c r="NEZ3" s="0"/>
      <c r="NFA3" s="0"/>
      <c r="NFB3" s="0"/>
      <c r="NFC3" s="0"/>
      <c r="NFD3" s="0"/>
      <c r="NFE3" s="0"/>
      <c r="NFF3" s="0"/>
      <c r="NFG3" s="0"/>
      <c r="NFH3" s="0"/>
      <c r="NFI3" s="0"/>
      <c r="NFJ3" s="0"/>
      <c r="NFK3" s="0"/>
      <c r="NFL3" s="0"/>
      <c r="NFM3" s="0"/>
      <c r="NFN3" s="0"/>
      <c r="NFO3" s="0"/>
      <c r="NFP3" s="0"/>
      <c r="NFQ3" s="0"/>
      <c r="NFR3" s="0"/>
      <c r="NFS3" s="0"/>
      <c r="NFT3" s="0"/>
      <c r="NFU3" s="0"/>
      <c r="NFV3" s="0"/>
      <c r="NFW3" s="0"/>
      <c r="NFX3" s="0"/>
      <c r="NFY3" s="0"/>
      <c r="NFZ3" s="0"/>
      <c r="NGA3" s="0"/>
      <c r="NGB3" s="0"/>
      <c r="NGC3" s="0"/>
      <c r="NGD3" s="0"/>
      <c r="NGE3" s="0"/>
      <c r="NGF3" s="0"/>
      <c r="NGG3" s="0"/>
      <c r="NGH3" s="0"/>
      <c r="NGI3" s="0"/>
      <c r="NGJ3" s="0"/>
      <c r="NGK3" s="0"/>
      <c r="NGL3" s="0"/>
      <c r="NGM3" s="0"/>
      <c r="NGN3" s="0"/>
      <c r="NGO3" s="0"/>
      <c r="NGP3" s="0"/>
      <c r="NGQ3" s="0"/>
      <c r="NGR3" s="0"/>
      <c r="NGS3" s="0"/>
      <c r="NGT3" s="0"/>
      <c r="NGU3" s="0"/>
      <c r="NGV3" s="0"/>
      <c r="NGW3" s="0"/>
      <c r="NGX3" s="0"/>
      <c r="NGY3" s="0"/>
      <c r="NGZ3" s="0"/>
      <c r="NHA3" s="0"/>
      <c r="NHB3" s="0"/>
      <c r="NHC3" s="0"/>
      <c r="NHD3" s="0"/>
      <c r="NHE3" s="0"/>
      <c r="NHF3" s="0"/>
      <c r="NHG3" s="0"/>
      <c r="NHH3" s="0"/>
      <c r="NHI3" s="0"/>
      <c r="NHJ3" s="0"/>
      <c r="NHK3" s="0"/>
      <c r="NHL3" s="0"/>
      <c r="NHM3" s="0"/>
      <c r="NHN3" s="0"/>
      <c r="NHO3" s="0"/>
      <c r="NHP3" s="0"/>
      <c r="NHQ3" s="0"/>
      <c r="NHR3" s="0"/>
      <c r="NHS3" s="0"/>
      <c r="NHT3" s="0"/>
      <c r="NHU3" s="0"/>
      <c r="NHV3" s="0"/>
      <c r="NHW3" s="0"/>
      <c r="NHX3" s="0"/>
      <c r="NHY3" s="0"/>
      <c r="NHZ3" s="0"/>
      <c r="NIA3" s="0"/>
      <c r="NIB3" s="0"/>
      <c r="NIC3" s="0"/>
      <c r="NID3" s="0"/>
      <c r="NIE3" s="0"/>
      <c r="NIF3" s="0"/>
      <c r="NIG3" s="0"/>
      <c r="NIH3" s="0"/>
      <c r="NII3" s="0"/>
      <c r="NIJ3" s="0"/>
      <c r="NIK3" s="0"/>
      <c r="NIL3" s="0"/>
      <c r="NIM3" s="0"/>
      <c r="NIN3" s="0"/>
      <c r="NIO3" s="0"/>
      <c r="NIP3" s="0"/>
      <c r="NIQ3" s="0"/>
      <c r="NIR3" s="0"/>
      <c r="NIS3" s="0"/>
      <c r="NIT3" s="0"/>
      <c r="NIU3" s="0"/>
      <c r="NIV3" s="0"/>
      <c r="NIW3" s="0"/>
      <c r="NIX3" s="0"/>
      <c r="NIY3" s="0"/>
      <c r="NIZ3" s="0"/>
      <c r="NJA3" s="0"/>
      <c r="NJB3" s="0"/>
      <c r="NJC3" s="0"/>
      <c r="NJD3" s="0"/>
      <c r="NJE3" s="0"/>
      <c r="NJF3" s="0"/>
      <c r="NJG3" s="0"/>
      <c r="NJH3" s="0"/>
      <c r="NJI3" s="0"/>
      <c r="NJJ3" s="0"/>
      <c r="NJK3" s="0"/>
      <c r="NJL3" s="0"/>
      <c r="NJM3" s="0"/>
      <c r="NJN3" s="0"/>
      <c r="NJO3" s="0"/>
      <c r="NJP3" s="0"/>
      <c r="NJQ3" s="0"/>
      <c r="NJR3" s="0"/>
      <c r="NJS3" s="0"/>
      <c r="NJT3" s="0"/>
      <c r="NJU3" s="0"/>
      <c r="NJV3" s="0"/>
      <c r="NJW3" s="0"/>
      <c r="NJX3" s="0"/>
      <c r="NJY3" s="0"/>
      <c r="NJZ3" s="0"/>
      <c r="NKA3" s="0"/>
      <c r="NKB3" s="0"/>
      <c r="NKC3" s="0"/>
      <c r="NKD3" s="0"/>
      <c r="NKE3" s="0"/>
      <c r="NKF3" s="0"/>
      <c r="NKG3" s="0"/>
      <c r="NKH3" s="0"/>
      <c r="NKI3" s="0"/>
      <c r="NKJ3" s="0"/>
      <c r="NKK3" s="0"/>
      <c r="NKL3" s="0"/>
      <c r="NKM3" s="0"/>
      <c r="NKN3" s="0"/>
      <c r="NKO3" s="0"/>
      <c r="NKP3" s="0"/>
      <c r="NKQ3" s="0"/>
      <c r="NKR3" s="0"/>
      <c r="NKS3" s="0"/>
      <c r="NKT3" s="0"/>
      <c r="NKU3" s="0"/>
      <c r="NKV3" s="0"/>
      <c r="NKW3" s="0"/>
      <c r="NKX3" s="0"/>
      <c r="NKY3" s="0"/>
      <c r="NKZ3" s="0"/>
      <c r="NLA3" s="0"/>
      <c r="NLB3" s="0"/>
      <c r="NLC3" s="0"/>
      <c r="NLD3" s="0"/>
      <c r="NLE3" s="0"/>
      <c r="NLF3" s="0"/>
      <c r="NLG3" s="0"/>
      <c r="NLH3" s="0"/>
      <c r="NLI3" s="0"/>
      <c r="NLJ3" s="0"/>
      <c r="NLK3" s="0"/>
      <c r="NLL3" s="0"/>
      <c r="NLM3" s="0"/>
      <c r="NLN3" s="0"/>
      <c r="NLO3" s="0"/>
      <c r="NLP3" s="0"/>
      <c r="NLQ3" s="0"/>
      <c r="NLR3" s="0"/>
      <c r="NLS3" s="0"/>
      <c r="NLT3" s="0"/>
      <c r="NLU3" s="0"/>
      <c r="NLV3" s="0"/>
      <c r="NLW3" s="0"/>
      <c r="NLX3" s="0"/>
      <c r="NLY3" s="0"/>
      <c r="NLZ3" s="0"/>
      <c r="NMA3" s="0"/>
      <c r="NMB3" s="0"/>
      <c r="NMC3" s="0"/>
      <c r="NMD3" s="0"/>
      <c r="NME3" s="0"/>
      <c r="NMF3" s="0"/>
      <c r="NMG3" s="0"/>
      <c r="NMH3" s="0"/>
      <c r="NMI3" s="0"/>
      <c r="NMJ3" s="0"/>
      <c r="NMK3" s="0"/>
      <c r="NML3" s="0"/>
      <c r="NMM3" s="0"/>
      <c r="NMN3" s="0"/>
      <c r="NMO3" s="0"/>
      <c r="NMP3" s="0"/>
      <c r="NMQ3" s="0"/>
      <c r="NMR3" s="0"/>
      <c r="NMS3" s="0"/>
      <c r="NMT3" s="0"/>
      <c r="NMU3" s="0"/>
      <c r="NMV3" s="0"/>
      <c r="NMW3" s="0"/>
      <c r="NMX3" s="0"/>
      <c r="NMY3" s="0"/>
      <c r="NMZ3" s="0"/>
      <c r="NNA3" s="0"/>
      <c r="NNB3" s="0"/>
      <c r="NNC3" s="0"/>
      <c r="NND3" s="0"/>
      <c r="NNE3" s="0"/>
      <c r="NNF3" s="0"/>
      <c r="NNG3" s="0"/>
      <c r="NNH3" s="0"/>
      <c r="NNI3" s="0"/>
      <c r="NNJ3" s="0"/>
      <c r="NNK3" s="0"/>
      <c r="NNL3" s="0"/>
      <c r="NNM3" s="0"/>
      <c r="NNN3" s="0"/>
      <c r="NNO3" s="0"/>
      <c r="NNP3" s="0"/>
      <c r="NNQ3" s="0"/>
      <c r="NNR3" s="0"/>
      <c r="NNS3" s="0"/>
      <c r="NNT3" s="0"/>
      <c r="NNU3" s="0"/>
      <c r="NNV3" s="0"/>
      <c r="NNW3" s="0"/>
      <c r="NNX3" s="0"/>
      <c r="NNY3" s="0"/>
      <c r="NNZ3" s="0"/>
      <c r="NOA3" s="0"/>
      <c r="NOB3" s="0"/>
      <c r="NOC3" s="0"/>
      <c r="NOD3" s="0"/>
      <c r="NOE3" s="0"/>
      <c r="NOF3" s="0"/>
      <c r="NOG3" s="0"/>
      <c r="NOH3" s="0"/>
      <c r="NOI3" s="0"/>
      <c r="NOJ3" s="0"/>
      <c r="NOK3" s="0"/>
      <c r="NOL3" s="0"/>
      <c r="NOM3" s="0"/>
      <c r="NON3" s="0"/>
      <c r="NOO3" s="0"/>
      <c r="NOP3" s="0"/>
      <c r="NOQ3" s="0"/>
      <c r="NOR3" s="0"/>
      <c r="NOS3" s="0"/>
      <c r="NOT3" s="0"/>
      <c r="NOU3" s="0"/>
      <c r="NOV3" s="0"/>
      <c r="NOW3" s="0"/>
      <c r="NOX3" s="0"/>
      <c r="NOY3" s="0"/>
      <c r="NOZ3" s="0"/>
      <c r="NPA3" s="0"/>
      <c r="NPB3" s="0"/>
      <c r="NPC3" s="0"/>
      <c r="NPD3" s="0"/>
      <c r="NPE3" s="0"/>
      <c r="NPF3" s="0"/>
      <c r="NPG3" s="0"/>
      <c r="NPH3" s="0"/>
      <c r="NPI3" s="0"/>
      <c r="NPJ3" s="0"/>
      <c r="NPK3" s="0"/>
      <c r="NPL3" s="0"/>
      <c r="NPM3" s="0"/>
      <c r="NPN3" s="0"/>
      <c r="NPO3" s="0"/>
      <c r="NPP3" s="0"/>
      <c r="NPQ3" s="0"/>
      <c r="NPR3" s="0"/>
      <c r="NPS3" s="0"/>
      <c r="NPT3" s="0"/>
      <c r="NPU3" s="0"/>
      <c r="NPV3" s="0"/>
      <c r="NPW3" s="0"/>
      <c r="NPX3" s="0"/>
      <c r="NPY3" s="0"/>
      <c r="NPZ3" s="0"/>
      <c r="NQA3" s="0"/>
      <c r="NQB3" s="0"/>
      <c r="NQC3" s="0"/>
      <c r="NQD3" s="0"/>
      <c r="NQE3" s="0"/>
      <c r="NQF3" s="0"/>
      <c r="NQG3" s="0"/>
      <c r="NQH3" s="0"/>
      <c r="NQI3" s="0"/>
      <c r="NQJ3" s="0"/>
      <c r="NQK3" s="0"/>
      <c r="NQL3" s="0"/>
      <c r="NQM3" s="0"/>
      <c r="NQN3" s="0"/>
      <c r="NQO3" s="0"/>
      <c r="NQP3" s="0"/>
      <c r="NQQ3" s="0"/>
      <c r="NQR3" s="0"/>
      <c r="NQS3" s="0"/>
      <c r="NQT3" s="0"/>
      <c r="NQU3" s="0"/>
      <c r="NQV3" s="0"/>
      <c r="NQW3" s="0"/>
      <c r="NQX3" s="0"/>
      <c r="NQY3" s="0"/>
      <c r="NQZ3" s="0"/>
      <c r="NRA3" s="0"/>
      <c r="NRB3" s="0"/>
      <c r="NRC3" s="0"/>
      <c r="NRD3" s="0"/>
      <c r="NRE3" s="0"/>
      <c r="NRF3" s="0"/>
      <c r="NRG3" s="0"/>
      <c r="NRH3" s="0"/>
      <c r="NRI3" s="0"/>
      <c r="NRJ3" s="0"/>
      <c r="NRK3" s="0"/>
      <c r="NRL3" s="0"/>
      <c r="NRM3" s="0"/>
      <c r="NRN3" s="0"/>
      <c r="NRO3" s="0"/>
      <c r="NRP3" s="0"/>
      <c r="NRQ3" s="0"/>
      <c r="NRR3" s="0"/>
      <c r="NRS3" s="0"/>
      <c r="NRT3" s="0"/>
      <c r="NRU3" s="0"/>
      <c r="NRV3" s="0"/>
      <c r="NRW3" s="0"/>
      <c r="NRX3" s="0"/>
      <c r="NRY3" s="0"/>
      <c r="NRZ3" s="0"/>
      <c r="NSA3" s="0"/>
      <c r="NSB3" s="0"/>
      <c r="NSC3" s="0"/>
      <c r="NSD3" s="0"/>
      <c r="NSE3" s="0"/>
      <c r="NSF3" s="0"/>
      <c r="NSG3" s="0"/>
      <c r="NSH3" s="0"/>
      <c r="NSI3" s="0"/>
      <c r="NSJ3" s="0"/>
      <c r="NSK3" s="0"/>
      <c r="NSL3" s="0"/>
      <c r="NSM3" s="0"/>
      <c r="NSN3" s="0"/>
      <c r="NSO3" s="0"/>
      <c r="NSP3" s="0"/>
      <c r="NSQ3" s="0"/>
      <c r="NSR3" s="0"/>
      <c r="NSS3" s="0"/>
      <c r="NST3" s="0"/>
      <c r="NSU3" s="0"/>
      <c r="NSV3" s="0"/>
      <c r="NSW3" s="0"/>
      <c r="NSX3" s="0"/>
      <c r="NSY3" s="0"/>
      <c r="NSZ3" s="0"/>
      <c r="NTA3" s="0"/>
      <c r="NTB3" s="0"/>
      <c r="NTC3" s="0"/>
      <c r="NTD3" s="0"/>
      <c r="NTE3" s="0"/>
      <c r="NTF3" s="0"/>
      <c r="NTG3" s="0"/>
      <c r="NTH3" s="0"/>
      <c r="NTI3" s="0"/>
      <c r="NTJ3" s="0"/>
      <c r="NTK3" s="0"/>
      <c r="NTL3" s="0"/>
      <c r="NTM3" s="0"/>
      <c r="NTN3" s="0"/>
      <c r="NTO3" s="0"/>
      <c r="NTP3" s="0"/>
      <c r="NTQ3" s="0"/>
      <c r="NTR3" s="0"/>
      <c r="NTS3" s="0"/>
      <c r="NTT3" s="0"/>
      <c r="NTU3" s="0"/>
      <c r="NTV3" s="0"/>
      <c r="NTW3" s="0"/>
      <c r="NTX3" s="0"/>
      <c r="NTY3" s="0"/>
      <c r="NTZ3" s="0"/>
      <c r="NUA3" s="0"/>
      <c r="NUB3" s="0"/>
      <c r="NUC3" s="0"/>
      <c r="NUD3" s="0"/>
      <c r="NUE3" s="0"/>
      <c r="NUF3" s="0"/>
      <c r="NUG3" s="0"/>
      <c r="NUH3" s="0"/>
      <c r="NUI3" s="0"/>
      <c r="NUJ3" s="0"/>
      <c r="NUK3" s="0"/>
      <c r="NUL3" s="0"/>
      <c r="NUM3" s="0"/>
      <c r="NUN3" s="0"/>
      <c r="NUO3" s="0"/>
      <c r="NUP3" s="0"/>
      <c r="NUQ3" s="0"/>
      <c r="NUR3" s="0"/>
      <c r="NUS3" s="0"/>
      <c r="NUT3" s="0"/>
      <c r="NUU3" s="0"/>
      <c r="NUV3" s="0"/>
      <c r="NUW3" s="0"/>
      <c r="NUX3" s="0"/>
      <c r="NUY3" s="0"/>
      <c r="NUZ3" s="0"/>
      <c r="NVA3" s="0"/>
      <c r="NVB3" s="0"/>
      <c r="NVC3" s="0"/>
      <c r="NVD3" s="0"/>
      <c r="NVE3" s="0"/>
      <c r="NVF3" s="0"/>
      <c r="NVG3" s="0"/>
      <c r="NVH3" s="0"/>
      <c r="NVI3" s="0"/>
      <c r="NVJ3" s="0"/>
      <c r="NVK3" s="0"/>
      <c r="NVL3" s="0"/>
      <c r="NVM3" s="0"/>
      <c r="NVN3" s="0"/>
      <c r="NVO3" s="0"/>
      <c r="NVP3" s="0"/>
      <c r="NVQ3" s="0"/>
      <c r="NVR3" s="0"/>
      <c r="NVS3" s="0"/>
      <c r="NVT3" s="0"/>
      <c r="NVU3" s="0"/>
      <c r="NVV3" s="0"/>
      <c r="NVW3" s="0"/>
      <c r="NVX3" s="0"/>
      <c r="NVY3" s="0"/>
      <c r="NVZ3" s="0"/>
      <c r="NWA3" s="0"/>
      <c r="NWB3" s="0"/>
      <c r="NWC3" s="0"/>
      <c r="NWD3" s="0"/>
      <c r="NWE3" s="0"/>
      <c r="NWF3" s="0"/>
      <c r="NWG3" s="0"/>
      <c r="NWH3" s="0"/>
      <c r="NWI3" s="0"/>
      <c r="NWJ3" s="0"/>
      <c r="NWK3" s="0"/>
      <c r="NWL3" s="0"/>
      <c r="NWM3" s="0"/>
      <c r="NWN3" s="0"/>
      <c r="NWO3" s="0"/>
      <c r="NWP3" s="0"/>
      <c r="NWQ3" s="0"/>
      <c r="NWR3" s="0"/>
      <c r="NWS3" s="0"/>
      <c r="NWT3" s="0"/>
      <c r="NWU3" s="0"/>
      <c r="NWV3" s="0"/>
      <c r="NWW3" s="0"/>
      <c r="NWX3" s="0"/>
      <c r="NWY3" s="0"/>
      <c r="NWZ3" s="0"/>
      <c r="NXA3" s="0"/>
      <c r="NXB3" s="0"/>
      <c r="NXC3" s="0"/>
      <c r="NXD3" s="0"/>
      <c r="NXE3" s="0"/>
      <c r="NXF3" s="0"/>
      <c r="NXG3" s="0"/>
      <c r="NXH3" s="0"/>
      <c r="NXI3" s="0"/>
      <c r="NXJ3" s="0"/>
      <c r="NXK3" s="0"/>
      <c r="NXL3" s="0"/>
      <c r="NXM3" s="0"/>
      <c r="NXN3" s="0"/>
      <c r="NXO3" s="0"/>
      <c r="NXP3" s="0"/>
      <c r="NXQ3" s="0"/>
      <c r="NXR3" s="0"/>
      <c r="NXS3" s="0"/>
      <c r="NXT3" s="0"/>
      <c r="NXU3" s="0"/>
      <c r="NXV3" s="0"/>
      <c r="NXW3" s="0"/>
      <c r="NXX3" s="0"/>
      <c r="NXY3" s="0"/>
      <c r="NXZ3" s="0"/>
      <c r="NYA3" s="0"/>
      <c r="NYB3" s="0"/>
      <c r="NYC3" s="0"/>
      <c r="NYD3" s="0"/>
      <c r="NYE3" s="0"/>
      <c r="NYF3" s="0"/>
      <c r="NYG3" s="0"/>
      <c r="NYH3" s="0"/>
      <c r="NYI3" s="0"/>
      <c r="NYJ3" s="0"/>
      <c r="NYK3" s="0"/>
      <c r="NYL3" s="0"/>
      <c r="NYM3" s="0"/>
      <c r="NYN3" s="0"/>
      <c r="NYO3" s="0"/>
      <c r="NYP3" s="0"/>
      <c r="NYQ3" s="0"/>
      <c r="NYR3" s="0"/>
      <c r="NYS3" s="0"/>
      <c r="NYT3" s="0"/>
      <c r="NYU3" s="0"/>
      <c r="NYV3" s="0"/>
      <c r="NYW3" s="0"/>
      <c r="NYX3" s="0"/>
      <c r="NYY3" s="0"/>
      <c r="NYZ3" s="0"/>
      <c r="NZA3" s="0"/>
      <c r="NZB3" s="0"/>
      <c r="NZC3" s="0"/>
      <c r="NZD3" s="0"/>
      <c r="NZE3" s="0"/>
      <c r="NZF3" s="0"/>
      <c r="NZG3" s="0"/>
      <c r="NZH3" s="0"/>
      <c r="NZI3" s="0"/>
      <c r="NZJ3" s="0"/>
      <c r="NZK3" s="0"/>
      <c r="NZL3" s="0"/>
      <c r="NZM3" s="0"/>
      <c r="NZN3" s="0"/>
      <c r="NZO3" s="0"/>
      <c r="NZP3" s="0"/>
      <c r="NZQ3" s="0"/>
      <c r="NZR3" s="0"/>
      <c r="NZS3" s="0"/>
      <c r="NZT3" s="0"/>
      <c r="NZU3" s="0"/>
      <c r="NZV3" s="0"/>
      <c r="NZW3" s="0"/>
      <c r="NZX3" s="0"/>
      <c r="NZY3" s="0"/>
      <c r="NZZ3" s="0"/>
      <c r="OAA3" s="0"/>
      <c r="OAB3" s="0"/>
      <c r="OAC3" s="0"/>
      <c r="OAD3" s="0"/>
      <c r="OAE3" s="0"/>
      <c r="OAF3" s="0"/>
      <c r="OAG3" s="0"/>
      <c r="OAH3" s="0"/>
      <c r="OAI3" s="0"/>
      <c r="OAJ3" s="0"/>
      <c r="OAK3" s="0"/>
      <c r="OAL3" s="0"/>
      <c r="OAM3" s="0"/>
      <c r="OAN3" s="0"/>
      <c r="OAO3" s="0"/>
      <c r="OAP3" s="0"/>
      <c r="OAQ3" s="0"/>
      <c r="OAR3" s="0"/>
      <c r="OAS3" s="0"/>
      <c r="OAT3" s="0"/>
      <c r="OAU3" s="0"/>
      <c r="OAV3" s="0"/>
      <c r="OAW3" s="0"/>
      <c r="OAX3" s="0"/>
      <c r="OAY3" s="0"/>
      <c r="OAZ3" s="0"/>
      <c r="OBA3" s="0"/>
      <c r="OBB3" s="0"/>
      <c r="OBC3" s="0"/>
      <c r="OBD3" s="0"/>
      <c r="OBE3" s="0"/>
      <c r="OBF3" s="0"/>
      <c r="OBG3" s="0"/>
      <c r="OBH3" s="0"/>
      <c r="OBI3" s="0"/>
      <c r="OBJ3" s="0"/>
      <c r="OBK3" s="0"/>
      <c r="OBL3" s="0"/>
      <c r="OBM3" s="0"/>
      <c r="OBN3" s="0"/>
      <c r="OBO3" s="0"/>
      <c r="OBP3" s="0"/>
      <c r="OBQ3" s="0"/>
      <c r="OBR3" s="0"/>
      <c r="OBS3" s="0"/>
      <c r="OBT3" s="0"/>
      <c r="OBU3" s="0"/>
      <c r="OBV3" s="0"/>
      <c r="OBW3" s="0"/>
      <c r="OBX3" s="0"/>
      <c r="OBY3" s="0"/>
      <c r="OBZ3" s="0"/>
      <c r="OCA3" s="0"/>
      <c r="OCB3" s="0"/>
      <c r="OCC3" s="0"/>
      <c r="OCD3" s="0"/>
      <c r="OCE3" s="0"/>
      <c r="OCF3" s="0"/>
      <c r="OCG3" s="0"/>
      <c r="OCH3" s="0"/>
      <c r="OCI3" s="0"/>
      <c r="OCJ3" s="0"/>
      <c r="OCK3" s="0"/>
      <c r="OCL3" s="0"/>
      <c r="OCM3" s="0"/>
      <c r="OCN3" s="0"/>
      <c r="OCO3" s="0"/>
      <c r="OCP3" s="0"/>
      <c r="OCQ3" s="0"/>
      <c r="OCR3" s="0"/>
      <c r="OCS3" s="0"/>
      <c r="OCT3" s="0"/>
      <c r="OCU3" s="0"/>
      <c r="OCV3" s="0"/>
      <c r="OCW3" s="0"/>
      <c r="OCX3" s="0"/>
      <c r="OCY3" s="0"/>
      <c r="OCZ3" s="0"/>
      <c r="ODA3" s="0"/>
      <c r="ODB3" s="0"/>
      <c r="ODC3" s="0"/>
      <c r="ODD3" s="0"/>
      <c r="ODE3" s="0"/>
      <c r="ODF3" s="0"/>
      <c r="ODG3" s="0"/>
      <c r="ODH3" s="0"/>
      <c r="ODI3" s="0"/>
      <c r="ODJ3" s="0"/>
      <c r="ODK3" s="0"/>
      <c r="ODL3" s="0"/>
      <c r="ODM3" s="0"/>
      <c r="ODN3" s="0"/>
      <c r="ODO3" s="0"/>
      <c r="ODP3" s="0"/>
      <c r="ODQ3" s="0"/>
      <c r="ODR3" s="0"/>
      <c r="ODS3" s="0"/>
      <c r="ODT3" s="0"/>
      <c r="ODU3" s="0"/>
      <c r="ODV3" s="0"/>
      <c r="ODW3" s="0"/>
      <c r="ODX3" s="0"/>
      <c r="ODY3" s="0"/>
      <c r="ODZ3" s="0"/>
      <c r="OEA3" s="0"/>
      <c r="OEB3" s="0"/>
      <c r="OEC3" s="0"/>
      <c r="OED3" s="0"/>
      <c r="OEE3" s="0"/>
      <c r="OEF3" s="0"/>
      <c r="OEG3" s="0"/>
      <c r="OEH3" s="0"/>
      <c r="OEI3" s="0"/>
      <c r="OEJ3" s="0"/>
      <c r="OEK3" s="0"/>
      <c r="OEL3" s="0"/>
      <c r="OEM3" s="0"/>
      <c r="OEN3" s="0"/>
      <c r="OEO3" s="0"/>
      <c r="OEP3" s="0"/>
      <c r="OEQ3" s="0"/>
      <c r="OER3" s="0"/>
      <c r="OES3" s="0"/>
      <c r="OET3" s="0"/>
      <c r="OEU3" s="0"/>
      <c r="OEV3" s="0"/>
      <c r="OEW3" s="0"/>
      <c r="OEX3" s="0"/>
      <c r="OEY3" s="0"/>
      <c r="OEZ3" s="0"/>
      <c r="OFA3" s="0"/>
      <c r="OFB3" s="0"/>
      <c r="OFC3" s="0"/>
      <c r="OFD3" s="0"/>
      <c r="OFE3" s="0"/>
      <c r="OFF3" s="0"/>
      <c r="OFG3" s="0"/>
      <c r="OFH3" s="0"/>
      <c r="OFI3" s="0"/>
      <c r="OFJ3" s="0"/>
      <c r="OFK3" s="0"/>
      <c r="OFL3" s="0"/>
      <c r="OFM3" s="0"/>
      <c r="OFN3" s="0"/>
      <c r="OFO3" s="0"/>
      <c r="OFP3" s="0"/>
      <c r="OFQ3" s="0"/>
      <c r="OFR3" s="0"/>
      <c r="OFS3" s="0"/>
      <c r="OFT3" s="0"/>
      <c r="OFU3" s="0"/>
      <c r="OFV3" s="0"/>
      <c r="OFW3" s="0"/>
      <c r="OFX3" s="0"/>
      <c r="OFY3" s="0"/>
      <c r="OFZ3" s="0"/>
      <c r="OGA3" s="0"/>
      <c r="OGB3" s="0"/>
      <c r="OGC3" s="0"/>
      <c r="OGD3" s="0"/>
      <c r="OGE3" s="0"/>
      <c r="OGF3" s="0"/>
      <c r="OGG3" s="0"/>
      <c r="OGH3" s="0"/>
      <c r="OGI3" s="0"/>
      <c r="OGJ3" s="0"/>
      <c r="OGK3" s="0"/>
      <c r="OGL3" s="0"/>
      <c r="OGM3" s="0"/>
      <c r="OGN3" s="0"/>
      <c r="OGO3" s="0"/>
      <c r="OGP3" s="0"/>
      <c r="OGQ3" s="0"/>
      <c r="OGR3" s="0"/>
      <c r="OGS3" s="0"/>
      <c r="OGT3" s="0"/>
      <c r="OGU3" s="0"/>
      <c r="OGV3" s="0"/>
      <c r="OGW3" s="0"/>
      <c r="OGX3" s="0"/>
      <c r="OGY3" s="0"/>
      <c r="OGZ3" s="0"/>
      <c r="OHA3" s="0"/>
      <c r="OHB3" s="0"/>
      <c r="OHC3" s="0"/>
      <c r="OHD3" s="0"/>
      <c r="OHE3" s="0"/>
      <c r="OHF3" s="0"/>
      <c r="OHG3" s="0"/>
      <c r="OHH3" s="0"/>
      <c r="OHI3" s="0"/>
      <c r="OHJ3" s="0"/>
      <c r="OHK3" s="0"/>
      <c r="OHL3" s="0"/>
      <c r="OHM3" s="0"/>
      <c r="OHN3" s="0"/>
      <c r="OHO3" s="0"/>
      <c r="OHP3" s="0"/>
      <c r="OHQ3" s="0"/>
      <c r="OHR3" s="0"/>
      <c r="OHS3" s="0"/>
      <c r="OHT3" s="0"/>
      <c r="OHU3" s="0"/>
      <c r="OHV3" s="0"/>
      <c r="OHW3" s="0"/>
      <c r="OHX3" s="0"/>
      <c r="OHY3" s="0"/>
      <c r="OHZ3" s="0"/>
      <c r="OIA3" s="0"/>
      <c r="OIB3" s="0"/>
      <c r="OIC3" s="0"/>
      <c r="OID3" s="0"/>
      <c r="OIE3" s="0"/>
      <c r="OIF3" s="0"/>
      <c r="OIG3" s="0"/>
      <c r="OIH3" s="0"/>
      <c r="OII3" s="0"/>
      <c r="OIJ3" s="0"/>
      <c r="OIK3" s="0"/>
      <c r="OIL3" s="0"/>
      <c r="OIM3" s="0"/>
      <c r="OIN3" s="0"/>
      <c r="OIO3" s="0"/>
      <c r="OIP3" s="0"/>
      <c r="OIQ3" s="0"/>
      <c r="OIR3" s="0"/>
      <c r="OIS3" s="0"/>
      <c r="OIT3" s="0"/>
      <c r="OIU3" s="0"/>
      <c r="OIV3" s="0"/>
      <c r="OIW3" s="0"/>
      <c r="OIX3" s="0"/>
      <c r="OIY3" s="0"/>
      <c r="OIZ3" s="0"/>
      <c r="OJA3" s="0"/>
      <c r="OJB3" s="0"/>
      <c r="OJC3" s="0"/>
      <c r="OJD3" s="0"/>
      <c r="OJE3" s="0"/>
      <c r="OJF3" s="0"/>
      <c r="OJG3" s="0"/>
      <c r="OJH3" s="0"/>
      <c r="OJI3" s="0"/>
      <c r="OJJ3" s="0"/>
      <c r="OJK3" s="0"/>
      <c r="OJL3" s="0"/>
      <c r="OJM3" s="0"/>
      <c r="OJN3" s="0"/>
      <c r="OJO3" s="0"/>
      <c r="OJP3" s="0"/>
      <c r="OJQ3" s="0"/>
      <c r="OJR3" s="0"/>
      <c r="OJS3" s="0"/>
      <c r="OJT3" s="0"/>
      <c r="OJU3" s="0"/>
      <c r="OJV3" s="0"/>
      <c r="OJW3" s="0"/>
      <c r="OJX3" s="0"/>
      <c r="OJY3" s="0"/>
      <c r="OJZ3" s="0"/>
      <c r="OKA3" s="0"/>
      <c r="OKB3" s="0"/>
      <c r="OKC3" s="0"/>
      <c r="OKD3" s="0"/>
      <c r="OKE3" s="0"/>
      <c r="OKF3" s="0"/>
      <c r="OKG3" s="0"/>
      <c r="OKH3" s="0"/>
      <c r="OKI3" s="0"/>
      <c r="OKJ3" s="0"/>
      <c r="OKK3" s="0"/>
      <c r="OKL3" s="0"/>
      <c r="OKM3" s="0"/>
      <c r="OKN3" s="0"/>
      <c r="OKO3" s="0"/>
      <c r="OKP3" s="0"/>
      <c r="OKQ3" s="0"/>
      <c r="OKR3" s="0"/>
      <c r="OKS3" s="0"/>
      <c r="OKT3" s="0"/>
      <c r="OKU3" s="0"/>
      <c r="OKV3" s="0"/>
      <c r="OKW3" s="0"/>
      <c r="OKX3" s="0"/>
      <c r="OKY3" s="0"/>
      <c r="OKZ3" s="0"/>
      <c r="OLA3" s="0"/>
      <c r="OLB3" s="0"/>
      <c r="OLC3" s="0"/>
      <c r="OLD3" s="0"/>
      <c r="OLE3" s="0"/>
      <c r="OLF3" s="0"/>
      <c r="OLG3" s="0"/>
      <c r="OLH3" s="0"/>
      <c r="OLI3" s="0"/>
      <c r="OLJ3" s="0"/>
      <c r="OLK3" s="0"/>
      <c r="OLL3" s="0"/>
      <c r="OLM3" s="0"/>
      <c r="OLN3" s="0"/>
      <c r="OLO3" s="0"/>
      <c r="OLP3" s="0"/>
      <c r="OLQ3" s="0"/>
      <c r="OLR3" s="0"/>
      <c r="OLS3" s="0"/>
      <c r="OLT3" s="0"/>
      <c r="OLU3" s="0"/>
      <c r="OLV3" s="0"/>
      <c r="OLW3" s="0"/>
      <c r="OLX3" s="0"/>
      <c r="OLY3" s="0"/>
      <c r="OLZ3" s="0"/>
      <c r="OMA3" s="0"/>
      <c r="OMB3" s="0"/>
      <c r="OMC3" s="0"/>
      <c r="OMD3" s="0"/>
      <c r="OME3" s="0"/>
      <c r="OMF3" s="0"/>
      <c r="OMG3" s="0"/>
      <c r="OMH3" s="0"/>
      <c r="OMI3" s="0"/>
      <c r="OMJ3" s="0"/>
      <c r="OMK3" s="0"/>
      <c r="OML3" s="0"/>
      <c r="OMM3" s="0"/>
      <c r="OMN3" s="0"/>
      <c r="OMO3" s="0"/>
      <c r="OMP3" s="0"/>
      <c r="OMQ3" s="0"/>
      <c r="OMR3" s="0"/>
      <c r="OMS3" s="0"/>
      <c r="OMT3" s="0"/>
      <c r="OMU3" s="0"/>
      <c r="OMV3" s="0"/>
      <c r="OMW3" s="0"/>
      <c r="OMX3" s="0"/>
      <c r="OMY3" s="0"/>
      <c r="OMZ3" s="0"/>
      <c r="ONA3" s="0"/>
      <c r="ONB3" s="0"/>
      <c r="ONC3" s="0"/>
      <c r="OND3" s="0"/>
      <c r="ONE3" s="0"/>
      <c r="ONF3" s="0"/>
      <c r="ONG3" s="0"/>
      <c r="ONH3" s="0"/>
      <c r="ONI3" s="0"/>
      <c r="ONJ3" s="0"/>
      <c r="ONK3" s="0"/>
      <c r="ONL3" s="0"/>
      <c r="ONM3" s="0"/>
      <c r="ONN3" s="0"/>
      <c r="ONO3" s="0"/>
      <c r="ONP3" s="0"/>
      <c r="ONQ3" s="0"/>
      <c r="ONR3" s="0"/>
      <c r="ONS3" s="0"/>
      <c r="ONT3" s="0"/>
      <c r="ONU3" s="0"/>
      <c r="ONV3" s="0"/>
      <c r="ONW3" s="0"/>
      <c r="ONX3" s="0"/>
      <c r="ONY3" s="0"/>
      <c r="ONZ3" s="0"/>
      <c r="OOA3" s="0"/>
      <c r="OOB3" s="0"/>
      <c r="OOC3" s="0"/>
      <c r="OOD3" s="0"/>
      <c r="OOE3" s="0"/>
      <c r="OOF3" s="0"/>
      <c r="OOG3" s="0"/>
      <c r="OOH3" s="0"/>
      <c r="OOI3" s="0"/>
      <c r="OOJ3" s="0"/>
      <c r="OOK3" s="0"/>
      <c r="OOL3" s="0"/>
      <c r="OOM3" s="0"/>
      <c r="OON3" s="0"/>
      <c r="OOO3" s="0"/>
      <c r="OOP3" s="0"/>
      <c r="OOQ3" s="0"/>
      <c r="OOR3" s="0"/>
      <c r="OOS3" s="0"/>
      <c r="OOT3" s="0"/>
      <c r="OOU3" s="0"/>
      <c r="OOV3" s="0"/>
      <c r="OOW3" s="0"/>
      <c r="OOX3" s="0"/>
      <c r="OOY3" s="0"/>
      <c r="OOZ3" s="0"/>
      <c r="OPA3" s="0"/>
      <c r="OPB3" s="0"/>
      <c r="OPC3" s="0"/>
      <c r="OPD3" s="0"/>
      <c r="OPE3" s="0"/>
      <c r="OPF3" s="0"/>
      <c r="OPG3" s="0"/>
      <c r="OPH3" s="0"/>
      <c r="OPI3" s="0"/>
      <c r="OPJ3" s="0"/>
      <c r="OPK3" s="0"/>
      <c r="OPL3" s="0"/>
      <c r="OPM3" s="0"/>
      <c r="OPN3" s="0"/>
      <c r="OPO3" s="0"/>
      <c r="OPP3" s="0"/>
      <c r="OPQ3" s="0"/>
      <c r="OPR3" s="0"/>
      <c r="OPS3" s="0"/>
      <c r="OPT3" s="0"/>
      <c r="OPU3" s="0"/>
      <c r="OPV3" s="0"/>
      <c r="OPW3" s="0"/>
      <c r="OPX3" s="0"/>
      <c r="OPY3" s="0"/>
      <c r="OPZ3" s="0"/>
      <c r="OQA3" s="0"/>
      <c r="OQB3" s="0"/>
      <c r="OQC3" s="0"/>
      <c r="OQD3" s="0"/>
      <c r="OQE3" s="0"/>
      <c r="OQF3" s="0"/>
      <c r="OQG3" s="0"/>
      <c r="OQH3" s="0"/>
      <c r="OQI3" s="0"/>
      <c r="OQJ3" s="0"/>
      <c r="OQK3" s="0"/>
      <c r="OQL3" s="0"/>
      <c r="OQM3" s="0"/>
      <c r="OQN3" s="0"/>
      <c r="OQO3" s="0"/>
      <c r="OQP3" s="0"/>
      <c r="OQQ3" s="0"/>
      <c r="OQR3" s="0"/>
      <c r="OQS3" s="0"/>
      <c r="OQT3" s="0"/>
      <c r="OQU3" s="0"/>
      <c r="OQV3" s="0"/>
      <c r="OQW3" s="0"/>
      <c r="OQX3" s="0"/>
      <c r="OQY3" s="0"/>
      <c r="OQZ3" s="0"/>
      <c r="ORA3" s="0"/>
      <c r="ORB3" s="0"/>
      <c r="ORC3" s="0"/>
      <c r="ORD3" s="0"/>
      <c r="ORE3" s="0"/>
      <c r="ORF3" s="0"/>
      <c r="ORG3" s="0"/>
      <c r="ORH3" s="0"/>
      <c r="ORI3" s="0"/>
      <c r="ORJ3" s="0"/>
      <c r="ORK3" s="0"/>
      <c r="ORL3" s="0"/>
      <c r="ORM3" s="0"/>
      <c r="ORN3" s="0"/>
      <c r="ORO3" s="0"/>
      <c r="ORP3" s="0"/>
      <c r="ORQ3" s="0"/>
      <c r="ORR3" s="0"/>
      <c r="ORS3" s="0"/>
      <c r="ORT3" s="0"/>
      <c r="ORU3" s="0"/>
      <c r="ORV3" s="0"/>
      <c r="ORW3" s="0"/>
      <c r="ORX3" s="0"/>
      <c r="ORY3" s="0"/>
      <c r="ORZ3" s="0"/>
      <c r="OSA3" s="0"/>
      <c r="OSB3" s="0"/>
      <c r="OSC3" s="0"/>
      <c r="OSD3" s="0"/>
      <c r="OSE3" s="0"/>
      <c r="OSF3" s="0"/>
      <c r="OSG3" s="0"/>
      <c r="OSH3" s="0"/>
      <c r="OSI3" s="0"/>
      <c r="OSJ3" s="0"/>
      <c r="OSK3" s="0"/>
      <c r="OSL3" s="0"/>
      <c r="OSM3" s="0"/>
      <c r="OSN3" s="0"/>
      <c r="OSO3" s="0"/>
      <c r="OSP3" s="0"/>
      <c r="OSQ3" s="0"/>
      <c r="OSR3" s="0"/>
      <c r="OSS3" s="0"/>
      <c r="OST3" s="0"/>
      <c r="OSU3" s="0"/>
      <c r="OSV3" s="0"/>
      <c r="OSW3" s="0"/>
      <c r="OSX3" s="0"/>
      <c r="OSY3" s="0"/>
      <c r="OSZ3" s="0"/>
      <c r="OTA3" s="0"/>
      <c r="OTB3" s="0"/>
      <c r="OTC3" s="0"/>
      <c r="OTD3" s="0"/>
      <c r="OTE3" s="0"/>
      <c r="OTF3" s="0"/>
      <c r="OTG3" s="0"/>
      <c r="OTH3" s="0"/>
      <c r="OTI3" s="0"/>
      <c r="OTJ3" s="0"/>
      <c r="OTK3" s="0"/>
      <c r="OTL3" s="0"/>
      <c r="OTM3" s="0"/>
      <c r="OTN3" s="0"/>
      <c r="OTO3" s="0"/>
      <c r="OTP3" s="0"/>
      <c r="OTQ3" s="0"/>
      <c r="OTR3" s="0"/>
      <c r="OTS3" s="0"/>
      <c r="OTT3" s="0"/>
      <c r="OTU3" s="0"/>
      <c r="OTV3" s="0"/>
      <c r="OTW3" s="0"/>
      <c r="OTX3" s="0"/>
      <c r="OTY3" s="0"/>
      <c r="OTZ3" s="0"/>
      <c r="OUA3" s="0"/>
      <c r="OUB3" s="0"/>
      <c r="OUC3" s="0"/>
      <c r="OUD3" s="0"/>
      <c r="OUE3" s="0"/>
      <c r="OUF3" s="0"/>
      <c r="OUG3" s="0"/>
      <c r="OUH3" s="0"/>
      <c r="OUI3" s="0"/>
      <c r="OUJ3" s="0"/>
      <c r="OUK3" s="0"/>
      <c r="OUL3" s="0"/>
      <c r="OUM3" s="0"/>
      <c r="OUN3" s="0"/>
      <c r="OUO3" s="0"/>
      <c r="OUP3" s="0"/>
      <c r="OUQ3" s="0"/>
      <c r="OUR3" s="0"/>
      <c r="OUS3" s="0"/>
      <c r="OUT3" s="0"/>
      <c r="OUU3" s="0"/>
      <c r="OUV3" s="0"/>
      <c r="OUW3" s="0"/>
      <c r="OUX3" s="0"/>
      <c r="OUY3" s="0"/>
      <c r="OUZ3" s="0"/>
      <c r="OVA3" s="0"/>
      <c r="OVB3" s="0"/>
      <c r="OVC3" s="0"/>
      <c r="OVD3" s="0"/>
      <c r="OVE3" s="0"/>
      <c r="OVF3" s="0"/>
      <c r="OVG3" s="0"/>
      <c r="OVH3" s="0"/>
      <c r="OVI3" s="0"/>
      <c r="OVJ3" s="0"/>
      <c r="OVK3" s="0"/>
      <c r="OVL3" s="0"/>
      <c r="OVM3" s="0"/>
      <c r="OVN3" s="0"/>
      <c r="OVO3" s="0"/>
      <c r="OVP3" s="0"/>
      <c r="OVQ3" s="0"/>
      <c r="OVR3" s="0"/>
      <c r="OVS3" s="0"/>
      <c r="OVT3" s="0"/>
      <c r="OVU3" s="0"/>
      <c r="OVV3" s="0"/>
      <c r="OVW3" s="0"/>
      <c r="OVX3" s="0"/>
      <c r="OVY3" s="0"/>
      <c r="OVZ3" s="0"/>
      <c r="OWA3" s="0"/>
      <c r="OWB3" s="0"/>
      <c r="OWC3" s="0"/>
      <c r="OWD3" s="0"/>
      <c r="OWE3" s="0"/>
      <c r="OWF3" s="0"/>
      <c r="OWG3" s="0"/>
      <c r="OWH3" s="0"/>
      <c r="OWI3" s="0"/>
      <c r="OWJ3" s="0"/>
      <c r="OWK3" s="0"/>
      <c r="OWL3" s="0"/>
      <c r="OWM3" s="0"/>
      <c r="OWN3" s="0"/>
      <c r="OWO3" s="0"/>
      <c r="OWP3" s="0"/>
      <c r="OWQ3" s="0"/>
      <c r="OWR3" s="0"/>
      <c r="OWS3" s="0"/>
      <c r="OWT3" s="0"/>
      <c r="OWU3" s="0"/>
      <c r="OWV3" s="0"/>
      <c r="OWW3" s="0"/>
      <c r="OWX3" s="0"/>
      <c r="OWY3" s="0"/>
      <c r="OWZ3" s="0"/>
      <c r="OXA3" s="0"/>
      <c r="OXB3" s="0"/>
      <c r="OXC3" s="0"/>
      <c r="OXD3" s="0"/>
      <c r="OXE3" s="0"/>
      <c r="OXF3" s="0"/>
      <c r="OXG3" s="0"/>
      <c r="OXH3" s="0"/>
      <c r="OXI3" s="0"/>
      <c r="OXJ3" s="0"/>
      <c r="OXK3" s="0"/>
      <c r="OXL3" s="0"/>
      <c r="OXM3" s="0"/>
      <c r="OXN3" s="0"/>
      <c r="OXO3" s="0"/>
      <c r="OXP3" s="0"/>
      <c r="OXQ3" s="0"/>
      <c r="OXR3" s="0"/>
      <c r="OXS3" s="0"/>
      <c r="OXT3" s="0"/>
      <c r="OXU3" s="0"/>
      <c r="OXV3" s="0"/>
      <c r="OXW3" s="0"/>
      <c r="OXX3" s="0"/>
      <c r="OXY3" s="0"/>
      <c r="OXZ3" s="0"/>
      <c r="OYA3" s="0"/>
      <c r="OYB3" s="0"/>
      <c r="OYC3" s="0"/>
      <c r="OYD3" s="0"/>
      <c r="OYE3" s="0"/>
      <c r="OYF3" s="0"/>
      <c r="OYG3" s="0"/>
      <c r="OYH3" s="0"/>
      <c r="OYI3" s="0"/>
      <c r="OYJ3" s="0"/>
      <c r="OYK3" s="0"/>
      <c r="OYL3" s="0"/>
      <c r="OYM3" s="0"/>
      <c r="OYN3" s="0"/>
      <c r="OYO3" s="0"/>
      <c r="OYP3" s="0"/>
      <c r="OYQ3" s="0"/>
      <c r="OYR3" s="0"/>
      <c r="OYS3" s="0"/>
      <c r="OYT3" s="0"/>
      <c r="OYU3" s="0"/>
      <c r="OYV3" s="0"/>
      <c r="OYW3" s="0"/>
      <c r="OYX3" s="0"/>
      <c r="OYY3" s="0"/>
      <c r="OYZ3" s="0"/>
      <c r="OZA3" s="0"/>
      <c r="OZB3" s="0"/>
      <c r="OZC3" s="0"/>
      <c r="OZD3" s="0"/>
      <c r="OZE3" s="0"/>
      <c r="OZF3" s="0"/>
      <c r="OZG3" s="0"/>
      <c r="OZH3" s="0"/>
      <c r="OZI3" s="0"/>
      <c r="OZJ3" s="0"/>
      <c r="OZK3" s="0"/>
      <c r="OZL3" s="0"/>
      <c r="OZM3" s="0"/>
      <c r="OZN3" s="0"/>
      <c r="OZO3" s="0"/>
      <c r="OZP3" s="0"/>
      <c r="OZQ3" s="0"/>
      <c r="OZR3" s="0"/>
      <c r="OZS3" s="0"/>
      <c r="OZT3" s="0"/>
      <c r="OZU3" s="0"/>
      <c r="OZV3" s="0"/>
      <c r="OZW3" s="0"/>
      <c r="OZX3" s="0"/>
      <c r="OZY3" s="0"/>
      <c r="OZZ3" s="0"/>
      <c r="PAA3" s="0"/>
      <c r="PAB3" s="0"/>
      <c r="PAC3" s="0"/>
      <c r="PAD3" s="0"/>
      <c r="PAE3" s="0"/>
      <c r="PAF3" s="0"/>
      <c r="PAG3" s="0"/>
      <c r="PAH3" s="0"/>
      <c r="PAI3" s="0"/>
      <c r="PAJ3" s="0"/>
      <c r="PAK3" s="0"/>
      <c r="PAL3" s="0"/>
      <c r="PAM3" s="0"/>
      <c r="PAN3" s="0"/>
      <c r="PAO3" s="0"/>
      <c r="PAP3" s="0"/>
      <c r="PAQ3" s="0"/>
      <c r="PAR3" s="0"/>
      <c r="PAS3" s="0"/>
      <c r="PAT3" s="0"/>
      <c r="PAU3" s="0"/>
      <c r="PAV3" s="0"/>
      <c r="PAW3" s="0"/>
      <c r="PAX3" s="0"/>
      <c r="PAY3" s="0"/>
      <c r="PAZ3" s="0"/>
      <c r="PBA3" s="0"/>
      <c r="PBB3" s="0"/>
      <c r="PBC3" s="0"/>
      <c r="PBD3" s="0"/>
      <c r="PBE3" s="0"/>
      <c r="PBF3" s="0"/>
      <c r="PBG3" s="0"/>
      <c r="PBH3" s="0"/>
      <c r="PBI3" s="0"/>
      <c r="PBJ3" s="0"/>
      <c r="PBK3" s="0"/>
      <c r="PBL3" s="0"/>
      <c r="PBM3" s="0"/>
      <c r="PBN3" s="0"/>
      <c r="PBO3" s="0"/>
      <c r="PBP3" s="0"/>
      <c r="PBQ3" s="0"/>
      <c r="PBR3" s="0"/>
      <c r="PBS3" s="0"/>
      <c r="PBT3" s="0"/>
      <c r="PBU3" s="0"/>
      <c r="PBV3" s="0"/>
      <c r="PBW3" s="0"/>
      <c r="PBX3" s="0"/>
      <c r="PBY3" s="0"/>
      <c r="PBZ3" s="0"/>
      <c r="PCA3" s="0"/>
      <c r="PCB3" s="0"/>
      <c r="PCC3" s="0"/>
      <c r="PCD3" s="0"/>
      <c r="PCE3" s="0"/>
      <c r="PCF3" s="0"/>
      <c r="PCG3" s="0"/>
      <c r="PCH3" s="0"/>
      <c r="PCI3" s="0"/>
      <c r="PCJ3" s="0"/>
      <c r="PCK3" s="0"/>
      <c r="PCL3" s="0"/>
      <c r="PCM3" s="0"/>
      <c r="PCN3" s="0"/>
      <c r="PCO3" s="0"/>
      <c r="PCP3" s="0"/>
      <c r="PCQ3" s="0"/>
      <c r="PCR3" s="0"/>
      <c r="PCS3" s="0"/>
      <c r="PCT3" s="0"/>
      <c r="PCU3" s="0"/>
      <c r="PCV3" s="0"/>
      <c r="PCW3" s="0"/>
      <c r="PCX3" s="0"/>
      <c r="PCY3" s="0"/>
      <c r="PCZ3" s="0"/>
      <c r="PDA3" s="0"/>
      <c r="PDB3" s="0"/>
      <c r="PDC3" s="0"/>
      <c r="PDD3" s="0"/>
      <c r="PDE3" s="0"/>
      <c r="PDF3" s="0"/>
      <c r="PDG3" s="0"/>
      <c r="PDH3" s="0"/>
      <c r="PDI3" s="0"/>
      <c r="PDJ3" s="0"/>
      <c r="PDK3" s="0"/>
      <c r="PDL3" s="0"/>
      <c r="PDM3" s="0"/>
      <c r="PDN3" s="0"/>
      <c r="PDO3" s="0"/>
      <c r="PDP3" s="0"/>
      <c r="PDQ3" s="0"/>
      <c r="PDR3" s="0"/>
      <c r="PDS3" s="0"/>
      <c r="PDT3" s="0"/>
      <c r="PDU3" s="0"/>
      <c r="PDV3" s="0"/>
      <c r="PDW3" s="0"/>
      <c r="PDX3" s="0"/>
      <c r="PDY3" s="0"/>
      <c r="PDZ3" s="0"/>
      <c r="PEA3" s="0"/>
      <c r="PEB3" s="0"/>
      <c r="PEC3" s="0"/>
      <c r="PED3" s="0"/>
      <c r="PEE3" s="0"/>
      <c r="PEF3" s="0"/>
      <c r="PEG3" s="0"/>
      <c r="PEH3" s="0"/>
      <c r="PEI3" s="0"/>
      <c r="PEJ3" s="0"/>
      <c r="PEK3" s="0"/>
      <c r="PEL3" s="0"/>
      <c r="PEM3" s="0"/>
      <c r="PEN3" s="0"/>
      <c r="PEO3" s="0"/>
      <c r="PEP3" s="0"/>
      <c r="PEQ3" s="0"/>
      <c r="PER3" s="0"/>
      <c r="PES3" s="0"/>
      <c r="PET3" s="0"/>
      <c r="PEU3" s="0"/>
      <c r="PEV3" s="0"/>
      <c r="PEW3" s="0"/>
      <c r="PEX3" s="0"/>
      <c r="PEY3" s="0"/>
      <c r="PEZ3" s="0"/>
      <c r="PFA3" s="0"/>
      <c r="PFB3" s="0"/>
      <c r="PFC3" s="0"/>
      <c r="PFD3" s="0"/>
      <c r="PFE3" s="0"/>
      <c r="PFF3" s="0"/>
      <c r="PFG3" s="0"/>
      <c r="PFH3" s="0"/>
      <c r="PFI3" s="0"/>
      <c r="PFJ3" s="0"/>
      <c r="PFK3" s="0"/>
      <c r="PFL3" s="0"/>
      <c r="PFM3" s="0"/>
      <c r="PFN3" s="0"/>
      <c r="PFO3" s="0"/>
      <c r="PFP3" s="0"/>
      <c r="PFQ3" s="0"/>
      <c r="PFR3" s="0"/>
      <c r="PFS3" s="0"/>
      <c r="PFT3" s="0"/>
      <c r="PFU3" s="0"/>
      <c r="PFV3" s="0"/>
      <c r="PFW3" s="0"/>
      <c r="PFX3" s="0"/>
      <c r="PFY3" s="0"/>
      <c r="PFZ3" s="0"/>
      <c r="PGA3" s="0"/>
      <c r="PGB3" s="0"/>
      <c r="PGC3" s="0"/>
      <c r="PGD3" s="0"/>
      <c r="PGE3" s="0"/>
      <c r="PGF3" s="0"/>
      <c r="PGG3" s="0"/>
      <c r="PGH3" s="0"/>
      <c r="PGI3" s="0"/>
      <c r="PGJ3" s="0"/>
      <c r="PGK3" s="0"/>
      <c r="PGL3" s="0"/>
      <c r="PGM3" s="0"/>
      <c r="PGN3" s="0"/>
      <c r="PGO3" s="0"/>
      <c r="PGP3" s="0"/>
      <c r="PGQ3" s="0"/>
      <c r="PGR3" s="0"/>
      <c r="PGS3" s="0"/>
      <c r="PGT3" s="0"/>
      <c r="PGU3" s="0"/>
      <c r="PGV3" s="0"/>
      <c r="PGW3" s="0"/>
      <c r="PGX3" s="0"/>
      <c r="PGY3" s="0"/>
      <c r="PGZ3" s="0"/>
      <c r="PHA3" s="0"/>
      <c r="PHB3" s="0"/>
      <c r="PHC3" s="0"/>
      <c r="PHD3" s="0"/>
      <c r="PHE3" s="0"/>
      <c r="PHF3" s="0"/>
      <c r="PHG3" s="0"/>
      <c r="PHH3" s="0"/>
      <c r="PHI3" s="0"/>
      <c r="PHJ3" s="0"/>
      <c r="PHK3" s="0"/>
      <c r="PHL3" s="0"/>
      <c r="PHM3" s="0"/>
      <c r="PHN3" s="0"/>
      <c r="PHO3" s="0"/>
      <c r="PHP3" s="0"/>
      <c r="PHQ3" s="0"/>
      <c r="PHR3" s="0"/>
      <c r="PHS3" s="0"/>
      <c r="PHT3" s="0"/>
      <c r="PHU3" s="0"/>
      <c r="PHV3" s="0"/>
      <c r="PHW3" s="0"/>
      <c r="PHX3" s="0"/>
      <c r="PHY3" s="0"/>
      <c r="PHZ3" s="0"/>
      <c r="PIA3" s="0"/>
      <c r="PIB3" s="0"/>
      <c r="PIC3" s="0"/>
      <c r="PID3" s="0"/>
      <c r="PIE3" s="0"/>
      <c r="PIF3" s="0"/>
      <c r="PIG3" s="0"/>
      <c r="PIH3" s="0"/>
      <c r="PII3" s="0"/>
      <c r="PIJ3" s="0"/>
      <c r="PIK3" s="0"/>
      <c r="PIL3" s="0"/>
      <c r="PIM3" s="0"/>
      <c r="PIN3" s="0"/>
      <c r="PIO3" s="0"/>
      <c r="PIP3" s="0"/>
      <c r="PIQ3" s="0"/>
      <c r="PIR3" s="0"/>
      <c r="PIS3" s="0"/>
      <c r="PIT3" s="0"/>
      <c r="PIU3" s="0"/>
      <c r="PIV3" s="0"/>
      <c r="PIW3" s="0"/>
      <c r="PIX3" s="0"/>
      <c r="PIY3" s="0"/>
      <c r="PIZ3" s="0"/>
      <c r="PJA3" s="0"/>
      <c r="PJB3" s="0"/>
      <c r="PJC3" s="0"/>
      <c r="PJD3" s="0"/>
      <c r="PJE3" s="0"/>
      <c r="PJF3" s="0"/>
      <c r="PJG3" s="0"/>
      <c r="PJH3" s="0"/>
      <c r="PJI3" s="0"/>
      <c r="PJJ3" s="0"/>
      <c r="PJK3" s="0"/>
      <c r="PJL3" s="0"/>
      <c r="PJM3" s="0"/>
      <c r="PJN3" s="0"/>
      <c r="PJO3" s="0"/>
      <c r="PJP3" s="0"/>
      <c r="PJQ3" s="0"/>
      <c r="PJR3" s="0"/>
      <c r="PJS3" s="0"/>
      <c r="PJT3" s="0"/>
      <c r="PJU3" s="0"/>
      <c r="PJV3" s="0"/>
      <c r="PJW3" s="0"/>
      <c r="PJX3" s="0"/>
      <c r="PJY3" s="0"/>
      <c r="PJZ3" s="0"/>
      <c r="PKA3" s="0"/>
      <c r="PKB3" s="0"/>
      <c r="PKC3" s="0"/>
      <c r="PKD3" s="0"/>
      <c r="PKE3" s="0"/>
      <c r="PKF3" s="0"/>
      <c r="PKG3" s="0"/>
      <c r="PKH3" s="0"/>
      <c r="PKI3" s="0"/>
      <c r="PKJ3" s="0"/>
      <c r="PKK3" s="0"/>
      <c r="PKL3" s="0"/>
      <c r="PKM3" s="0"/>
      <c r="PKN3" s="0"/>
      <c r="PKO3" s="0"/>
      <c r="PKP3" s="0"/>
      <c r="PKQ3" s="0"/>
      <c r="PKR3" s="0"/>
      <c r="PKS3" s="0"/>
      <c r="PKT3" s="0"/>
      <c r="PKU3" s="0"/>
      <c r="PKV3" s="0"/>
      <c r="PKW3" s="0"/>
      <c r="PKX3" s="0"/>
      <c r="PKY3" s="0"/>
      <c r="PKZ3" s="0"/>
      <c r="PLA3" s="0"/>
      <c r="PLB3" s="0"/>
      <c r="PLC3" s="0"/>
      <c r="PLD3" s="0"/>
      <c r="PLE3" s="0"/>
      <c r="PLF3" s="0"/>
      <c r="PLG3" s="0"/>
      <c r="PLH3" s="0"/>
      <c r="PLI3" s="0"/>
      <c r="PLJ3" s="0"/>
      <c r="PLK3" s="0"/>
      <c r="PLL3" s="0"/>
      <c r="PLM3" s="0"/>
      <c r="PLN3" s="0"/>
      <c r="PLO3" s="0"/>
      <c r="PLP3" s="0"/>
      <c r="PLQ3" s="0"/>
      <c r="PLR3" s="0"/>
      <c r="PLS3" s="0"/>
      <c r="PLT3" s="0"/>
      <c r="PLU3" s="0"/>
      <c r="PLV3" s="0"/>
      <c r="PLW3" s="0"/>
      <c r="PLX3" s="0"/>
      <c r="PLY3" s="0"/>
      <c r="PLZ3" s="0"/>
      <c r="PMA3" s="0"/>
      <c r="PMB3" s="0"/>
      <c r="PMC3" s="0"/>
      <c r="PMD3" s="0"/>
      <c r="PME3" s="0"/>
      <c r="PMF3" s="0"/>
      <c r="PMG3" s="0"/>
      <c r="PMH3" s="0"/>
      <c r="PMI3" s="0"/>
      <c r="PMJ3" s="0"/>
      <c r="PMK3" s="0"/>
      <c r="PML3" s="0"/>
      <c r="PMM3" s="0"/>
      <c r="PMN3" s="0"/>
      <c r="PMO3" s="0"/>
      <c r="PMP3" s="0"/>
      <c r="PMQ3" s="0"/>
      <c r="PMR3" s="0"/>
      <c r="PMS3" s="0"/>
      <c r="PMT3" s="0"/>
      <c r="PMU3" s="0"/>
      <c r="PMV3" s="0"/>
      <c r="PMW3" s="0"/>
      <c r="PMX3" s="0"/>
      <c r="PMY3" s="0"/>
      <c r="PMZ3" s="0"/>
      <c r="PNA3" s="0"/>
      <c r="PNB3" s="0"/>
      <c r="PNC3" s="0"/>
      <c r="PND3" s="0"/>
      <c r="PNE3" s="0"/>
      <c r="PNF3" s="0"/>
      <c r="PNG3" s="0"/>
      <c r="PNH3" s="0"/>
      <c r="PNI3" s="0"/>
      <c r="PNJ3" s="0"/>
      <c r="PNK3" s="0"/>
      <c r="PNL3" s="0"/>
      <c r="PNM3" s="0"/>
      <c r="PNN3" s="0"/>
      <c r="PNO3" s="0"/>
      <c r="PNP3" s="0"/>
      <c r="PNQ3" s="0"/>
      <c r="PNR3" s="0"/>
      <c r="PNS3" s="0"/>
      <c r="PNT3" s="0"/>
      <c r="PNU3" s="0"/>
      <c r="PNV3" s="0"/>
      <c r="PNW3" s="0"/>
      <c r="PNX3" s="0"/>
      <c r="PNY3" s="0"/>
      <c r="PNZ3" s="0"/>
      <c r="POA3" s="0"/>
      <c r="POB3" s="0"/>
      <c r="POC3" s="0"/>
      <c r="POD3" s="0"/>
      <c r="POE3" s="0"/>
      <c r="POF3" s="0"/>
      <c r="POG3" s="0"/>
      <c r="POH3" s="0"/>
      <c r="POI3" s="0"/>
      <c r="POJ3" s="0"/>
      <c r="POK3" s="0"/>
      <c r="POL3" s="0"/>
      <c r="POM3" s="0"/>
      <c r="PON3" s="0"/>
      <c r="POO3" s="0"/>
      <c r="POP3" s="0"/>
      <c r="POQ3" s="0"/>
      <c r="POR3" s="0"/>
      <c r="POS3" s="0"/>
      <c r="POT3" s="0"/>
      <c r="POU3" s="0"/>
      <c r="POV3" s="0"/>
      <c r="POW3" s="0"/>
      <c r="POX3" s="0"/>
      <c r="POY3" s="0"/>
      <c r="POZ3" s="0"/>
      <c r="PPA3" s="0"/>
      <c r="PPB3" s="0"/>
      <c r="PPC3" s="0"/>
      <c r="PPD3" s="0"/>
      <c r="PPE3" s="0"/>
      <c r="PPF3" s="0"/>
      <c r="PPG3" s="0"/>
      <c r="PPH3" s="0"/>
      <c r="PPI3" s="0"/>
      <c r="PPJ3" s="0"/>
      <c r="PPK3" s="0"/>
      <c r="PPL3" s="0"/>
      <c r="PPM3" s="0"/>
      <c r="PPN3" s="0"/>
      <c r="PPO3" s="0"/>
      <c r="PPP3" s="0"/>
      <c r="PPQ3" s="0"/>
      <c r="PPR3" s="0"/>
      <c r="PPS3" s="0"/>
      <c r="PPT3" s="0"/>
      <c r="PPU3" s="0"/>
      <c r="PPV3" s="0"/>
      <c r="PPW3" s="0"/>
      <c r="PPX3" s="0"/>
      <c r="PPY3" s="0"/>
      <c r="PPZ3" s="0"/>
      <c r="PQA3" s="0"/>
      <c r="PQB3" s="0"/>
      <c r="PQC3" s="0"/>
      <c r="PQD3" s="0"/>
      <c r="PQE3" s="0"/>
      <c r="PQF3" s="0"/>
      <c r="PQG3" s="0"/>
      <c r="PQH3" s="0"/>
      <c r="PQI3" s="0"/>
      <c r="PQJ3" s="0"/>
      <c r="PQK3" s="0"/>
      <c r="PQL3" s="0"/>
      <c r="PQM3" s="0"/>
      <c r="PQN3" s="0"/>
      <c r="PQO3" s="0"/>
      <c r="PQP3" s="0"/>
      <c r="PQQ3" s="0"/>
      <c r="PQR3" s="0"/>
      <c r="PQS3" s="0"/>
      <c r="PQT3" s="0"/>
      <c r="PQU3" s="0"/>
      <c r="PQV3" s="0"/>
      <c r="PQW3" s="0"/>
      <c r="PQX3" s="0"/>
      <c r="PQY3" s="0"/>
      <c r="PQZ3" s="0"/>
      <c r="PRA3" s="0"/>
      <c r="PRB3" s="0"/>
      <c r="PRC3" s="0"/>
      <c r="PRD3" s="0"/>
      <c r="PRE3" s="0"/>
      <c r="PRF3" s="0"/>
      <c r="PRG3" s="0"/>
      <c r="PRH3" s="0"/>
      <c r="PRI3" s="0"/>
      <c r="PRJ3" s="0"/>
      <c r="PRK3" s="0"/>
      <c r="PRL3" s="0"/>
      <c r="PRM3" s="0"/>
      <c r="PRN3" s="0"/>
      <c r="PRO3" s="0"/>
      <c r="PRP3" s="0"/>
      <c r="PRQ3" s="0"/>
      <c r="PRR3" s="0"/>
      <c r="PRS3" s="0"/>
      <c r="PRT3" s="0"/>
      <c r="PRU3" s="0"/>
      <c r="PRV3" s="0"/>
      <c r="PRW3" s="0"/>
      <c r="PRX3" s="0"/>
      <c r="PRY3" s="0"/>
      <c r="PRZ3" s="0"/>
      <c r="PSA3" s="0"/>
      <c r="PSB3" s="0"/>
      <c r="PSC3" s="0"/>
      <c r="PSD3" s="0"/>
      <c r="PSE3" s="0"/>
      <c r="PSF3" s="0"/>
      <c r="PSG3" s="0"/>
      <c r="PSH3" s="0"/>
      <c r="PSI3" s="0"/>
      <c r="PSJ3" s="0"/>
      <c r="PSK3" s="0"/>
      <c r="PSL3" s="0"/>
      <c r="PSM3" s="0"/>
      <c r="PSN3" s="0"/>
      <c r="PSO3" s="0"/>
      <c r="PSP3" s="0"/>
      <c r="PSQ3" s="0"/>
      <c r="PSR3" s="0"/>
      <c r="PSS3" s="0"/>
      <c r="PST3" s="0"/>
      <c r="PSU3" s="0"/>
      <c r="PSV3" s="0"/>
      <c r="PSW3" s="0"/>
      <c r="PSX3" s="0"/>
      <c r="PSY3" s="0"/>
      <c r="PSZ3" s="0"/>
      <c r="PTA3" s="0"/>
      <c r="PTB3" s="0"/>
      <c r="PTC3" s="0"/>
      <c r="PTD3" s="0"/>
      <c r="PTE3" s="0"/>
      <c r="PTF3" s="0"/>
      <c r="PTG3" s="0"/>
      <c r="PTH3" s="0"/>
      <c r="PTI3" s="0"/>
      <c r="PTJ3" s="0"/>
      <c r="PTK3" s="0"/>
      <c r="PTL3" s="0"/>
      <c r="PTM3" s="0"/>
      <c r="PTN3" s="0"/>
      <c r="PTO3" s="0"/>
      <c r="PTP3" s="0"/>
      <c r="PTQ3" s="0"/>
      <c r="PTR3" s="0"/>
      <c r="PTS3" s="0"/>
      <c r="PTT3" s="0"/>
      <c r="PTU3" s="0"/>
      <c r="PTV3" s="0"/>
      <c r="PTW3" s="0"/>
      <c r="PTX3" s="0"/>
      <c r="PTY3" s="0"/>
      <c r="PTZ3" s="0"/>
      <c r="PUA3" s="0"/>
      <c r="PUB3" s="0"/>
      <c r="PUC3" s="0"/>
      <c r="PUD3" s="0"/>
      <c r="PUE3" s="0"/>
      <c r="PUF3" s="0"/>
      <c r="PUG3" s="0"/>
      <c r="PUH3" s="0"/>
      <c r="PUI3" s="0"/>
      <c r="PUJ3" s="0"/>
      <c r="PUK3" s="0"/>
      <c r="PUL3" s="0"/>
      <c r="PUM3" s="0"/>
      <c r="PUN3" s="0"/>
      <c r="PUO3" s="0"/>
      <c r="PUP3" s="0"/>
      <c r="PUQ3" s="0"/>
      <c r="PUR3" s="0"/>
      <c r="PUS3" s="0"/>
      <c r="PUT3" s="0"/>
      <c r="PUU3" s="0"/>
      <c r="PUV3" s="0"/>
      <c r="PUW3" s="0"/>
      <c r="PUX3" s="0"/>
      <c r="PUY3" s="0"/>
      <c r="PUZ3" s="0"/>
      <c r="PVA3" s="0"/>
      <c r="PVB3" s="0"/>
      <c r="PVC3" s="0"/>
      <c r="PVD3" s="0"/>
      <c r="PVE3" s="0"/>
      <c r="PVF3" s="0"/>
      <c r="PVG3" s="0"/>
      <c r="PVH3" s="0"/>
      <c r="PVI3" s="0"/>
      <c r="PVJ3" s="0"/>
      <c r="PVK3" s="0"/>
      <c r="PVL3" s="0"/>
      <c r="PVM3" s="0"/>
      <c r="PVN3" s="0"/>
      <c r="PVO3" s="0"/>
      <c r="PVP3" s="0"/>
      <c r="PVQ3" s="0"/>
      <c r="PVR3" s="0"/>
      <c r="PVS3" s="0"/>
      <c r="PVT3" s="0"/>
      <c r="PVU3" s="0"/>
      <c r="PVV3" s="0"/>
      <c r="PVW3" s="0"/>
      <c r="PVX3" s="0"/>
      <c r="PVY3" s="0"/>
      <c r="PVZ3" s="0"/>
      <c r="PWA3" s="0"/>
      <c r="PWB3" s="0"/>
      <c r="PWC3" s="0"/>
      <c r="PWD3" s="0"/>
      <c r="PWE3" s="0"/>
      <c r="PWF3" s="0"/>
      <c r="PWG3" s="0"/>
      <c r="PWH3" s="0"/>
      <c r="PWI3" s="0"/>
      <c r="PWJ3" s="0"/>
      <c r="PWK3" s="0"/>
      <c r="PWL3" s="0"/>
      <c r="PWM3" s="0"/>
      <c r="PWN3" s="0"/>
      <c r="PWO3" s="0"/>
      <c r="PWP3" s="0"/>
      <c r="PWQ3" s="0"/>
      <c r="PWR3" s="0"/>
      <c r="PWS3" s="0"/>
      <c r="PWT3" s="0"/>
      <c r="PWU3" s="0"/>
      <c r="PWV3" s="0"/>
      <c r="PWW3" s="0"/>
      <c r="PWX3" s="0"/>
      <c r="PWY3" s="0"/>
      <c r="PWZ3" s="0"/>
      <c r="PXA3" s="0"/>
      <c r="PXB3" s="0"/>
      <c r="PXC3" s="0"/>
      <c r="PXD3" s="0"/>
      <c r="PXE3" s="0"/>
      <c r="PXF3" s="0"/>
      <c r="PXG3" s="0"/>
      <c r="PXH3" s="0"/>
      <c r="PXI3" s="0"/>
      <c r="PXJ3" s="0"/>
      <c r="PXK3" s="0"/>
      <c r="PXL3" s="0"/>
      <c r="PXM3" s="0"/>
      <c r="PXN3" s="0"/>
      <c r="PXO3" s="0"/>
      <c r="PXP3" s="0"/>
      <c r="PXQ3" s="0"/>
      <c r="PXR3" s="0"/>
      <c r="PXS3" s="0"/>
      <c r="PXT3" s="0"/>
      <c r="PXU3" s="0"/>
      <c r="PXV3" s="0"/>
      <c r="PXW3" s="0"/>
      <c r="PXX3" s="0"/>
      <c r="PXY3" s="0"/>
      <c r="PXZ3" s="0"/>
      <c r="PYA3" s="0"/>
      <c r="PYB3" s="0"/>
      <c r="PYC3" s="0"/>
      <c r="PYD3" s="0"/>
      <c r="PYE3" s="0"/>
      <c r="PYF3" s="0"/>
      <c r="PYG3" s="0"/>
      <c r="PYH3" s="0"/>
      <c r="PYI3" s="0"/>
      <c r="PYJ3" s="0"/>
      <c r="PYK3" s="0"/>
      <c r="PYL3" s="0"/>
      <c r="PYM3" s="0"/>
      <c r="PYN3" s="0"/>
      <c r="PYO3" s="0"/>
      <c r="PYP3" s="0"/>
      <c r="PYQ3" s="0"/>
      <c r="PYR3" s="0"/>
      <c r="PYS3" s="0"/>
      <c r="PYT3" s="0"/>
      <c r="PYU3" s="0"/>
      <c r="PYV3" s="0"/>
      <c r="PYW3" s="0"/>
      <c r="PYX3" s="0"/>
      <c r="PYY3" s="0"/>
      <c r="PYZ3" s="0"/>
      <c r="PZA3" s="0"/>
      <c r="PZB3" s="0"/>
      <c r="PZC3" s="0"/>
      <c r="PZD3" s="0"/>
      <c r="PZE3" s="0"/>
      <c r="PZF3" s="0"/>
      <c r="PZG3" s="0"/>
      <c r="PZH3" s="0"/>
      <c r="PZI3" s="0"/>
      <c r="PZJ3" s="0"/>
      <c r="PZK3" s="0"/>
      <c r="PZL3" s="0"/>
      <c r="PZM3" s="0"/>
      <c r="PZN3" s="0"/>
      <c r="PZO3" s="0"/>
      <c r="PZP3" s="0"/>
      <c r="PZQ3" s="0"/>
      <c r="PZR3" s="0"/>
      <c r="PZS3" s="0"/>
      <c r="PZT3" s="0"/>
      <c r="PZU3" s="0"/>
      <c r="PZV3" s="0"/>
      <c r="PZW3" s="0"/>
      <c r="PZX3" s="0"/>
      <c r="PZY3" s="0"/>
      <c r="PZZ3" s="0"/>
      <c r="QAA3" s="0"/>
      <c r="QAB3" s="0"/>
      <c r="QAC3" s="0"/>
      <c r="QAD3" s="0"/>
      <c r="QAE3" s="0"/>
      <c r="QAF3" s="0"/>
      <c r="QAG3" s="0"/>
      <c r="QAH3" s="0"/>
      <c r="QAI3" s="0"/>
      <c r="QAJ3" s="0"/>
      <c r="QAK3" s="0"/>
      <c r="QAL3" s="0"/>
      <c r="QAM3" s="0"/>
      <c r="QAN3" s="0"/>
      <c r="QAO3" s="0"/>
      <c r="QAP3" s="0"/>
      <c r="QAQ3" s="0"/>
      <c r="QAR3" s="0"/>
      <c r="QAS3" s="0"/>
      <c r="QAT3" s="0"/>
      <c r="QAU3" s="0"/>
      <c r="QAV3" s="0"/>
      <c r="QAW3" s="0"/>
      <c r="QAX3" s="0"/>
      <c r="QAY3" s="0"/>
      <c r="QAZ3" s="0"/>
      <c r="QBA3" s="0"/>
      <c r="QBB3" s="0"/>
      <c r="QBC3" s="0"/>
      <c r="QBD3" s="0"/>
      <c r="QBE3" s="0"/>
      <c r="QBF3" s="0"/>
      <c r="QBG3" s="0"/>
      <c r="QBH3" s="0"/>
      <c r="QBI3" s="0"/>
      <c r="QBJ3" s="0"/>
      <c r="QBK3" s="0"/>
      <c r="QBL3" s="0"/>
      <c r="QBM3" s="0"/>
      <c r="QBN3" s="0"/>
      <c r="QBO3" s="0"/>
      <c r="QBP3" s="0"/>
      <c r="QBQ3" s="0"/>
      <c r="QBR3" s="0"/>
      <c r="QBS3" s="0"/>
      <c r="QBT3" s="0"/>
      <c r="QBU3" s="0"/>
      <c r="QBV3" s="0"/>
      <c r="QBW3" s="0"/>
      <c r="QBX3" s="0"/>
      <c r="QBY3" s="0"/>
      <c r="QBZ3" s="0"/>
      <c r="QCA3" s="0"/>
      <c r="QCB3" s="0"/>
      <c r="QCC3" s="0"/>
      <c r="QCD3" s="0"/>
      <c r="QCE3" s="0"/>
      <c r="QCF3" s="0"/>
      <c r="QCG3" s="0"/>
      <c r="QCH3" s="0"/>
      <c r="QCI3" s="0"/>
      <c r="QCJ3" s="0"/>
      <c r="QCK3" s="0"/>
      <c r="QCL3" s="0"/>
      <c r="QCM3" s="0"/>
      <c r="QCN3" s="0"/>
      <c r="QCO3" s="0"/>
      <c r="QCP3" s="0"/>
      <c r="QCQ3" s="0"/>
      <c r="QCR3" s="0"/>
      <c r="QCS3" s="0"/>
      <c r="QCT3" s="0"/>
      <c r="QCU3" s="0"/>
      <c r="QCV3" s="0"/>
      <c r="QCW3" s="0"/>
      <c r="QCX3" s="0"/>
      <c r="QCY3" s="0"/>
      <c r="QCZ3" s="0"/>
      <c r="QDA3" s="0"/>
      <c r="QDB3" s="0"/>
      <c r="QDC3" s="0"/>
      <c r="QDD3" s="0"/>
      <c r="QDE3" s="0"/>
      <c r="QDF3" s="0"/>
      <c r="QDG3" s="0"/>
      <c r="QDH3" s="0"/>
      <c r="QDI3" s="0"/>
      <c r="QDJ3" s="0"/>
      <c r="QDK3" s="0"/>
      <c r="QDL3" s="0"/>
      <c r="QDM3" s="0"/>
      <c r="QDN3" s="0"/>
      <c r="QDO3" s="0"/>
      <c r="QDP3" s="0"/>
      <c r="QDQ3" s="0"/>
      <c r="QDR3" s="0"/>
      <c r="QDS3" s="0"/>
      <c r="QDT3" s="0"/>
      <c r="QDU3" s="0"/>
      <c r="QDV3" s="0"/>
      <c r="QDW3" s="0"/>
      <c r="QDX3" s="0"/>
      <c r="QDY3" s="0"/>
      <c r="QDZ3" s="0"/>
      <c r="QEA3" s="0"/>
      <c r="QEB3" s="0"/>
      <c r="QEC3" s="0"/>
      <c r="QED3" s="0"/>
      <c r="QEE3" s="0"/>
      <c r="QEF3" s="0"/>
      <c r="QEG3" s="0"/>
      <c r="QEH3" s="0"/>
      <c r="QEI3" s="0"/>
      <c r="QEJ3" s="0"/>
      <c r="QEK3" s="0"/>
      <c r="QEL3" s="0"/>
      <c r="QEM3" s="0"/>
      <c r="QEN3" s="0"/>
      <c r="QEO3" s="0"/>
      <c r="QEP3" s="0"/>
      <c r="QEQ3" s="0"/>
      <c r="QER3" s="0"/>
      <c r="QES3" s="0"/>
      <c r="QET3" s="0"/>
      <c r="QEU3" s="0"/>
      <c r="QEV3" s="0"/>
      <c r="QEW3" s="0"/>
      <c r="QEX3" s="0"/>
      <c r="QEY3" s="0"/>
      <c r="QEZ3" s="0"/>
      <c r="QFA3" s="0"/>
      <c r="QFB3" s="0"/>
      <c r="QFC3" s="0"/>
      <c r="QFD3" s="0"/>
      <c r="QFE3" s="0"/>
      <c r="QFF3" s="0"/>
      <c r="QFG3" s="0"/>
      <c r="QFH3" s="0"/>
      <c r="QFI3" s="0"/>
      <c r="QFJ3" s="0"/>
      <c r="QFK3" s="0"/>
      <c r="QFL3" s="0"/>
      <c r="QFM3" s="0"/>
      <c r="QFN3" s="0"/>
      <c r="QFO3" s="0"/>
      <c r="QFP3" s="0"/>
      <c r="QFQ3" s="0"/>
      <c r="QFR3" s="0"/>
      <c r="QFS3" s="0"/>
      <c r="QFT3" s="0"/>
      <c r="QFU3" s="0"/>
      <c r="QFV3" s="0"/>
      <c r="QFW3" s="0"/>
      <c r="QFX3" s="0"/>
      <c r="QFY3" s="0"/>
      <c r="QFZ3" s="0"/>
      <c r="QGA3" s="0"/>
      <c r="QGB3" s="0"/>
      <c r="QGC3" s="0"/>
      <c r="QGD3" s="0"/>
      <c r="QGE3" s="0"/>
      <c r="QGF3" s="0"/>
      <c r="QGG3" s="0"/>
      <c r="QGH3" s="0"/>
      <c r="QGI3" s="0"/>
      <c r="QGJ3" s="0"/>
      <c r="QGK3" s="0"/>
      <c r="QGL3" s="0"/>
      <c r="QGM3" s="0"/>
      <c r="QGN3" s="0"/>
      <c r="QGO3" s="0"/>
      <c r="QGP3" s="0"/>
      <c r="QGQ3" s="0"/>
      <c r="QGR3" s="0"/>
      <c r="QGS3" s="0"/>
      <c r="QGT3" s="0"/>
      <c r="QGU3" s="0"/>
      <c r="QGV3" s="0"/>
      <c r="QGW3" s="0"/>
      <c r="QGX3" s="0"/>
      <c r="QGY3" s="0"/>
      <c r="QGZ3" s="0"/>
      <c r="QHA3" s="0"/>
      <c r="QHB3" s="0"/>
      <c r="QHC3" s="0"/>
      <c r="QHD3" s="0"/>
      <c r="QHE3" s="0"/>
      <c r="QHF3" s="0"/>
      <c r="QHG3" s="0"/>
      <c r="QHH3" s="0"/>
      <c r="QHI3" s="0"/>
      <c r="QHJ3" s="0"/>
      <c r="QHK3" s="0"/>
      <c r="QHL3" s="0"/>
      <c r="QHM3" s="0"/>
      <c r="QHN3" s="0"/>
      <c r="QHO3" s="0"/>
      <c r="QHP3" s="0"/>
      <c r="QHQ3" s="0"/>
      <c r="QHR3" s="0"/>
      <c r="QHS3" s="0"/>
      <c r="QHT3" s="0"/>
      <c r="QHU3" s="0"/>
      <c r="QHV3" s="0"/>
      <c r="QHW3" s="0"/>
      <c r="QHX3" s="0"/>
      <c r="QHY3" s="0"/>
      <c r="QHZ3" s="0"/>
      <c r="QIA3" s="0"/>
      <c r="QIB3" s="0"/>
      <c r="QIC3" s="0"/>
      <c r="QID3" s="0"/>
      <c r="QIE3" s="0"/>
      <c r="QIF3" s="0"/>
      <c r="QIG3" s="0"/>
      <c r="QIH3" s="0"/>
      <c r="QII3" s="0"/>
      <c r="QIJ3" s="0"/>
      <c r="QIK3" s="0"/>
      <c r="QIL3" s="0"/>
      <c r="QIM3" s="0"/>
      <c r="QIN3" s="0"/>
      <c r="QIO3" s="0"/>
      <c r="QIP3" s="0"/>
      <c r="QIQ3" s="0"/>
      <c r="QIR3" s="0"/>
      <c r="QIS3" s="0"/>
      <c r="QIT3" s="0"/>
      <c r="QIU3" s="0"/>
      <c r="QIV3" s="0"/>
      <c r="QIW3" s="0"/>
      <c r="QIX3" s="0"/>
      <c r="QIY3" s="0"/>
      <c r="QIZ3" s="0"/>
      <c r="QJA3" s="0"/>
      <c r="QJB3" s="0"/>
      <c r="QJC3" s="0"/>
      <c r="QJD3" s="0"/>
      <c r="QJE3" s="0"/>
      <c r="QJF3" s="0"/>
      <c r="QJG3" s="0"/>
      <c r="QJH3" s="0"/>
      <c r="QJI3" s="0"/>
      <c r="QJJ3" s="0"/>
      <c r="QJK3" s="0"/>
      <c r="QJL3" s="0"/>
      <c r="QJM3" s="0"/>
      <c r="QJN3" s="0"/>
      <c r="QJO3" s="0"/>
      <c r="QJP3" s="0"/>
      <c r="QJQ3" s="0"/>
      <c r="QJR3" s="0"/>
      <c r="QJS3" s="0"/>
      <c r="QJT3" s="0"/>
      <c r="QJU3" s="0"/>
      <c r="QJV3" s="0"/>
      <c r="QJW3" s="0"/>
      <c r="QJX3" s="0"/>
      <c r="QJY3" s="0"/>
      <c r="QJZ3" s="0"/>
      <c r="QKA3" s="0"/>
      <c r="QKB3" s="0"/>
      <c r="QKC3" s="0"/>
      <c r="QKD3" s="0"/>
      <c r="QKE3" s="0"/>
      <c r="QKF3" s="0"/>
      <c r="QKG3" s="0"/>
      <c r="QKH3" s="0"/>
      <c r="QKI3" s="0"/>
      <c r="QKJ3" s="0"/>
      <c r="QKK3" s="0"/>
      <c r="QKL3" s="0"/>
      <c r="QKM3" s="0"/>
      <c r="QKN3" s="0"/>
      <c r="QKO3" s="0"/>
      <c r="QKP3" s="0"/>
      <c r="QKQ3" s="0"/>
      <c r="QKR3" s="0"/>
      <c r="QKS3" s="0"/>
      <c r="QKT3" s="0"/>
      <c r="QKU3" s="0"/>
      <c r="QKV3" s="0"/>
      <c r="QKW3" s="0"/>
      <c r="QKX3" s="0"/>
      <c r="QKY3" s="0"/>
      <c r="QKZ3" s="0"/>
      <c r="QLA3" s="0"/>
      <c r="QLB3" s="0"/>
      <c r="QLC3" s="0"/>
      <c r="QLD3" s="0"/>
      <c r="QLE3" s="0"/>
      <c r="QLF3" s="0"/>
      <c r="QLG3" s="0"/>
      <c r="QLH3" s="0"/>
      <c r="QLI3" s="0"/>
      <c r="QLJ3" s="0"/>
      <c r="QLK3" s="0"/>
      <c r="QLL3" s="0"/>
      <c r="QLM3" s="0"/>
      <c r="QLN3" s="0"/>
      <c r="QLO3" s="0"/>
      <c r="QLP3" s="0"/>
      <c r="QLQ3" s="0"/>
      <c r="QLR3" s="0"/>
      <c r="QLS3" s="0"/>
      <c r="QLT3" s="0"/>
      <c r="QLU3" s="0"/>
      <c r="QLV3" s="0"/>
      <c r="QLW3" s="0"/>
      <c r="QLX3" s="0"/>
      <c r="QLY3" s="0"/>
      <c r="QLZ3" s="0"/>
      <c r="QMA3" s="0"/>
      <c r="QMB3" s="0"/>
      <c r="QMC3" s="0"/>
      <c r="QMD3" s="0"/>
      <c r="QME3" s="0"/>
      <c r="QMF3" s="0"/>
      <c r="QMG3" s="0"/>
      <c r="QMH3" s="0"/>
      <c r="QMI3" s="0"/>
      <c r="QMJ3" s="0"/>
      <c r="QMK3" s="0"/>
      <c r="QML3" s="0"/>
      <c r="QMM3" s="0"/>
      <c r="QMN3" s="0"/>
      <c r="QMO3" s="0"/>
      <c r="QMP3" s="0"/>
      <c r="QMQ3" s="0"/>
      <c r="QMR3" s="0"/>
      <c r="QMS3" s="0"/>
      <c r="QMT3" s="0"/>
      <c r="QMU3" s="0"/>
      <c r="QMV3" s="0"/>
      <c r="QMW3" s="0"/>
      <c r="QMX3" s="0"/>
      <c r="QMY3" s="0"/>
      <c r="QMZ3" s="0"/>
      <c r="QNA3" s="0"/>
      <c r="QNB3" s="0"/>
      <c r="QNC3" s="0"/>
      <c r="QND3" s="0"/>
      <c r="QNE3" s="0"/>
      <c r="QNF3" s="0"/>
      <c r="QNG3" s="0"/>
      <c r="QNH3" s="0"/>
      <c r="QNI3" s="0"/>
      <c r="QNJ3" s="0"/>
      <c r="QNK3" s="0"/>
      <c r="QNL3" s="0"/>
      <c r="QNM3" s="0"/>
      <c r="QNN3" s="0"/>
      <c r="QNO3" s="0"/>
      <c r="QNP3" s="0"/>
      <c r="QNQ3" s="0"/>
      <c r="QNR3" s="0"/>
      <c r="QNS3" s="0"/>
      <c r="QNT3" s="0"/>
      <c r="QNU3" s="0"/>
      <c r="QNV3" s="0"/>
      <c r="QNW3" s="0"/>
      <c r="QNX3" s="0"/>
      <c r="QNY3" s="0"/>
      <c r="QNZ3" s="0"/>
      <c r="QOA3" s="0"/>
      <c r="QOB3" s="0"/>
      <c r="QOC3" s="0"/>
      <c r="QOD3" s="0"/>
      <c r="QOE3" s="0"/>
      <c r="QOF3" s="0"/>
      <c r="QOG3" s="0"/>
      <c r="QOH3" s="0"/>
      <c r="QOI3" s="0"/>
      <c r="QOJ3" s="0"/>
      <c r="QOK3" s="0"/>
      <c r="QOL3" s="0"/>
      <c r="QOM3" s="0"/>
      <c r="QON3" s="0"/>
      <c r="QOO3" s="0"/>
      <c r="QOP3" s="0"/>
      <c r="QOQ3" s="0"/>
      <c r="QOR3" s="0"/>
      <c r="QOS3" s="0"/>
      <c r="QOT3" s="0"/>
      <c r="QOU3" s="0"/>
      <c r="QOV3" s="0"/>
      <c r="QOW3" s="0"/>
      <c r="QOX3" s="0"/>
      <c r="QOY3" s="0"/>
      <c r="QOZ3" s="0"/>
      <c r="QPA3" s="0"/>
      <c r="QPB3" s="0"/>
      <c r="QPC3" s="0"/>
      <c r="QPD3" s="0"/>
      <c r="QPE3" s="0"/>
      <c r="QPF3" s="0"/>
      <c r="QPG3" s="0"/>
      <c r="QPH3" s="0"/>
      <c r="QPI3" s="0"/>
      <c r="QPJ3" s="0"/>
      <c r="QPK3" s="0"/>
      <c r="QPL3" s="0"/>
      <c r="QPM3" s="0"/>
      <c r="QPN3" s="0"/>
      <c r="QPO3" s="0"/>
      <c r="QPP3" s="0"/>
      <c r="QPQ3" s="0"/>
      <c r="QPR3" s="0"/>
      <c r="QPS3" s="0"/>
      <c r="QPT3" s="0"/>
      <c r="QPU3" s="0"/>
      <c r="QPV3" s="0"/>
      <c r="QPW3" s="0"/>
      <c r="QPX3" s="0"/>
      <c r="QPY3" s="0"/>
      <c r="QPZ3" s="0"/>
      <c r="QQA3" s="0"/>
      <c r="QQB3" s="0"/>
      <c r="QQC3" s="0"/>
      <c r="QQD3" s="0"/>
      <c r="QQE3" s="0"/>
      <c r="QQF3" s="0"/>
      <c r="QQG3" s="0"/>
      <c r="QQH3" s="0"/>
      <c r="QQI3" s="0"/>
      <c r="QQJ3" s="0"/>
      <c r="QQK3" s="0"/>
      <c r="QQL3" s="0"/>
      <c r="QQM3" s="0"/>
      <c r="QQN3" s="0"/>
      <c r="QQO3" s="0"/>
      <c r="QQP3" s="0"/>
      <c r="QQQ3" s="0"/>
      <c r="QQR3" s="0"/>
      <c r="QQS3" s="0"/>
      <c r="QQT3" s="0"/>
      <c r="QQU3" s="0"/>
      <c r="QQV3" s="0"/>
      <c r="QQW3" s="0"/>
      <c r="QQX3" s="0"/>
      <c r="QQY3" s="0"/>
      <c r="QQZ3" s="0"/>
      <c r="QRA3" s="0"/>
      <c r="QRB3" s="0"/>
      <c r="QRC3" s="0"/>
      <c r="QRD3" s="0"/>
      <c r="QRE3" s="0"/>
      <c r="QRF3" s="0"/>
      <c r="QRG3" s="0"/>
      <c r="QRH3" s="0"/>
      <c r="QRI3" s="0"/>
      <c r="QRJ3" s="0"/>
      <c r="QRK3" s="0"/>
      <c r="QRL3" s="0"/>
      <c r="QRM3" s="0"/>
      <c r="QRN3" s="0"/>
      <c r="QRO3" s="0"/>
      <c r="QRP3" s="0"/>
      <c r="QRQ3" s="0"/>
      <c r="QRR3" s="0"/>
      <c r="QRS3" s="0"/>
      <c r="QRT3" s="0"/>
      <c r="QRU3" s="0"/>
      <c r="QRV3" s="0"/>
      <c r="QRW3" s="0"/>
      <c r="QRX3" s="0"/>
      <c r="QRY3" s="0"/>
      <c r="QRZ3" s="0"/>
      <c r="QSA3" s="0"/>
      <c r="QSB3" s="0"/>
      <c r="QSC3" s="0"/>
      <c r="QSD3" s="0"/>
      <c r="QSE3" s="0"/>
      <c r="QSF3" s="0"/>
      <c r="QSG3" s="0"/>
      <c r="QSH3" s="0"/>
      <c r="QSI3" s="0"/>
      <c r="QSJ3" s="0"/>
      <c r="QSK3" s="0"/>
      <c r="QSL3" s="0"/>
      <c r="QSM3" s="0"/>
      <c r="QSN3" s="0"/>
      <c r="QSO3" s="0"/>
      <c r="QSP3" s="0"/>
      <c r="QSQ3" s="0"/>
      <c r="QSR3" s="0"/>
      <c r="QSS3" s="0"/>
      <c r="QST3" s="0"/>
      <c r="QSU3" s="0"/>
      <c r="QSV3" s="0"/>
      <c r="QSW3" s="0"/>
      <c r="QSX3" s="0"/>
      <c r="QSY3" s="0"/>
      <c r="QSZ3" s="0"/>
      <c r="QTA3" s="0"/>
      <c r="QTB3" s="0"/>
      <c r="QTC3" s="0"/>
      <c r="QTD3" s="0"/>
      <c r="QTE3" s="0"/>
      <c r="QTF3" s="0"/>
      <c r="QTG3" s="0"/>
      <c r="QTH3" s="0"/>
      <c r="QTI3" s="0"/>
      <c r="QTJ3" s="0"/>
      <c r="QTK3" s="0"/>
      <c r="QTL3" s="0"/>
      <c r="QTM3" s="0"/>
      <c r="QTN3" s="0"/>
      <c r="QTO3" s="0"/>
      <c r="QTP3" s="0"/>
      <c r="QTQ3" s="0"/>
      <c r="QTR3" s="0"/>
      <c r="QTS3" s="0"/>
      <c r="QTT3" s="0"/>
      <c r="QTU3" s="0"/>
      <c r="QTV3" s="0"/>
      <c r="QTW3" s="0"/>
      <c r="QTX3" s="0"/>
      <c r="QTY3" s="0"/>
      <c r="QTZ3" s="0"/>
      <c r="QUA3" s="0"/>
      <c r="QUB3" s="0"/>
      <c r="QUC3" s="0"/>
      <c r="QUD3" s="0"/>
      <c r="QUE3" s="0"/>
      <c r="QUF3" s="0"/>
      <c r="QUG3" s="0"/>
      <c r="QUH3" s="0"/>
      <c r="QUI3" s="0"/>
      <c r="QUJ3" s="0"/>
      <c r="QUK3" s="0"/>
      <c r="QUL3" s="0"/>
      <c r="QUM3" s="0"/>
      <c r="QUN3" s="0"/>
      <c r="QUO3" s="0"/>
      <c r="QUP3" s="0"/>
      <c r="QUQ3" s="0"/>
      <c r="QUR3" s="0"/>
      <c r="QUS3" s="0"/>
      <c r="QUT3" s="0"/>
      <c r="QUU3" s="0"/>
      <c r="QUV3" s="0"/>
      <c r="QUW3" s="0"/>
      <c r="QUX3" s="0"/>
      <c r="QUY3" s="0"/>
      <c r="QUZ3" s="0"/>
      <c r="QVA3" s="0"/>
      <c r="QVB3" s="0"/>
      <c r="QVC3" s="0"/>
      <c r="QVD3" s="0"/>
      <c r="QVE3" s="0"/>
      <c r="QVF3" s="0"/>
      <c r="QVG3" s="0"/>
      <c r="QVH3" s="0"/>
      <c r="QVI3" s="0"/>
      <c r="QVJ3" s="0"/>
      <c r="QVK3" s="0"/>
      <c r="QVL3" s="0"/>
      <c r="QVM3" s="0"/>
      <c r="QVN3" s="0"/>
      <c r="QVO3" s="0"/>
      <c r="QVP3" s="0"/>
      <c r="QVQ3" s="0"/>
      <c r="QVR3" s="0"/>
      <c r="QVS3" s="0"/>
      <c r="QVT3" s="0"/>
      <c r="QVU3" s="0"/>
      <c r="QVV3" s="0"/>
      <c r="QVW3" s="0"/>
      <c r="QVX3" s="0"/>
      <c r="QVY3" s="0"/>
      <c r="QVZ3" s="0"/>
      <c r="QWA3" s="0"/>
      <c r="QWB3" s="0"/>
      <c r="QWC3" s="0"/>
      <c r="QWD3" s="0"/>
      <c r="QWE3" s="0"/>
      <c r="QWF3" s="0"/>
      <c r="QWG3" s="0"/>
      <c r="QWH3" s="0"/>
      <c r="QWI3" s="0"/>
      <c r="QWJ3" s="0"/>
      <c r="QWK3" s="0"/>
      <c r="QWL3" s="0"/>
      <c r="QWM3" s="0"/>
      <c r="QWN3" s="0"/>
      <c r="QWO3" s="0"/>
      <c r="QWP3" s="0"/>
      <c r="QWQ3" s="0"/>
      <c r="QWR3" s="0"/>
      <c r="QWS3" s="0"/>
      <c r="QWT3" s="0"/>
      <c r="QWU3" s="0"/>
      <c r="QWV3" s="0"/>
      <c r="QWW3" s="0"/>
      <c r="QWX3" s="0"/>
      <c r="QWY3" s="0"/>
      <c r="QWZ3" s="0"/>
      <c r="QXA3" s="0"/>
      <c r="QXB3" s="0"/>
      <c r="QXC3" s="0"/>
      <c r="QXD3" s="0"/>
      <c r="QXE3" s="0"/>
      <c r="QXF3" s="0"/>
      <c r="QXG3" s="0"/>
      <c r="QXH3" s="0"/>
      <c r="QXI3" s="0"/>
      <c r="QXJ3" s="0"/>
      <c r="QXK3" s="0"/>
      <c r="QXL3" s="0"/>
      <c r="QXM3" s="0"/>
      <c r="QXN3" s="0"/>
      <c r="QXO3" s="0"/>
      <c r="QXP3" s="0"/>
      <c r="QXQ3" s="0"/>
      <c r="QXR3" s="0"/>
      <c r="QXS3" s="0"/>
      <c r="QXT3" s="0"/>
      <c r="QXU3" s="0"/>
      <c r="QXV3" s="0"/>
      <c r="QXW3" s="0"/>
      <c r="QXX3" s="0"/>
      <c r="QXY3" s="0"/>
      <c r="QXZ3" s="0"/>
      <c r="QYA3" s="0"/>
      <c r="QYB3" s="0"/>
      <c r="QYC3" s="0"/>
      <c r="QYD3" s="0"/>
      <c r="QYE3" s="0"/>
      <c r="QYF3" s="0"/>
      <c r="QYG3" s="0"/>
      <c r="QYH3" s="0"/>
      <c r="QYI3" s="0"/>
      <c r="QYJ3" s="0"/>
      <c r="QYK3" s="0"/>
      <c r="QYL3" s="0"/>
      <c r="QYM3" s="0"/>
      <c r="QYN3" s="0"/>
      <c r="QYO3" s="0"/>
      <c r="QYP3" s="0"/>
      <c r="QYQ3" s="0"/>
      <c r="QYR3" s="0"/>
      <c r="QYS3" s="0"/>
      <c r="QYT3" s="0"/>
      <c r="QYU3" s="0"/>
      <c r="QYV3" s="0"/>
      <c r="QYW3" s="0"/>
      <c r="QYX3" s="0"/>
      <c r="QYY3" s="0"/>
      <c r="QYZ3" s="0"/>
      <c r="QZA3" s="0"/>
      <c r="QZB3" s="0"/>
      <c r="QZC3" s="0"/>
      <c r="QZD3" s="0"/>
      <c r="QZE3" s="0"/>
      <c r="QZF3" s="0"/>
      <c r="QZG3" s="0"/>
      <c r="QZH3" s="0"/>
      <c r="QZI3" s="0"/>
      <c r="QZJ3" s="0"/>
      <c r="QZK3" s="0"/>
      <c r="QZL3" s="0"/>
      <c r="QZM3" s="0"/>
      <c r="QZN3" s="0"/>
      <c r="QZO3" s="0"/>
      <c r="QZP3" s="0"/>
      <c r="QZQ3" s="0"/>
      <c r="QZR3" s="0"/>
      <c r="QZS3" s="0"/>
      <c r="QZT3" s="0"/>
      <c r="QZU3" s="0"/>
      <c r="QZV3" s="0"/>
      <c r="QZW3" s="0"/>
      <c r="QZX3" s="0"/>
      <c r="QZY3" s="0"/>
      <c r="QZZ3" s="0"/>
      <c r="RAA3" s="0"/>
      <c r="RAB3" s="0"/>
      <c r="RAC3" s="0"/>
      <c r="RAD3" s="0"/>
      <c r="RAE3" s="0"/>
      <c r="RAF3" s="0"/>
      <c r="RAG3" s="0"/>
      <c r="RAH3" s="0"/>
      <c r="RAI3" s="0"/>
      <c r="RAJ3" s="0"/>
      <c r="RAK3" s="0"/>
      <c r="RAL3" s="0"/>
      <c r="RAM3" s="0"/>
      <c r="RAN3" s="0"/>
      <c r="RAO3" s="0"/>
      <c r="RAP3" s="0"/>
      <c r="RAQ3" s="0"/>
      <c r="RAR3" s="0"/>
      <c r="RAS3" s="0"/>
      <c r="RAT3" s="0"/>
      <c r="RAU3" s="0"/>
      <c r="RAV3" s="0"/>
      <c r="RAW3" s="0"/>
      <c r="RAX3" s="0"/>
      <c r="RAY3" s="0"/>
      <c r="RAZ3" s="0"/>
      <c r="RBA3" s="0"/>
      <c r="RBB3" s="0"/>
      <c r="RBC3" s="0"/>
      <c r="RBD3" s="0"/>
      <c r="RBE3" s="0"/>
      <c r="RBF3" s="0"/>
      <c r="RBG3" s="0"/>
      <c r="RBH3" s="0"/>
      <c r="RBI3" s="0"/>
      <c r="RBJ3" s="0"/>
      <c r="RBK3" s="0"/>
      <c r="RBL3" s="0"/>
      <c r="RBM3" s="0"/>
      <c r="RBN3" s="0"/>
      <c r="RBO3" s="0"/>
      <c r="RBP3" s="0"/>
      <c r="RBQ3" s="0"/>
      <c r="RBR3" s="0"/>
      <c r="RBS3" s="0"/>
      <c r="RBT3" s="0"/>
      <c r="RBU3" s="0"/>
      <c r="RBV3" s="0"/>
      <c r="RBW3" s="0"/>
      <c r="RBX3" s="0"/>
      <c r="RBY3" s="0"/>
      <c r="RBZ3" s="0"/>
      <c r="RCA3" s="0"/>
      <c r="RCB3" s="0"/>
      <c r="RCC3" s="0"/>
      <c r="RCD3" s="0"/>
      <c r="RCE3" s="0"/>
      <c r="RCF3" s="0"/>
      <c r="RCG3" s="0"/>
      <c r="RCH3" s="0"/>
      <c r="RCI3" s="0"/>
      <c r="RCJ3" s="0"/>
      <c r="RCK3" s="0"/>
      <c r="RCL3" s="0"/>
      <c r="RCM3" s="0"/>
      <c r="RCN3" s="0"/>
      <c r="RCO3" s="0"/>
      <c r="RCP3" s="0"/>
      <c r="RCQ3" s="0"/>
      <c r="RCR3" s="0"/>
      <c r="RCS3" s="0"/>
      <c r="RCT3" s="0"/>
      <c r="RCU3" s="0"/>
      <c r="RCV3" s="0"/>
      <c r="RCW3" s="0"/>
      <c r="RCX3" s="0"/>
      <c r="RCY3" s="0"/>
      <c r="RCZ3" s="0"/>
      <c r="RDA3" s="0"/>
      <c r="RDB3" s="0"/>
      <c r="RDC3" s="0"/>
      <c r="RDD3" s="0"/>
      <c r="RDE3" s="0"/>
      <c r="RDF3" s="0"/>
      <c r="RDG3" s="0"/>
      <c r="RDH3" s="0"/>
      <c r="RDI3" s="0"/>
      <c r="RDJ3" s="0"/>
      <c r="RDK3" s="0"/>
      <c r="RDL3" s="0"/>
      <c r="RDM3" s="0"/>
      <c r="RDN3" s="0"/>
      <c r="RDO3" s="0"/>
      <c r="RDP3" s="0"/>
      <c r="RDQ3" s="0"/>
      <c r="RDR3" s="0"/>
      <c r="RDS3" s="0"/>
      <c r="RDT3" s="0"/>
      <c r="RDU3" s="0"/>
      <c r="RDV3" s="0"/>
      <c r="RDW3" s="0"/>
      <c r="RDX3" s="0"/>
      <c r="RDY3" s="0"/>
      <c r="RDZ3" s="0"/>
      <c r="REA3" s="0"/>
      <c r="REB3" s="0"/>
      <c r="REC3" s="0"/>
      <c r="RED3" s="0"/>
      <c r="REE3" s="0"/>
      <c r="REF3" s="0"/>
      <c r="REG3" s="0"/>
      <c r="REH3" s="0"/>
      <c r="REI3" s="0"/>
      <c r="REJ3" s="0"/>
      <c r="REK3" s="0"/>
      <c r="REL3" s="0"/>
      <c r="REM3" s="0"/>
      <c r="REN3" s="0"/>
      <c r="REO3" s="0"/>
      <c r="REP3" s="0"/>
      <c r="REQ3" s="0"/>
      <c r="RER3" s="0"/>
      <c r="RES3" s="0"/>
      <c r="RET3" s="0"/>
      <c r="REU3" s="0"/>
      <c r="REV3" s="0"/>
      <c r="REW3" s="0"/>
      <c r="REX3" s="0"/>
      <c r="REY3" s="0"/>
      <c r="REZ3" s="0"/>
      <c r="RFA3" s="0"/>
      <c r="RFB3" s="0"/>
      <c r="RFC3" s="0"/>
      <c r="RFD3" s="0"/>
      <c r="RFE3" s="0"/>
      <c r="RFF3" s="0"/>
      <c r="RFG3" s="0"/>
      <c r="RFH3" s="0"/>
      <c r="RFI3" s="0"/>
      <c r="RFJ3" s="0"/>
      <c r="RFK3" s="0"/>
      <c r="RFL3" s="0"/>
      <c r="RFM3" s="0"/>
      <c r="RFN3" s="0"/>
      <c r="RFO3" s="0"/>
      <c r="RFP3" s="0"/>
      <c r="RFQ3" s="0"/>
      <c r="RFR3" s="0"/>
      <c r="RFS3" s="0"/>
      <c r="RFT3" s="0"/>
      <c r="RFU3" s="0"/>
      <c r="RFV3" s="0"/>
      <c r="RFW3" s="0"/>
      <c r="RFX3" s="0"/>
      <c r="RFY3" s="0"/>
      <c r="RFZ3" s="0"/>
      <c r="RGA3" s="0"/>
      <c r="RGB3" s="0"/>
      <c r="RGC3" s="0"/>
      <c r="RGD3" s="0"/>
      <c r="RGE3" s="0"/>
      <c r="RGF3" s="0"/>
      <c r="RGG3" s="0"/>
      <c r="RGH3" s="0"/>
      <c r="RGI3" s="0"/>
      <c r="RGJ3" s="0"/>
      <c r="RGK3" s="0"/>
      <c r="RGL3" s="0"/>
      <c r="RGM3" s="0"/>
      <c r="RGN3" s="0"/>
      <c r="RGO3" s="0"/>
      <c r="RGP3" s="0"/>
      <c r="RGQ3" s="0"/>
      <c r="RGR3" s="0"/>
      <c r="RGS3" s="0"/>
      <c r="RGT3" s="0"/>
      <c r="RGU3" s="0"/>
      <c r="RGV3" s="0"/>
      <c r="RGW3" s="0"/>
      <c r="RGX3" s="0"/>
      <c r="RGY3" s="0"/>
      <c r="RGZ3" s="0"/>
      <c r="RHA3" s="0"/>
      <c r="RHB3" s="0"/>
      <c r="RHC3" s="0"/>
      <c r="RHD3" s="0"/>
      <c r="RHE3" s="0"/>
      <c r="RHF3" s="0"/>
      <c r="RHG3" s="0"/>
      <c r="RHH3" s="0"/>
      <c r="RHI3" s="0"/>
      <c r="RHJ3" s="0"/>
      <c r="RHK3" s="0"/>
      <c r="RHL3" s="0"/>
      <c r="RHM3" s="0"/>
      <c r="RHN3" s="0"/>
      <c r="RHO3" s="0"/>
      <c r="RHP3" s="0"/>
      <c r="RHQ3" s="0"/>
      <c r="RHR3" s="0"/>
      <c r="RHS3" s="0"/>
      <c r="RHT3" s="0"/>
      <c r="RHU3" s="0"/>
      <c r="RHV3" s="0"/>
      <c r="RHW3" s="0"/>
      <c r="RHX3" s="0"/>
      <c r="RHY3" s="0"/>
      <c r="RHZ3" s="0"/>
      <c r="RIA3" s="0"/>
      <c r="RIB3" s="0"/>
      <c r="RIC3" s="0"/>
      <c r="RID3" s="0"/>
      <c r="RIE3" s="0"/>
      <c r="RIF3" s="0"/>
      <c r="RIG3" s="0"/>
      <c r="RIH3" s="0"/>
      <c r="RII3" s="0"/>
      <c r="RIJ3" s="0"/>
      <c r="RIK3" s="0"/>
      <c r="RIL3" s="0"/>
      <c r="RIM3" s="0"/>
      <c r="RIN3" s="0"/>
      <c r="RIO3" s="0"/>
      <c r="RIP3" s="0"/>
      <c r="RIQ3" s="0"/>
      <c r="RIR3" s="0"/>
      <c r="RIS3" s="0"/>
      <c r="RIT3" s="0"/>
      <c r="RIU3" s="0"/>
      <c r="RIV3" s="0"/>
      <c r="RIW3" s="0"/>
      <c r="RIX3" s="0"/>
      <c r="RIY3" s="0"/>
      <c r="RIZ3" s="0"/>
      <c r="RJA3" s="0"/>
      <c r="RJB3" s="0"/>
      <c r="RJC3" s="0"/>
      <c r="RJD3" s="0"/>
      <c r="RJE3" s="0"/>
      <c r="RJF3" s="0"/>
      <c r="RJG3" s="0"/>
      <c r="RJH3" s="0"/>
      <c r="RJI3" s="0"/>
      <c r="RJJ3" s="0"/>
      <c r="RJK3" s="0"/>
      <c r="RJL3" s="0"/>
      <c r="RJM3" s="0"/>
      <c r="RJN3" s="0"/>
      <c r="RJO3" s="0"/>
      <c r="RJP3" s="0"/>
      <c r="RJQ3" s="0"/>
      <c r="RJR3" s="0"/>
      <c r="RJS3" s="0"/>
      <c r="RJT3" s="0"/>
      <c r="RJU3" s="0"/>
      <c r="RJV3" s="0"/>
      <c r="RJW3" s="0"/>
      <c r="RJX3" s="0"/>
      <c r="RJY3" s="0"/>
      <c r="RJZ3" s="0"/>
      <c r="RKA3" s="0"/>
      <c r="RKB3" s="0"/>
      <c r="RKC3" s="0"/>
      <c r="RKD3" s="0"/>
      <c r="RKE3" s="0"/>
      <c r="RKF3" s="0"/>
      <c r="RKG3" s="0"/>
      <c r="RKH3" s="0"/>
      <c r="RKI3" s="0"/>
      <c r="RKJ3" s="0"/>
      <c r="RKK3" s="0"/>
      <c r="RKL3" s="0"/>
      <c r="RKM3" s="0"/>
      <c r="RKN3" s="0"/>
      <c r="RKO3" s="0"/>
      <c r="RKP3" s="0"/>
      <c r="RKQ3" s="0"/>
      <c r="RKR3" s="0"/>
      <c r="RKS3" s="0"/>
      <c r="RKT3" s="0"/>
      <c r="RKU3" s="0"/>
      <c r="RKV3" s="0"/>
      <c r="RKW3" s="0"/>
      <c r="RKX3" s="0"/>
      <c r="RKY3" s="0"/>
      <c r="RKZ3" s="0"/>
      <c r="RLA3" s="0"/>
      <c r="RLB3" s="0"/>
      <c r="RLC3" s="0"/>
      <c r="RLD3" s="0"/>
      <c r="RLE3" s="0"/>
      <c r="RLF3" s="0"/>
      <c r="RLG3" s="0"/>
      <c r="RLH3" s="0"/>
      <c r="RLI3" s="0"/>
      <c r="RLJ3" s="0"/>
      <c r="RLK3" s="0"/>
      <c r="RLL3" s="0"/>
      <c r="RLM3" s="0"/>
      <c r="RLN3" s="0"/>
      <c r="RLO3" s="0"/>
      <c r="RLP3" s="0"/>
      <c r="RLQ3" s="0"/>
      <c r="RLR3" s="0"/>
      <c r="RLS3" s="0"/>
      <c r="RLT3" s="0"/>
      <c r="RLU3" s="0"/>
      <c r="RLV3" s="0"/>
      <c r="RLW3" s="0"/>
      <c r="RLX3" s="0"/>
      <c r="RLY3" s="0"/>
      <c r="RLZ3" s="0"/>
      <c r="RMA3" s="0"/>
      <c r="RMB3" s="0"/>
      <c r="RMC3" s="0"/>
      <c r="RMD3" s="0"/>
      <c r="RME3" s="0"/>
      <c r="RMF3" s="0"/>
      <c r="RMG3" s="0"/>
      <c r="RMH3" s="0"/>
      <c r="RMI3" s="0"/>
      <c r="RMJ3" s="0"/>
      <c r="RMK3" s="0"/>
      <c r="RML3" s="0"/>
      <c r="RMM3" s="0"/>
      <c r="RMN3" s="0"/>
      <c r="RMO3" s="0"/>
      <c r="RMP3" s="0"/>
      <c r="RMQ3" s="0"/>
      <c r="RMR3" s="0"/>
      <c r="RMS3" s="0"/>
      <c r="RMT3" s="0"/>
      <c r="RMU3" s="0"/>
      <c r="RMV3" s="0"/>
      <c r="RMW3" s="0"/>
      <c r="RMX3" s="0"/>
      <c r="RMY3" s="0"/>
      <c r="RMZ3" s="0"/>
      <c r="RNA3" s="0"/>
      <c r="RNB3" s="0"/>
      <c r="RNC3" s="0"/>
      <c r="RND3" s="0"/>
      <c r="RNE3" s="0"/>
      <c r="RNF3" s="0"/>
      <c r="RNG3" s="0"/>
      <c r="RNH3" s="0"/>
      <c r="RNI3" s="0"/>
      <c r="RNJ3" s="0"/>
      <c r="RNK3" s="0"/>
      <c r="RNL3" s="0"/>
      <c r="RNM3" s="0"/>
      <c r="RNN3" s="0"/>
      <c r="RNO3" s="0"/>
      <c r="RNP3" s="0"/>
      <c r="RNQ3" s="0"/>
      <c r="RNR3" s="0"/>
      <c r="RNS3" s="0"/>
      <c r="RNT3" s="0"/>
      <c r="RNU3" s="0"/>
      <c r="RNV3" s="0"/>
      <c r="RNW3" s="0"/>
      <c r="RNX3" s="0"/>
      <c r="RNY3" s="0"/>
      <c r="RNZ3" s="0"/>
      <c r="ROA3" s="0"/>
      <c r="ROB3" s="0"/>
      <c r="ROC3" s="0"/>
      <c r="ROD3" s="0"/>
      <c r="ROE3" s="0"/>
      <c r="ROF3" s="0"/>
      <c r="ROG3" s="0"/>
      <c r="ROH3" s="0"/>
      <c r="ROI3" s="0"/>
      <c r="ROJ3" s="0"/>
      <c r="ROK3" s="0"/>
      <c r="ROL3" s="0"/>
      <c r="ROM3" s="0"/>
      <c r="RON3" s="0"/>
      <c r="ROO3" s="0"/>
      <c r="ROP3" s="0"/>
      <c r="ROQ3" s="0"/>
      <c r="ROR3" s="0"/>
      <c r="ROS3" s="0"/>
      <c r="ROT3" s="0"/>
      <c r="ROU3" s="0"/>
      <c r="ROV3" s="0"/>
      <c r="ROW3" s="0"/>
      <c r="ROX3" s="0"/>
      <c r="ROY3" s="0"/>
      <c r="ROZ3" s="0"/>
      <c r="RPA3" s="0"/>
      <c r="RPB3" s="0"/>
      <c r="RPC3" s="0"/>
      <c r="RPD3" s="0"/>
      <c r="RPE3" s="0"/>
      <c r="RPF3" s="0"/>
      <c r="RPG3" s="0"/>
      <c r="RPH3" s="0"/>
      <c r="RPI3" s="0"/>
      <c r="RPJ3" s="0"/>
      <c r="RPK3" s="0"/>
      <c r="RPL3" s="0"/>
      <c r="RPM3" s="0"/>
      <c r="RPN3" s="0"/>
      <c r="RPO3" s="0"/>
      <c r="RPP3" s="0"/>
      <c r="RPQ3" s="0"/>
      <c r="RPR3" s="0"/>
      <c r="RPS3" s="0"/>
      <c r="RPT3" s="0"/>
      <c r="RPU3" s="0"/>
      <c r="RPV3" s="0"/>
      <c r="RPW3" s="0"/>
      <c r="RPX3" s="0"/>
      <c r="RPY3" s="0"/>
      <c r="RPZ3" s="0"/>
      <c r="RQA3" s="0"/>
      <c r="RQB3" s="0"/>
      <c r="RQC3" s="0"/>
      <c r="RQD3" s="0"/>
      <c r="RQE3" s="0"/>
      <c r="RQF3" s="0"/>
      <c r="RQG3" s="0"/>
      <c r="RQH3" s="0"/>
      <c r="RQI3" s="0"/>
      <c r="RQJ3" s="0"/>
      <c r="RQK3" s="0"/>
      <c r="RQL3" s="0"/>
      <c r="RQM3" s="0"/>
      <c r="RQN3" s="0"/>
      <c r="RQO3" s="0"/>
      <c r="RQP3" s="0"/>
      <c r="RQQ3" s="0"/>
      <c r="RQR3" s="0"/>
      <c r="RQS3" s="0"/>
      <c r="RQT3" s="0"/>
      <c r="RQU3" s="0"/>
      <c r="RQV3" s="0"/>
      <c r="RQW3" s="0"/>
      <c r="RQX3" s="0"/>
      <c r="RQY3" s="0"/>
      <c r="RQZ3" s="0"/>
      <c r="RRA3" s="0"/>
      <c r="RRB3" s="0"/>
      <c r="RRC3" s="0"/>
      <c r="RRD3" s="0"/>
      <c r="RRE3" s="0"/>
      <c r="RRF3" s="0"/>
      <c r="RRG3" s="0"/>
      <c r="RRH3" s="0"/>
      <c r="RRI3" s="0"/>
      <c r="RRJ3" s="0"/>
      <c r="RRK3" s="0"/>
      <c r="RRL3" s="0"/>
      <c r="RRM3" s="0"/>
      <c r="RRN3" s="0"/>
      <c r="RRO3" s="0"/>
      <c r="RRP3" s="0"/>
      <c r="RRQ3" s="0"/>
      <c r="RRR3" s="0"/>
      <c r="RRS3" s="0"/>
      <c r="RRT3" s="0"/>
      <c r="RRU3" s="0"/>
      <c r="RRV3" s="0"/>
      <c r="RRW3" s="0"/>
      <c r="RRX3" s="0"/>
      <c r="RRY3" s="0"/>
      <c r="RRZ3" s="0"/>
      <c r="RSA3" s="0"/>
      <c r="RSB3" s="0"/>
      <c r="RSC3" s="0"/>
      <c r="RSD3" s="0"/>
      <c r="RSE3" s="0"/>
      <c r="RSF3" s="0"/>
      <c r="RSG3" s="0"/>
      <c r="RSH3" s="0"/>
      <c r="RSI3" s="0"/>
      <c r="RSJ3" s="0"/>
      <c r="RSK3" s="0"/>
      <c r="RSL3" s="0"/>
      <c r="RSM3" s="0"/>
      <c r="RSN3" s="0"/>
      <c r="RSO3" s="0"/>
      <c r="RSP3" s="0"/>
      <c r="RSQ3" s="0"/>
      <c r="RSR3" s="0"/>
      <c r="RSS3" s="0"/>
      <c r="RST3" s="0"/>
      <c r="RSU3" s="0"/>
      <c r="RSV3" s="0"/>
      <c r="RSW3" s="0"/>
      <c r="RSX3" s="0"/>
      <c r="RSY3" s="0"/>
      <c r="RSZ3" s="0"/>
      <c r="RTA3" s="0"/>
      <c r="RTB3" s="0"/>
      <c r="RTC3" s="0"/>
      <c r="RTD3" s="0"/>
      <c r="RTE3" s="0"/>
      <c r="RTF3" s="0"/>
      <c r="RTG3" s="0"/>
      <c r="RTH3" s="0"/>
      <c r="RTI3" s="0"/>
      <c r="RTJ3" s="0"/>
      <c r="RTK3" s="0"/>
      <c r="RTL3" s="0"/>
      <c r="RTM3" s="0"/>
      <c r="RTN3" s="0"/>
      <c r="RTO3" s="0"/>
      <c r="RTP3" s="0"/>
      <c r="RTQ3" s="0"/>
      <c r="RTR3" s="0"/>
      <c r="RTS3" s="0"/>
      <c r="RTT3" s="0"/>
      <c r="RTU3" s="0"/>
      <c r="RTV3" s="0"/>
      <c r="RTW3" s="0"/>
      <c r="RTX3" s="0"/>
      <c r="RTY3" s="0"/>
      <c r="RTZ3" s="0"/>
      <c r="RUA3" s="0"/>
      <c r="RUB3" s="0"/>
      <c r="RUC3" s="0"/>
      <c r="RUD3" s="0"/>
      <c r="RUE3" s="0"/>
      <c r="RUF3" s="0"/>
      <c r="RUG3" s="0"/>
      <c r="RUH3" s="0"/>
      <c r="RUI3" s="0"/>
      <c r="RUJ3" s="0"/>
      <c r="RUK3" s="0"/>
      <c r="RUL3" s="0"/>
      <c r="RUM3" s="0"/>
      <c r="RUN3" s="0"/>
      <c r="RUO3" s="0"/>
      <c r="RUP3" s="0"/>
      <c r="RUQ3" s="0"/>
      <c r="RUR3" s="0"/>
      <c r="RUS3" s="0"/>
      <c r="RUT3" s="0"/>
      <c r="RUU3" s="0"/>
      <c r="RUV3" s="0"/>
      <c r="RUW3" s="0"/>
      <c r="RUX3" s="0"/>
      <c r="RUY3" s="0"/>
      <c r="RUZ3" s="0"/>
      <c r="RVA3" s="0"/>
      <c r="RVB3" s="0"/>
      <c r="RVC3" s="0"/>
      <c r="RVD3" s="0"/>
      <c r="RVE3" s="0"/>
      <c r="RVF3" s="0"/>
      <c r="RVG3" s="0"/>
      <c r="RVH3" s="0"/>
      <c r="RVI3" s="0"/>
      <c r="RVJ3" s="0"/>
      <c r="RVK3" s="0"/>
      <c r="RVL3" s="0"/>
      <c r="RVM3" s="0"/>
      <c r="RVN3" s="0"/>
      <c r="RVO3" s="0"/>
      <c r="RVP3" s="0"/>
      <c r="RVQ3" s="0"/>
      <c r="RVR3" s="0"/>
      <c r="RVS3" s="0"/>
      <c r="RVT3" s="0"/>
      <c r="RVU3" s="0"/>
      <c r="RVV3" s="0"/>
      <c r="RVW3" s="0"/>
      <c r="RVX3" s="0"/>
      <c r="RVY3" s="0"/>
      <c r="RVZ3" s="0"/>
      <c r="RWA3" s="0"/>
      <c r="RWB3" s="0"/>
      <c r="RWC3" s="0"/>
      <c r="RWD3" s="0"/>
      <c r="RWE3" s="0"/>
      <c r="RWF3" s="0"/>
      <c r="RWG3" s="0"/>
      <c r="RWH3" s="0"/>
      <c r="RWI3" s="0"/>
      <c r="RWJ3" s="0"/>
      <c r="RWK3" s="0"/>
      <c r="RWL3" s="0"/>
      <c r="RWM3" s="0"/>
      <c r="RWN3" s="0"/>
      <c r="RWO3" s="0"/>
      <c r="RWP3" s="0"/>
      <c r="RWQ3" s="0"/>
      <c r="RWR3" s="0"/>
      <c r="RWS3" s="0"/>
      <c r="RWT3" s="0"/>
      <c r="RWU3" s="0"/>
      <c r="RWV3" s="0"/>
      <c r="RWW3" s="0"/>
      <c r="RWX3" s="0"/>
      <c r="RWY3" s="0"/>
      <c r="RWZ3" s="0"/>
      <c r="RXA3" s="0"/>
      <c r="RXB3" s="0"/>
      <c r="RXC3" s="0"/>
      <c r="RXD3" s="0"/>
      <c r="RXE3" s="0"/>
      <c r="RXF3" s="0"/>
      <c r="RXG3" s="0"/>
      <c r="RXH3" s="0"/>
      <c r="RXI3" s="0"/>
      <c r="RXJ3" s="0"/>
      <c r="RXK3" s="0"/>
      <c r="RXL3" s="0"/>
      <c r="RXM3" s="0"/>
      <c r="RXN3" s="0"/>
      <c r="RXO3" s="0"/>
      <c r="RXP3" s="0"/>
      <c r="RXQ3" s="0"/>
      <c r="RXR3" s="0"/>
      <c r="RXS3" s="0"/>
      <c r="RXT3" s="0"/>
      <c r="RXU3" s="0"/>
      <c r="RXV3" s="0"/>
      <c r="RXW3" s="0"/>
      <c r="RXX3" s="0"/>
      <c r="RXY3" s="0"/>
      <c r="RXZ3" s="0"/>
      <c r="RYA3" s="0"/>
      <c r="RYB3" s="0"/>
      <c r="RYC3" s="0"/>
      <c r="RYD3" s="0"/>
      <c r="RYE3" s="0"/>
      <c r="RYF3" s="0"/>
      <c r="RYG3" s="0"/>
      <c r="RYH3" s="0"/>
      <c r="RYI3" s="0"/>
      <c r="RYJ3" s="0"/>
      <c r="RYK3" s="0"/>
      <c r="RYL3" s="0"/>
      <c r="RYM3" s="0"/>
      <c r="RYN3" s="0"/>
      <c r="RYO3" s="0"/>
      <c r="RYP3" s="0"/>
      <c r="RYQ3" s="0"/>
      <c r="RYR3" s="0"/>
      <c r="RYS3" s="0"/>
      <c r="RYT3" s="0"/>
      <c r="RYU3" s="0"/>
      <c r="RYV3" s="0"/>
      <c r="RYW3" s="0"/>
      <c r="RYX3" s="0"/>
      <c r="RYY3" s="0"/>
      <c r="RYZ3" s="0"/>
      <c r="RZA3" s="0"/>
      <c r="RZB3" s="0"/>
      <c r="RZC3" s="0"/>
      <c r="RZD3" s="0"/>
      <c r="RZE3" s="0"/>
      <c r="RZF3" s="0"/>
      <c r="RZG3" s="0"/>
      <c r="RZH3" s="0"/>
      <c r="RZI3" s="0"/>
      <c r="RZJ3" s="0"/>
      <c r="RZK3" s="0"/>
      <c r="RZL3" s="0"/>
      <c r="RZM3" s="0"/>
      <c r="RZN3" s="0"/>
      <c r="RZO3" s="0"/>
      <c r="RZP3" s="0"/>
      <c r="RZQ3" s="0"/>
      <c r="RZR3" s="0"/>
      <c r="RZS3" s="0"/>
      <c r="RZT3" s="0"/>
      <c r="RZU3" s="0"/>
      <c r="RZV3" s="0"/>
      <c r="RZW3" s="0"/>
      <c r="RZX3" s="0"/>
      <c r="RZY3" s="0"/>
      <c r="RZZ3" s="0"/>
      <c r="SAA3" s="0"/>
      <c r="SAB3" s="0"/>
      <c r="SAC3" s="0"/>
      <c r="SAD3" s="0"/>
      <c r="SAE3" s="0"/>
      <c r="SAF3" s="0"/>
      <c r="SAG3" s="0"/>
      <c r="SAH3" s="0"/>
      <c r="SAI3" s="0"/>
      <c r="SAJ3" s="0"/>
      <c r="SAK3" s="0"/>
      <c r="SAL3" s="0"/>
      <c r="SAM3" s="0"/>
      <c r="SAN3" s="0"/>
      <c r="SAO3" s="0"/>
      <c r="SAP3" s="0"/>
      <c r="SAQ3" s="0"/>
      <c r="SAR3" s="0"/>
      <c r="SAS3" s="0"/>
      <c r="SAT3" s="0"/>
      <c r="SAU3" s="0"/>
      <c r="SAV3" s="0"/>
      <c r="SAW3" s="0"/>
      <c r="SAX3" s="0"/>
      <c r="SAY3" s="0"/>
      <c r="SAZ3" s="0"/>
      <c r="SBA3" s="0"/>
      <c r="SBB3" s="0"/>
      <c r="SBC3" s="0"/>
      <c r="SBD3" s="0"/>
      <c r="SBE3" s="0"/>
      <c r="SBF3" s="0"/>
      <c r="SBG3" s="0"/>
      <c r="SBH3" s="0"/>
      <c r="SBI3" s="0"/>
      <c r="SBJ3" s="0"/>
      <c r="SBK3" s="0"/>
      <c r="SBL3" s="0"/>
      <c r="SBM3" s="0"/>
      <c r="SBN3" s="0"/>
      <c r="SBO3" s="0"/>
      <c r="SBP3" s="0"/>
      <c r="SBQ3" s="0"/>
      <c r="SBR3" s="0"/>
      <c r="SBS3" s="0"/>
      <c r="SBT3" s="0"/>
      <c r="SBU3" s="0"/>
      <c r="SBV3" s="0"/>
      <c r="SBW3" s="0"/>
      <c r="SBX3" s="0"/>
      <c r="SBY3" s="0"/>
      <c r="SBZ3" s="0"/>
      <c r="SCA3" s="0"/>
      <c r="SCB3" s="0"/>
      <c r="SCC3" s="0"/>
      <c r="SCD3" s="0"/>
      <c r="SCE3" s="0"/>
      <c r="SCF3" s="0"/>
      <c r="SCG3" s="0"/>
      <c r="SCH3" s="0"/>
      <c r="SCI3" s="0"/>
      <c r="SCJ3" s="0"/>
      <c r="SCK3" s="0"/>
      <c r="SCL3" s="0"/>
      <c r="SCM3" s="0"/>
      <c r="SCN3" s="0"/>
      <c r="SCO3" s="0"/>
      <c r="SCP3" s="0"/>
      <c r="SCQ3" s="0"/>
      <c r="SCR3" s="0"/>
      <c r="SCS3" s="0"/>
      <c r="SCT3" s="0"/>
      <c r="SCU3" s="0"/>
      <c r="SCV3" s="0"/>
      <c r="SCW3" s="0"/>
      <c r="SCX3" s="0"/>
      <c r="SCY3" s="0"/>
      <c r="SCZ3" s="0"/>
      <c r="SDA3" s="0"/>
      <c r="SDB3" s="0"/>
      <c r="SDC3" s="0"/>
      <c r="SDD3" s="0"/>
      <c r="SDE3" s="0"/>
      <c r="SDF3" s="0"/>
      <c r="SDG3" s="0"/>
      <c r="SDH3" s="0"/>
      <c r="SDI3" s="0"/>
      <c r="SDJ3" s="0"/>
      <c r="SDK3" s="0"/>
      <c r="SDL3" s="0"/>
      <c r="SDM3" s="0"/>
      <c r="SDN3" s="0"/>
      <c r="SDO3" s="0"/>
      <c r="SDP3" s="0"/>
      <c r="SDQ3" s="0"/>
      <c r="SDR3" s="0"/>
      <c r="SDS3" s="0"/>
      <c r="SDT3" s="0"/>
      <c r="SDU3" s="0"/>
      <c r="SDV3" s="0"/>
      <c r="SDW3" s="0"/>
      <c r="SDX3" s="0"/>
      <c r="SDY3" s="0"/>
      <c r="SDZ3" s="0"/>
      <c r="SEA3" s="0"/>
      <c r="SEB3" s="0"/>
      <c r="SEC3" s="0"/>
      <c r="SED3" s="0"/>
      <c r="SEE3" s="0"/>
      <c r="SEF3" s="0"/>
      <c r="SEG3" s="0"/>
      <c r="SEH3" s="0"/>
      <c r="SEI3" s="0"/>
      <c r="SEJ3" s="0"/>
      <c r="SEK3" s="0"/>
      <c r="SEL3" s="0"/>
      <c r="SEM3" s="0"/>
      <c r="SEN3" s="0"/>
      <c r="SEO3" s="0"/>
      <c r="SEP3" s="0"/>
      <c r="SEQ3" s="0"/>
      <c r="SER3" s="0"/>
      <c r="SES3" s="0"/>
      <c r="SET3" s="0"/>
      <c r="SEU3" s="0"/>
      <c r="SEV3" s="0"/>
      <c r="SEW3" s="0"/>
      <c r="SEX3" s="0"/>
      <c r="SEY3" s="0"/>
      <c r="SEZ3" s="0"/>
      <c r="SFA3" s="0"/>
      <c r="SFB3" s="0"/>
      <c r="SFC3" s="0"/>
      <c r="SFD3" s="0"/>
      <c r="SFE3" s="0"/>
      <c r="SFF3" s="0"/>
      <c r="SFG3" s="0"/>
      <c r="SFH3" s="0"/>
      <c r="SFI3" s="0"/>
      <c r="SFJ3" s="0"/>
      <c r="SFK3" s="0"/>
      <c r="SFL3" s="0"/>
      <c r="SFM3" s="0"/>
      <c r="SFN3" s="0"/>
      <c r="SFO3" s="0"/>
      <c r="SFP3" s="0"/>
      <c r="SFQ3" s="0"/>
      <c r="SFR3" s="0"/>
      <c r="SFS3" s="0"/>
      <c r="SFT3" s="0"/>
      <c r="SFU3" s="0"/>
      <c r="SFV3" s="0"/>
      <c r="SFW3" s="0"/>
      <c r="SFX3" s="0"/>
      <c r="SFY3" s="0"/>
      <c r="SFZ3" s="0"/>
      <c r="SGA3" s="0"/>
      <c r="SGB3" s="0"/>
      <c r="SGC3" s="0"/>
      <c r="SGD3" s="0"/>
      <c r="SGE3" s="0"/>
      <c r="SGF3" s="0"/>
      <c r="SGG3" s="0"/>
      <c r="SGH3" s="0"/>
      <c r="SGI3" s="0"/>
      <c r="SGJ3" s="0"/>
      <c r="SGK3" s="0"/>
      <c r="SGL3" s="0"/>
      <c r="SGM3" s="0"/>
      <c r="SGN3" s="0"/>
      <c r="SGO3" s="0"/>
      <c r="SGP3" s="0"/>
      <c r="SGQ3" s="0"/>
      <c r="SGR3" s="0"/>
      <c r="SGS3" s="0"/>
      <c r="SGT3" s="0"/>
      <c r="SGU3" s="0"/>
      <c r="SGV3" s="0"/>
      <c r="SGW3" s="0"/>
      <c r="SGX3" s="0"/>
      <c r="SGY3" s="0"/>
      <c r="SGZ3" s="0"/>
      <c r="SHA3" s="0"/>
      <c r="SHB3" s="0"/>
      <c r="SHC3" s="0"/>
      <c r="SHD3" s="0"/>
      <c r="SHE3" s="0"/>
      <c r="SHF3" s="0"/>
      <c r="SHG3" s="0"/>
      <c r="SHH3" s="0"/>
      <c r="SHI3" s="0"/>
      <c r="SHJ3" s="0"/>
      <c r="SHK3" s="0"/>
      <c r="SHL3" s="0"/>
      <c r="SHM3" s="0"/>
      <c r="SHN3" s="0"/>
      <c r="SHO3" s="0"/>
      <c r="SHP3" s="0"/>
      <c r="SHQ3" s="0"/>
      <c r="SHR3" s="0"/>
      <c r="SHS3" s="0"/>
      <c r="SHT3" s="0"/>
      <c r="SHU3" s="0"/>
      <c r="SHV3" s="0"/>
      <c r="SHW3" s="0"/>
      <c r="SHX3" s="0"/>
      <c r="SHY3" s="0"/>
      <c r="SHZ3" s="0"/>
      <c r="SIA3" s="0"/>
      <c r="SIB3" s="0"/>
      <c r="SIC3" s="0"/>
      <c r="SID3" s="0"/>
      <c r="SIE3" s="0"/>
      <c r="SIF3" s="0"/>
      <c r="SIG3" s="0"/>
      <c r="SIH3" s="0"/>
      <c r="SII3" s="0"/>
      <c r="SIJ3" s="0"/>
      <c r="SIK3" s="0"/>
      <c r="SIL3" s="0"/>
      <c r="SIM3" s="0"/>
      <c r="SIN3" s="0"/>
      <c r="SIO3" s="0"/>
      <c r="SIP3" s="0"/>
      <c r="SIQ3" s="0"/>
      <c r="SIR3" s="0"/>
      <c r="SIS3" s="0"/>
      <c r="SIT3" s="0"/>
      <c r="SIU3" s="0"/>
      <c r="SIV3" s="0"/>
      <c r="SIW3" s="0"/>
      <c r="SIX3" s="0"/>
      <c r="SIY3" s="0"/>
      <c r="SIZ3" s="0"/>
      <c r="SJA3" s="0"/>
      <c r="SJB3" s="0"/>
      <c r="SJC3" s="0"/>
      <c r="SJD3" s="0"/>
      <c r="SJE3" s="0"/>
      <c r="SJF3" s="0"/>
      <c r="SJG3" s="0"/>
      <c r="SJH3" s="0"/>
      <c r="SJI3" s="0"/>
      <c r="SJJ3" s="0"/>
      <c r="SJK3" s="0"/>
      <c r="SJL3" s="0"/>
      <c r="SJM3" s="0"/>
      <c r="SJN3" s="0"/>
      <c r="SJO3" s="0"/>
      <c r="SJP3" s="0"/>
      <c r="SJQ3" s="0"/>
      <c r="SJR3" s="0"/>
      <c r="SJS3" s="0"/>
      <c r="SJT3" s="0"/>
      <c r="SJU3" s="0"/>
      <c r="SJV3" s="0"/>
      <c r="SJW3" s="0"/>
      <c r="SJX3" s="0"/>
      <c r="SJY3" s="0"/>
      <c r="SJZ3" s="0"/>
      <c r="SKA3" s="0"/>
      <c r="SKB3" s="0"/>
      <c r="SKC3" s="0"/>
      <c r="SKD3" s="0"/>
      <c r="SKE3" s="0"/>
      <c r="SKF3" s="0"/>
      <c r="SKG3" s="0"/>
      <c r="SKH3" s="0"/>
      <c r="SKI3" s="0"/>
      <c r="SKJ3" s="0"/>
      <c r="SKK3" s="0"/>
      <c r="SKL3" s="0"/>
      <c r="SKM3" s="0"/>
      <c r="SKN3" s="0"/>
      <c r="SKO3" s="0"/>
      <c r="SKP3" s="0"/>
      <c r="SKQ3" s="0"/>
      <c r="SKR3" s="0"/>
      <c r="SKS3" s="0"/>
      <c r="SKT3" s="0"/>
      <c r="SKU3" s="0"/>
      <c r="SKV3" s="0"/>
      <c r="SKW3" s="0"/>
      <c r="SKX3" s="0"/>
      <c r="SKY3" s="0"/>
      <c r="SKZ3" s="0"/>
      <c r="SLA3" s="0"/>
      <c r="SLB3" s="0"/>
      <c r="SLC3" s="0"/>
      <c r="SLD3" s="0"/>
      <c r="SLE3" s="0"/>
      <c r="SLF3" s="0"/>
      <c r="SLG3" s="0"/>
      <c r="SLH3" s="0"/>
      <c r="SLI3" s="0"/>
      <c r="SLJ3" s="0"/>
      <c r="SLK3" s="0"/>
      <c r="SLL3" s="0"/>
      <c r="SLM3" s="0"/>
      <c r="SLN3" s="0"/>
      <c r="SLO3" s="0"/>
      <c r="SLP3" s="0"/>
      <c r="SLQ3" s="0"/>
      <c r="SLR3" s="0"/>
      <c r="SLS3" s="0"/>
      <c r="SLT3" s="0"/>
      <c r="SLU3" s="0"/>
      <c r="SLV3" s="0"/>
      <c r="SLW3" s="0"/>
      <c r="SLX3" s="0"/>
      <c r="SLY3" s="0"/>
      <c r="SLZ3" s="0"/>
      <c r="SMA3" s="0"/>
      <c r="SMB3" s="0"/>
      <c r="SMC3" s="0"/>
      <c r="SMD3" s="0"/>
      <c r="SME3" s="0"/>
      <c r="SMF3" s="0"/>
      <c r="SMG3" s="0"/>
      <c r="SMH3" s="0"/>
      <c r="SMI3" s="0"/>
      <c r="SMJ3" s="0"/>
      <c r="SMK3" s="0"/>
      <c r="SML3" s="0"/>
      <c r="SMM3" s="0"/>
      <c r="SMN3" s="0"/>
      <c r="SMO3" s="0"/>
      <c r="SMP3" s="0"/>
      <c r="SMQ3" s="0"/>
      <c r="SMR3" s="0"/>
      <c r="SMS3" s="0"/>
      <c r="SMT3" s="0"/>
      <c r="SMU3" s="0"/>
      <c r="SMV3" s="0"/>
      <c r="SMW3" s="0"/>
      <c r="SMX3" s="0"/>
      <c r="SMY3" s="0"/>
      <c r="SMZ3" s="0"/>
      <c r="SNA3" s="0"/>
      <c r="SNB3" s="0"/>
      <c r="SNC3" s="0"/>
      <c r="SND3" s="0"/>
      <c r="SNE3" s="0"/>
      <c r="SNF3" s="0"/>
      <c r="SNG3" s="0"/>
      <c r="SNH3" s="0"/>
      <c r="SNI3" s="0"/>
      <c r="SNJ3" s="0"/>
      <c r="SNK3" s="0"/>
      <c r="SNL3" s="0"/>
      <c r="SNM3" s="0"/>
      <c r="SNN3" s="0"/>
      <c r="SNO3" s="0"/>
      <c r="SNP3" s="0"/>
      <c r="SNQ3" s="0"/>
      <c r="SNR3" s="0"/>
      <c r="SNS3" s="0"/>
      <c r="SNT3" s="0"/>
      <c r="SNU3" s="0"/>
      <c r="SNV3" s="0"/>
      <c r="SNW3" s="0"/>
      <c r="SNX3" s="0"/>
      <c r="SNY3" s="0"/>
      <c r="SNZ3" s="0"/>
      <c r="SOA3" s="0"/>
      <c r="SOB3" s="0"/>
      <c r="SOC3" s="0"/>
      <c r="SOD3" s="0"/>
      <c r="SOE3" s="0"/>
      <c r="SOF3" s="0"/>
      <c r="SOG3" s="0"/>
      <c r="SOH3" s="0"/>
      <c r="SOI3" s="0"/>
      <c r="SOJ3" s="0"/>
      <c r="SOK3" s="0"/>
      <c r="SOL3" s="0"/>
      <c r="SOM3" s="0"/>
      <c r="SON3" s="0"/>
      <c r="SOO3" s="0"/>
      <c r="SOP3" s="0"/>
      <c r="SOQ3" s="0"/>
      <c r="SOR3" s="0"/>
      <c r="SOS3" s="0"/>
      <c r="SOT3" s="0"/>
      <c r="SOU3" s="0"/>
      <c r="SOV3" s="0"/>
      <c r="SOW3" s="0"/>
      <c r="SOX3" s="0"/>
      <c r="SOY3" s="0"/>
      <c r="SOZ3" s="0"/>
      <c r="SPA3" s="0"/>
      <c r="SPB3" s="0"/>
      <c r="SPC3" s="0"/>
      <c r="SPD3" s="0"/>
      <c r="SPE3" s="0"/>
      <c r="SPF3" s="0"/>
      <c r="SPG3" s="0"/>
      <c r="SPH3" s="0"/>
      <c r="SPI3" s="0"/>
      <c r="SPJ3" s="0"/>
      <c r="SPK3" s="0"/>
      <c r="SPL3" s="0"/>
      <c r="SPM3" s="0"/>
      <c r="SPN3" s="0"/>
      <c r="SPO3" s="0"/>
      <c r="SPP3" s="0"/>
      <c r="SPQ3" s="0"/>
      <c r="SPR3" s="0"/>
      <c r="SPS3" s="0"/>
      <c r="SPT3" s="0"/>
      <c r="SPU3" s="0"/>
      <c r="SPV3" s="0"/>
      <c r="SPW3" s="0"/>
      <c r="SPX3" s="0"/>
      <c r="SPY3" s="0"/>
      <c r="SPZ3" s="0"/>
      <c r="SQA3" s="0"/>
      <c r="SQB3" s="0"/>
      <c r="SQC3" s="0"/>
      <c r="SQD3" s="0"/>
      <c r="SQE3" s="0"/>
      <c r="SQF3" s="0"/>
      <c r="SQG3" s="0"/>
      <c r="SQH3" s="0"/>
      <c r="SQI3" s="0"/>
      <c r="SQJ3" s="0"/>
      <c r="SQK3" s="0"/>
      <c r="SQL3" s="0"/>
      <c r="SQM3" s="0"/>
      <c r="SQN3" s="0"/>
      <c r="SQO3" s="0"/>
      <c r="SQP3" s="0"/>
      <c r="SQQ3" s="0"/>
      <c r="SQR3" s="0"/>
      <c r="SQS3" s="0"/>
      <c r="SQT3" s="0"/>
      <c r="SQU3" s="0"/>
      <c r="SQV3" s="0"/>
      <c r="SQW3" s="0"/>
      <c r="SQX3" s="0"/>
      <c r="SQY3" s="0"/>
      <c r="SQZ3" s="0"/>
      <c r="SRA3" s="0"/>
      <c r="SRB3" s="0"/>
      <c r="SRC3" s="0"/>
      <c r="SRD3" s="0"/>
      <c r="SRE3" s="0"/>
      <c r="SRF3" s="0"/>
      <c r="SRG3" s="0"/>
      <c r="SRH3" s="0"/>
      <c r="SRI3" s="0"/>
      <c r="SRJ3" s="0"/>
      <c r="SRK3" s="0"/>
      <c r="SRL3" s="0"/>
      <c r="SRM3" s="0"/>
      <c r="SRN3" s="0"/>
      <c r="SRO3" s="0"/>
      <c r="SRP3" s="0"/>
      <c r="SRQ3" s="0"/>
      <c r="SRR3" s="0"/>
      <c r="SRS3" s="0"/>
      <c r="SRT3" s="0"/>
      <c r="SRU3" s="0"/>
      <c r="SRV3" s="0"/>
      <c r="SRW3" s="0"/>
      <c r="SRX3" s="0"/>
      <c r="SRY3" s="0"/>
      <c r="SRZ3" s="0"/>
      <c r="SSA3" s="0"/>
      <c r="SSB3" s="0"/>
      <c r="SSC3" s="0"/>
      <c r="SSD3" s="0"/>
      <c r="SSE3" s="0"/>
      <c r="SSF3" s="0"/>
      <c r="SSG3" s="0"/>
      <c r="SSH3" s="0"/>
      <c r="SSI3" s="0"/>
      <c r="SSJ3" s="0"/>
      <c r="SSK3" s="0"/>
      <c r="SSL3" s="0"/>
      <c r="SSM3" s="0"/>
      <c r="SSN3" s="0"/>
      <c r="SSO3" s="0"/>
      <c r="SSP3" s="0"/>
      <c r="SSQ3" s="0"/>
      <c r="SSR3" s="0"/>
      <c r="SSS3" s="0"/>
      <c r="SST3" s="0"/>
      <c r="SSU3" s="0"/>
      <c r="SSV3" s="0"/>
      <c r="SSW3" s="0"/>
      <c r="SSX3" s="0"/>
      <c r="SSY3" s="0"/>
      <c r="SSZ3" s="0"/>
      <c r="STA3" s="0"/>
      <c r="STB3" s="0"/>
      <c r="STC3" s="0"/>
      <c r="STD3" s="0"/>
      <c r="STE3" s="0"/>
      <c r="STF3" s="0"/>
      <c r="STG3" s="0"/>
      <c r="STH3" s="0"/>
      <c r="STI3" s="0"/>
      <c r="STJ3" s="0"/>
      <c r="STK3" s="0"/>
      <c r="STL3" s="0"/>
      <c r="STM3" s="0"/>
      <c r="STN3" s="0"/>
      <c r="STO3" s="0"/>
      <c r="STP3" s="0"/>
      <c r="STQ3" s="0"/>
      <c r="STR3" s="0"/>
      <c r="STS3" s="0"/>
      <c r="STT3" s="0"/>
      <c r="STU3" s="0"/>
      <c r="STV3" s="0"/>
      <c r="STW3" s="0"/>
      <c r="STX3" s="0"/>
      <c r="STY3" s="0"/>
      <c r="STZ3" s="0"/>
      <c r="SUA3" s="0"/>
      <c r="SUB3" s="0"/>
      <c r="SUC3" s="0"/>
      <c r="SUD3" s="0"/>
      <c r="SUE3" s="0"/>
      <c r="SUF3" s="0"/>
      <c r="SUG3" s="0"/>
      <c r="SUH3" s="0"/>
      <c r="SUI3" s="0"/>
      <c r="SUJ3" s="0"/>
      <c r="SUK3" s="0"/>
      <c r="SUL3" s="0"/>
      <c r="SUM3" s="0"/>
      <c r="SUN3" s="0"/>
      <c r="SUO3" s="0"/>
      <c r="SUP3" s="0"/>
      <c r="SUQ3" s="0"/>
      <c r="SUR3" s="0"/>
      <c r="SUS3" s="0"/>
      <c r="SUT3" s="0"/>
      <c r="SUU3" s="0"/>
      <c r="SUV3" s="0"/>
      <c r="SUW3" s="0"/>
      <c r="SUX3" s="0"/>
      <c r="SUY3" s="0"/>
      <c r="SUZ3" s="0"/>
      <c r="SVA3" s="0"/>
      <c r="SVB3" s="0"/>
      <c r="SVC3" s="0"/>
      <c r="SVD3" s="0"/>
      <c r="SVE3" s="0"/>
      <c r="SVF3" s="0"/>
      <c r="SVG3" s="0"/>
      <c r="SVH3" s="0"/>
      <c r="SVI3" s="0"/>
      <c r="SVJ3" s="0"/>
      <c r="SVK3" s="0"/>
      <c r="SVL3" s="0"/>
      <c r="SVM3" s="0"/>
      <c r="SVN3" s="0"/>
      <c r="SVO3" s="0"/>
      <c r="SVP3" s="0"/>
      <c r="SVQ3" s="0"/>
      <c r="SVR3" s="0"/>
      <c r="SVS3" s="0"/>
      <c r="SVT3" s="0"/>
      <c r="SVU3" s="0"/>
      <c r="SVV3" s="0"/>
      <c r="SVW3" s="0"/>
      <c r="SVX3" s="0"/>
      <c r="SVY3" s="0"/>
      <c r="SVZ3" s="0"/>
      <c r="SWA3" s="0"/>
      <c r="SWB3" s="0"/>
      <c r="SWC3" s="0"/>
      <c r="SWD3" s="0"/>
      <c r="SWE3" s="0"/>
      <c r="SWF3" s="0"/>
      <c r="SWG3" s="0"/>
      <c r="SWH3" s="0"/>
      <c r="SWI3" s="0"/>
      <c r="SWJ3" s="0"/>
      <c r="SWK3" s="0"/>
      <c r="SWL3" s="0"/>
      <c r="SWM3" s="0"/>
      <c r="SWN3" s="0"/>
      <c r="SWO3" s="0"/>
      <c r="SWP3" s="0"/>
      <c r="SWQ3" s="0"/>
      <c r="SWR3" s="0"/>
      <c r="SWS3" s="0"/>
      <c r="SWT3" s="0"/>
      <c r="SWU3" s="0"/>
      <c r="SWV3" s="0"/>
      <c r="SWW3" s="0"/>
      <c r="SWX3" s="0"/>
      <c r="SWY3" s="0"/>
      <c r="SWZ3" s="0"/>
      <c r="SXA3" s="0"/>
      <c r="SXB3" s="0"/>
      <c r="SXC3" s="0"/>
      <c r="SXD3" s="0"/>
      <c r="SXE3" s="0"/>
      <c r="SXF3" s="0"/>
      <c r="SXG3" s="0"/>
      <c r="SXH3" s="0"/>
      <c r="SXI3" s="0"/>
      <c r="SXJ3" s="0"/>
      <c r="SXK3" s="0"/>
      <c r="SXL3" s="0"/>
      <c r="SXM3" s="0"/>
      <c r="SXN3" s="0"/>
      <c r="SXO3" s="0"/>
      <c r="SXP3" s="0"/>
      <c r="SXQ3" s="0"/>
      <c r="SXR3" s="0"/>
      <c r="SXS3" s="0"/>
      <c r="SXT3" s="0"/>
      <c r="SXU3" s="0"/>
      <c r="SXV3" s="0"/>
      <c r="SXW3" s="0"/>
      <c r="SXX3" s="0"/>
      <c r="SXY3" s="0"/>
      <c r="SXZ3" s="0"/>
      <c r="SYA3" s="0"/>
      <c r="SYB3" s="0"/>
      <c r="SYC3" s="0"/>
      <c r="SYD3" s="0"/>
      <c r="SYE3" s="0"/>
      <c r="SYF3" s="0"/>
      <c r="SYG3" s="0"/>
      <c r="SYH3" s="0"/>
      <c r="SYI3" s="0"/>
      <c r="SYJ3" s="0"/>
      <c r="SYK3" s="0"/>
      <c r="SYL3" s="0"/>
      <c r="SYM3" s="0"/>
      <c r="SYN3" s="0"/>
      <c r="SYO3" s="0"/>
      <c r="SYP3" s="0"/>
      <c r="SYQ3" s="0"/>
      <c r="SYR3" s="0"/>
      <c r="SYS3" s="0"/>
      <c r="SYT3" s="0"/>
      <c r="SYU3" s="0"/>
      <c r="SYV3" s="0"/>
      <c r="SYW3" s="0"/>
      <c r="SYX3" s="0"/>
      <c r="SYY3" s="0"/>
      <c r="SYZ3" s="0"/>
      <c r="SZA3" s="0"/>
      <c r="SZB3" s="0"/>
      <c r="SZC3" s="0"/>
      <c r="SZD3" s="0"/>
      <c r="SZE3" s="0"/>
      <c r="SZF3" s="0"/>
      <c r="SZG3" s="0"/>
      <c r="SZH3" s="0"/>
      <c r="SZI3" s="0"/>
      <c r="SZJ3" s="0"/>
      <c r="SZK3" s="0"/>
      <c r="SZL3" s="0"/>
      <c r="SZM3" s="0"/>
      <c r="SZN3" s="0"/>
      <c r="SZO3" s="0"/>
      <c r="SZP3" s="0"/>
      <c r="SZQ3" s="0"/>
      <c r="SZR3" s="0"/>
      <c r="SZS3" s="0"/>
      <c r="SZT3" s="0"/>
      <c r="SZU3" s="0"/>
      <c r="SZV3" s="0"/>
      <c r="SZW3" s="0"/>
      <c r="SZX3" s="0"/>
      <c r="SZY3" s="0"/>
      <c r="SZZ3" s="0"/>
      <c r="TAA3" s="0"/>
      <c r="TAB3" s="0"/>
      <c r="TAC3" s="0"/>
      <c r="TAD3" s="0"/>
      <c r="TAE3" s="0"/>
      <c r="TAF3" s="0"/>
      <c r="TAG3" s="0"/>
      <c r="TAH3" s="0"/>
      <c r="TAI3" s="0"/>
      <c r="TAJ3" s="0"/>
      <c r="TAK3" s="0"/>
      <c r="TAL3" s="0"/>
      <c r="TAM3" s="0"/>
      <c r="TAN3" s="0"/>
      <c r="TAO3" s="0"/>
      <c r="TAP3" s="0"/>
      <c r="TAQ3" s="0"/>
      <c r="TAR3" s="0"/>
      <c r="TAS3" s="0"/>
      <c r="TAT3" s="0"/>
      <c r="TAU3" s="0"/>
      <c r="TAV3" s="0"/>
      <c r="TAW3" s="0"/>
      <c r="TAX3" s="0"/>
      <c r="TAY3" s="0"/>
      <c r="TAZ3" s="0"/>
      <c r="TBA3" s="0"/>
      <c r="TBB3" s="0"/>
      <c r="TBC3" s="0"/>
      <c r="TBD3" s="0"/>
      <c r="TBE3" s="0"/>
      <c r="TBF3" s="0"/>
      <c r="TBG3" s="0"/>
      <c r="TBH3" s="0"/>
      <c r="TBI3" s="0"/>
      <c r="TBJ3" s="0"/>
      <c r="TBK3" s="0"/>
      <c r="TBL3" s="0"/>
      <c r="TBM3" s="0"/>
      <c r="TBN3" s="0"/>
      <c r="TBO3" s="0"/>
      <c r="TBP3" s="0"/>
      <c r="TBQ3" s="0"/>
      <c r="TBR3" s="0"/>
      <c r="TBS3" s="0"/>
      <c r="TBT3" s="0"/>
      <c r="TBU3" s="0"/>
      <c r="TBV3" s="0"/>
      <c r="TBW3" s="0"/>
      <c r="TBX3" s="0"/>
      <c r="TBY3" s="0"/>
      <c r="TBZ3" s="0"/>
      <c r="TCA3" s="0"/>
      <c r="TCB3" s="0"/>
      <c r="TCC3" s="0"/>
      <c r="TCD3" s="0"/>
      <c r="TCE3" s="0"/>
      <c r="TCF3" s="0"/>
      <c r="TCG3" s="0"/>
      <c r="TCH3" s="0"/>
      <c r="TCI3" s="0"/>
      <c r="TCJ3" s="0"/>
      <c r="TCK3" s="0"/>
      <c r="TCL3" s="0"/>
      <c r="TCM3" s="0"/>
      <c r="TCN3" s="0"/>
      <c r="TCO3" s="0"/>
      <c r="TCP3" s="0"/>
      <c r="TCQ3" s="0"/>
      <c r="TCR3" s="0"/>
      <c r="TCS3" s="0"/>
      <c r="TCT3" s="0"/>
      <c r="TCU3" s="0"/>
      <c r="TCV3" s="0"/>
      <c r="TCW3" s="0"/>
      <c r="TCX3" s="0"/>
      <c r="TCY3" s="0"/>
      <c r="TCZ3" s="0"/>
      <c r="TDA3" s="0"/>
      <c r="TDB3" s="0"/>
      <c r="TDC3" s="0"/>
      <c r="TDD3" s="0"/>
      <c r="TDE3" s="0"/>
      <c r="TDF3" s="0"/>
      <c r="TDG3" s="0"/>
      <c r="TDH3" s="0"/>
      <c r="TDI3" s="0"/>
      <c r="TDJ3" s="0"/>
      <c r="TDK3" s="0"/>
      <c r="TDL3" s="0"/>
      <c r="TDM3" s="0"/>
      <c r="TDN3" s="0"/>
      <c r="TDO3" s="0"/>
      <c r="TDP3" s="0"/>
      <c r="TDQ3" s="0"/>
      <c r="TDR3" s="0"/>
      <c r="TDS3" s="0"/>
      <c r="TDT3" s="0"/>
      <c r="TDU3" s="0"/>
      <c r="TDV3" s="0"/>
      <c r="TDW3" s="0"/>
      <c r="TDX3" s="0"/>
      <c r="TDY3" s="0"/>
      <c r="TDZ3" s="0"/>
      <c r="TEA3" s="0"/>
      <c r="TEB3" s="0"/>
      <c r="TEC3" s="0"/>
      <c r="TED3" s="0"/>
      <c r="TEE3" s="0"/>
      <c r="TEF3" s="0"/>
      <c r="TEG3" s="0"/>
      <c r="TEH3" s="0"/>
      <c r="TEI3" s="0"/>
      <c r="TEJ3" s="0"/>
      <c r="TEK3" s="0"/>
      <c r="TEL3" s="0"/>
      <c r="TEM3" s="0"/>
      <c r="TEN3" s="0"/>
      <c r="TEO3" s="0"/>
      <c r="TEP3" s="0"/>
      <c r="TEQ3" s="0"/>
      <c r="TER3" s="0"/>
      <c r="TES3" s="0"/>
      <c r="TET3" s="0"/>
      <c r="TEU3" s="0"/>
      <c r="TEV3" s="0"/>
      <c r="TEW3" s="0"/>
      <c r="TEX3" s="0"/>
      <c r="TEY3" s="0"/>
      <c r="TEZ3" s="0"/>
      <c r="TFA3" s="0"/>
      <c r="TFB3" s="0"/>
      <c r="TFC3" s="0"/>
      <c r="TFD3" s="0"/>
      <c r="TFE3" s="0"/>
      <c r="TFF3" s="0"/>
      <c r="TFG3" s="0"/>
      <c r="TFH3" s="0"/>
      <c r="TFI3" s="0"/>
      <c r="TFJ3" s="0"/>
      <c r="TFK3" s="0"/>
      <c r="TFL3" s="0"/>
      <c r="TFM3" s="0"/>
      <c r="TFN3" s="0"/>
      <c r="TFO3" s="0"/>
      <c r="TFP3" s="0"/>
      <c r="TFQ3" s="0"/>
      <c r="TFR3" s="0"/>
      <c r="TFS3" s="0"/>
      <c r="TFT3" s="0"/>
      <c r="TFU3" s="0"/>
      <c r="TFV3" s="0"/>
      <c r="TFW3" s="0"/>
      <c r="TFX3" s="0"/>
      <c r="TFY3" s="0"/>
      <c r="TFZ3" s="0"/>
      <c r="TGA3" s="0"/>
      <c r="TGB3" s="0"/>
      <c r="TGC3" s="0"/>
      <c r="TGD3" s="0"/>
      <c r="TGE3" s="0"/>
      <c r="TGF3" s="0"/>
      <c r="TGG3" s="0"/>
      <c r="TGH3" s="0"/>
      <c r="TGI3" s="0"/>
      <c r="TGJ3" s="0"/>
      <c r="TGK3" s="0"/>
      <c r="TGL3" s="0"/>
      <c r="TGM3" s="0"/>
      <c r="TGN3" s="0"/>
      <c r="TGO3" s="0"/>
      <c r="TGP3" s="0"/>
      <c r="TGQ3" s="0"/>
      <c r="TGR3" s="0"/>
      <c r="TGS3" s="0"/>
      <c r="TGT3" s="0"/>
      <c r="TGU3" s="0"/>
      <c r="TGV3" s="0"/>
      <c r="TGW3" s="0"/>
      <c r="TGX3" s="0"/>
      <c r="TGY3" s="0"/>
      <c r="TGZ3" s="0"/>
      <c r="THA3" s="0"/>
      <c r="THB3" s="0"/>
      <c r="THC3" s="0"/>
      <c r="THD3" s="0"/>
      <c r="THE3" s="0"/>
      <c r="THF3" s="0"/>
      <c r="THG3" s="0"/>
      <c r="THH3" s="0"/>
      <c r="THI3" s="0"/>
      <c r="THJ3" s="0"/>
      <c r="THK3" s="0"/>
      <c r="THL3" s="0"/>
      <c r="THM3" s="0"/>
      <c r="THN3" s="0"/>
      <c r="THO3" s="0"/>
      <c r="THP3" s="0"/>
      <c r="THQ3" s="0"/>
      <c r="THR3" s="0"/>
      <c r="THS3" s="0"/>
      <c r="THT3" s="0"/>
      <c r="THU3" s="0"/>
      <c r="THV3" s="0"/>
      <c r="THW3" s="0"/>
      <c r="THX3" s="0"/>
      <c r="THY3" s="0"/>
      <c r="THZ3" s="0"/>
      <c r="TIA3" s="0"/>
      <c r="TIB3" s="0"/>
      <c r="TIC3" s="0"/>
      <c r="TID3" s="0"/>
      <c r="TIE3" s="0"/>
      <c r="TIF3" s="0"/>
      <c r="TIG3" s="0"/>
      <c r="TIH3" s="0"/>
      <c r="TII3" s="0"/>
      <c r="TIJ3" s="0"/>
      <c r="TIK3" s="0"/>
      <c r="TIL3" s="0"/>
      <c r="TIM3" s="0"/>
      <c r="TIN3" s="0"/>
      <c r="TIO3" s="0"/>
      <c r="TIP3" s="0"/>
      <c r="TIQ3" s="0"/>
      <c r="TIR3" s="0"/>
      <c r="TIS3" s="0"/>
      <c r="TIT3" s="0"/>
      <c r="TIU3" s="0"/>
      <c r="TIV3" s="0"/>
      <c r="TIW3" s="0"/>
      <c r="TIX3" s="0"/>
      <c r="TIY3" s="0"/>
      <c r="TIZ3" s="0"/>
      <c r="TJA3" s="0"/>
      <c r="TJB3" s="0"/>
      <c r="TJC3" s="0"/>
      <c r="TJD3" s="0"/>
      <c r="TJE3" s="0"/>
      <c r="TJF3" s="0"/>
      <c r="TJG3" s="0"/>
      <c r="TJH3" s="0"/>
      <c r="TJI3" s="0"/>
      <c r="TJJ3" s="0"/>
      <c r="TJK3" s="0"/>
      <c r="TJL3" s="0"/>
      <c r="TJM3" s="0"/>
      <c r="TJN3" s="0"/>
      <c r="TJO3" s="0"/>
      <c r="TJP3" s="0"/>
      <c r="TJQ3" s="0"/>
      <c r="TJR3" s="0"/>
      <c r="TJS3" s="0"/>
      <c r="TJT3" s="0"/>
      <c r="TJU3" s="0"/>
      <c r="TJV3" s="0"/>
      <c r="TJW3" s="0"/>
      <c r="TJX3" s="0"/>
      <c r="TJY3" s="0"/>
      <c r="TJZ3" s="0"/>
      <c r="TKA3" s="0"/>
      <c r="TKB3" s="0"/>
      <c r="TKC3" s="0"/>
      <c r="TKD3" s="0"/>
      <c r="TKE3" s="0"/>
      <c r="TKF3" s="0"/>
      <c r="TKG3" s="0"/>
      <c r="TKH3" s="0"/>
      <c r="TKI3" s="0"/>
      <c r="TKJ3" s="0"/>
      <c r="TKK3" s="0"/>
      <c r="TKL3" s="0"/>
      <c r="TKM3" s="0"/>
      <c r="TKN3" s="0"/>
      <c r="TKO3" s="0"/>
      <c r="TKP3" s="0"/>
      <c r="TKQ3" s="0"/>
      <c r="TKR3" s="0"/>
      <c r="TKS3" s="0"/>
      <c r="TKT3" s="0"/>
      <c r="TKU3" s="0"/>
      <c r="TKV3" s="0"/>
      <c r="TKW3" s="0"/>
      <c r="TKX3" s="0"/>
      <c r="TKY3" s="0"/>
      <c r="TKZ3" s="0"/>
      <c r="TLA3" s="0"/>
      <c r="TLB3" s="0"/>
      <c r="TLC3" s="0"/>
      <c r="TLD3" s="0"/>
      <c r="TLE3" s="0"/>
      <c r="TLF3" s="0"/>
      <c r="TLG3" s="0"/>
      <c r="TLH3" s="0"/>
      <c r="TLI3" s="0"/>
      <c r="TLJ3" s="0"/>
      <c r="TLK3" s="0"/>
      <c r="TLL3" s="0"/>
      <c r="TLM3" s="0"/>
      <c r="TLN3" s="0"/>
      <c r="TLO3" s="0"/>
      <c r="TLP3" s="0"/>
      <c r="TLQ3" s="0"/>
      <c r="TLR3" s="0"/>
      <c r="TLS3" s="0"/>
      <c r="TLT3" s="0"/>
      <c r="TLU3" s="0"/>
      <c r="TLV3" s="0"/>
      <c r="TLW3" s="0"/>
      <c r="TLX3" s="0"/>
      <c r="TLY3" s="0"/>
      <c r="TLZ3" s="0"/>
      <c r="TMA3" s="0"/>
      <c r="TMB3" s="0"/>
      <c r="TMC3" s="0"/>
      <c r="TMD3" s="0"/>
      <c r="TME3" s="0"/>
      <c r="TMF3" s="0"/>
      <c r="TMG3" s="0"/>
      <c r="TMH3" s="0"/>
      <c r="TMI3" s="0"/>
      <c r="TMJ3" s="0"/>
      <c r="TMK3" s="0"/>
      <c r="TML3" s="0"/>
      <c r="TMM3" s="0"/>
      <c r="TMN3" s="0"/>
      <c r="TMO3" s="0"/>
      <c r="TMP3" s="0"/>
      <c r="TMQ3" s="0"/>
      <c r="TMR3" s="0"/>
      <c r="TMS3" s="0"/>
      <c r="TMT3" s="0"/>
      <c r="TMU3" s="0"/>
      <c r="TMV3" s="0"/>
      <c r="TMW3" s="0"/>
      <c r="TMX3" s="0"/>
      <c r="TMY3" s="0"/>
      <c r="TMZ3" s="0"/>
      <c r="TNA3" s="0"/>
      <c r="TNB3" s="0"/>
      <c r="TNC3" s="0"/>
      <c r="TND3" s="0"/>
      <c r="TNE3" s="0"/>
      <c r="TNF3" s="0"/>
      <c r="TNG3" s="0"/>
      <c r="TNH3" s="0"/>
      <c r="TNI3" s="0"/>
      <c r="TNJ3" s="0"/>
      <c r="TNK3" s="0"/>
      <c r="TNL3" s="0"/>
      <c r="TNM3" s="0"/>
      <c r="TNN3" s="0"/>
      <c r="TNO3" s="0"/>
      <c r="TNP3" s="0"/>
      <c r="TNQ3" s="0"/>
      <c r="TNR3" s="0"/>
      <c r="TNS3" s="0"/>
      <c r="TNT3" s="0"/>
      <c r="TNU3" s="0"/>
      <c r="TNV3" s="0"/>
      <c r="TNW3" s="0"/>
      <c r="TNX3" s="0"/>
      <c r="TNY3" s="0"/>
      <c r="TNZ3" s="0"/>
      <c r="TOA3" s="0"/>
      <c r="TOB3" s="0"/>
      <c r="TOC3" s="0"/>
      <c r="TOD3" s="0"/>
      <c r="TOE3" s="0"/>
      <c r="TOF3" s="0"/>
      <c r="TOG3" s="0"/>
      <c r="TOH3" s="0"/>
      <c r="TOI3" s="0"/>
      <c r="TOJ3" s="0"/>
      <c r="TOK3" s="0"/>
      <c r="TOL3" s="0"/>
      <c r="TOM3" s="0"/>
      <c r="TON3" s="0"/>
      <c r="TOO3" s="0"/>
      <c r="TOP3" s="0"/>
      <c r="TOQ3" s="0"/>
      <c r="TOR3" s="0"/>
      <c r="TOS3" s="0"/>
      <c r="TOT3" s="0"/>
      <c r="TOU3" s="0"/>
      <c r="TOV3" s="0"/>
      <c r="TOW3" s="0"/>
      <c r="TOX3" s="0"/>
      <c r="TOY3" s="0"/>
      <c r="TOZ3" s="0"/>
      <c r="TPA3" s="0"/>
      <c r="TPB3" s="0"/>
      <c r="TPC3" s="0"/>
      <c r="TPD3" s="0"/>
      <c r="TPE3" s="0"/>
      <c r="TPF3" s="0"/>
      <c r="TPG3" s="0"/>
      <c r="TPH3" s="0"/>
      <c r="TPI3" s="0"/>
      <c r="TPJ3" s="0"/>
      <c r="TPK3" s="0"/>
      <c r="TPL3" s="0"/>
      <c r="TPM3" s="0"/>
      <c r="TPN3" s="0"/>
      <c r="TPO3" s="0"/>
      <c r="TPP3" s="0"/>
      <c r="TPQ3" s="0"/>
      <c r="TPR3" s="0"/>
      <c r="TPS3" s="0"/>
      <c r="TPT3" s="0"/>
      <c r="TPU3" s="0"/>
      <c r="TPV3" s="0"/>
      <c r="TPW3" s="0"/>
      <c r="TPX3" s="0"/>
      <c r="TPY3" s="0"/>
      <c r="TPZ3" s="0"/>
      <c r="TQA3" s="0"/>
      <c r="TQB3" s="0"/>
      <c r="TQC3" s="0"/>
      <c r="TQD3" s="0"/>
      <c r="TQE3" s="0"/>
      <c r="TQF3" s="0"/>
      <c r="TQG3" s="0"/>
      <c r="TQH3" s="0"/>
      <c r="TQI3" s="0"/>
      <c r="TQJ3" s="0"/>
      <c r="TQK3" s="0"/>
      <c r="TQL3" s="0"/>
      <c r="TQM3" s="0"/>
      <c r="TQN3" s="0"/>
      <c r="TQO3" s="0"/>
      <c r="TQP3" s="0"/>
      <c r="TQQ3" s="0"/>
      <c r="TQR3" s="0"/>
      <c r="TQS3" s="0"/>
      <c r="TQT3" s="0"/>
      <c r="TQU3" s="0"/>
      <c r="TQV3" s="0"/>
      <c r="TQW3" s="0"/>
      <c r="TQX3" s="0"/>
      <c r="TQY3" s="0"/>
      <c r="TQZ3" s="0"/>
      <c r="TRA3" s="0"/>
      <c r="TRB3" s="0"/>
      <c r="TRC3" s="0"/>
      <c r="TRD3" s="0"/>
      <c r="TRE3" s="0"/>
      <c r="TRF3" s="0"/>
      <c r="TRG3" s="0"/>
      <c r="TRH3" s="0"/>
      <c r="TRI3" s="0"/>
      <c r="TRJ3" s="0"/>
      <c r="TRK3" s="0"/>
      <c r="TRL3" s="0"/>
      <c r="TRM3" s="0"/>
      <c r="TRN3" s="0"/>
      <c r="TRO3" s="0"/>
      <c r="TRP3" s="0"/>
      <c r="TRQ3" s="0"/>
      <c r="TRR3" s="0"/>
      <c r="TRS3" s="0"/>
      <c r="TRT3" s="0"/>
      <c r="TRU3" s="0"/>
      <c r="TRV3" s="0"/>
      <c r="TRW3" s="0"/>
      <c r="TRX3" s="0"/>
      <c r="TRY3" s="0"/>
      <c r="TRZ3" s="0"/>
      <c r="TSA3" s="0"/>
      <c r="TSB3" s="0"/>
      <c r="TSC3" s="0"/>
      <c r="TSD3" s="0"/>
      <c r="TSE3" s="0"/>
      <c r="TSF3" s="0"/>
      <c r="TSG3" s="0"/>
      <c r="TSH3" s="0"/>
      <c r="TSI3" s="0"/>
      <c r="TSJ3" s="0"/>
      <c r="TSK3" s="0"/>
      <c r="TSL3" s="0"/>
      <c r="TSM3" s="0"/>
      <c r="TSN3" s="0"/>
      <c r="TSO3" s="0"/>
      <c r="TSP3" s="0"/>
      <c r="TSQ3" s="0"/>
      <c r="TSR3" s="0"/>
      <c r="TSS3" s="0"/>
      <c r="TST3" s="0"/>
      <c r="TSU3" s="0"/>
      <c r="TSV3" s="0"/>
      <c r="TSW3" s="0"/>
      <c r="TSX3" s="0"/>
      <c r="TSY3" s="0"/>
      <c r="TSZ3" s="0"/>
      <c r="TTA3" s="0"/>
      <c r="TTB3" s="0"/>
      <c r="TTC3" s="0"/>
      <c r="TTD3" s="0"/>
      <c r="TTE3" s="0"/>
      <c r="TTF3" s="0"/>
      <c r="TTG3" s="0"/>
      <c r="TTH3" s="0"/>
      <c r="TTI3" s="0"/>
      <c r="TTJ3" s="0"/>
      <c r="TTK3" s="0"/>
      <c r="TTL3" s="0"/>
      <c r="TTM3" s="0"/>
      <c r="TTN3" s="0"/>
      <c r="TTO3" s="0"/>
      <c r="TTP3" s="0"/>
      <c r="TTQ3" s="0"/>
      <c r="TTR3" s="0"/>
      <c r="TTS3" s="0"/>
      <c r="TTT3" s="0"/>
      <c r="TTU3" s="0"/>
      <c r="TTV3" s="0"/>
      <c r="TTW3" s="0"/>
      <c r="TTX3" s="0"/>
      <c r="TTY3" s="0"/>
      <c r="TTZ3" s="0"/>
      <c r="TUA3" s="0"/>
      <c r="TUB3" s="0"/>
      <c r="TUC3" s="0"/>
      <c r="TUD3" s="0"/>
      <c r="TUE3" s="0"/>
      <c r="TUF3" s="0"/>
      <c r="TUG3" s="0"/>
      <c r="TUH3" s="0"/>
      <c r="TUI3" s="0"/>
      <c r="TUJ3" s="0"/>
      <c r="TUK3" s="0"/>
      <c r="TUL3" s="0"/>
      <c r="TUM3" s="0"/>
      <c r="TUN3" s="0"/>
      <c r="TUO3" s="0"/>
      <c r="TUP3" s="0"/>
      <c r="TUQ3" s="0"/>
      <c r="TUR3" s="0"/>
      <c r="TUS3" s="0"/>
      <c r="TUT3" s="0"/>
      <c r="TUU3" s="0"/>
      <c r="TUV3" s="0"/>
      <c r="TUW3" s="0"/>
      <c r="TUX3" s="0"/>
      <c r="TUY3" s="0"/>
      <c r="TUZ3" s="0"/>
      <c r="TVA3" s="0"/>
      <c r="TVB3" s="0"/>
      <c r="TVC3" s="0"/>
      <c r="TVD3" s="0"/>
      <c r="TVE3" s="0"/>
      <c r="TVF3" s="0"/>
      <c r="TVG3" s="0"/>
      <c r="TVH3" s="0"/>
      <c r="TVI3" s="0"/>
      <c r="TVJ3" s="0"/>
      <c r="TVK3" s="0"/>
      <c r="TVL3" s="0"/>
      <c r="TVM3" s="0"/>
      <c r="TVN3" s="0"/>
      <c r="TVO3" s="0"/>
      <c r="TVP3" s="0"/>
      <c r="TVQ3" s="0"/>
      <c r="TVR3" s="0"/>
      <c r="TVS3" s="0"/>
      <c r="TVT3" s="0"/>
      <c r="TVU3" s="0"/>
      <c r="TVV3" s="0"/>
      <c r="TVW3" s="0"/>
      <c r="TVX3" s="0"/>
      <c r="TVY3" s="0"/>
      <c r="TVZ3" s="0"/>
      <c r="TWA3" s="0"/>
      <c r="TWB3" s="0"/>
      <c r="TWC3" s="0"/>
      <c r="TWD3" s="0"/>
      <c r="TWE3" s="0"/>
      <c r="TWF3" s="0"/>
      <c r="TWG3" s="0"/>
      <c r="TWH3" s="0"/>
      <c r="TWI3" s="0"/>
      <c r="TWJ3" s="0"/>
      <c r="TWK3" s="0"/>
      <c r="TWL3" s="0"/>
      <c r="TWM3" s="0"/>
      <c r="TWN3" s="0"/>
      <c r="TWO3" s="0"/>
      <c r="TWP3" s="0"/>
      <c r="TWQ3" s="0"/>
      <c r="TWR3" s="0"/>
      <c r="TWS3" s="0"/>
      <c r="TWT3" s="0"/>
      <c r="TWU3" s="0"/>
      <c r="TWV3" s="0"/>
      <c r="TWW3" s="0"/>
      <c r="TWX3" s="0"/>
      <c r="TWY3" s="0"/>
      <c r="TWZ3" s="0"/>
      <c r="TXA3" s="0"/>
      <c r="TXB3" s="0"/>
      <c r="TXC3" s="0"/>
      <c r="TXD3" s="0"/>
      <c r="TXE3" s="0"/>
      <c r="TXF3" s="0"/>
      <c r="TXG3" s="0"/>
      <c r="TXH3" s="0"/>
      <c r="TXI3" s="0"/>
      <c r="TXJ3" s="0"/>
      <c r="TXK3" s="0"/>
      <c r="TXL3" s="0"/>
      <c r="TXM3" s="0"/>
      <c r="TXN3" s="0"/>
      <c r="TXO3" s="0"/>
      <c r="TXP3" s="0"/>
      <c r="TXQ3" s="0"/>
      <c r="TXR3" s="0"/>
      <c r="TXS3" s="0"/>
      <c r="TXT3" s="0"/>
      <c r="TXU3" s="0"/>
      <c r="TXV3" s="0"/>
      <c r="TXW3" s="0"/>
      <c r="TXX3" s="0"/>
      <c r="TXY3" s="0"/>
      <c r="TXZ3" s="0"/>
      <c r="TYA3" s="0"/>
      <c r="TYB3" s="0"/>
      <c r="TYC3" s="0"/>
      <c r="TYD3" s="0"/>
      <c r="TYE3" s="0"/>
      <c r="TYF3" s="0"/>
      <c r="TYG3" s="0"/>
      <c r="TYH3" s="0"/>
      <c r="TYI3" s="0"/>
      <c r="TYJ3" s="0"/>
      <c r="TYK3" s="0"/>
      <c r="TYL3" s="0"/>
      <c r="TYM3" s="0"/>
      <c r="TYN3" s="0"/>
      <c r="TYO3" s="0"/>
      <c r="TYP3" s="0"/>
      <c r="TYQ3" s="0"/>
      <c r="TYR3" s="0"/>
      <c r="TYS3" s="0"/>
      <c r="TYT3" s="0"/>
      <c r="TYU3" s="0"/>
      <c r="TYV3" s="0"/>
      <c r="TYW3" s="0"/>
      <c r="TYX3" s="0"/>
      <c r="TYY3" s="0"/>
      <c r="TYZ3" s="0"/>
      <c r="TZA3" s="0"/>
      <c r="TZB3" s="0"/>
      <c r="TZC3" s="0"/>
      <c r="TZD3" s="0"/>
      <c r="TZE3" s="0"/>
      <c r="TZF3" s="0"/>
      <c r="TZG3" s="0"/>
      <c r="TZH3" s="0"/>
      <c r="TZI3" s="0"/>
      <c r="TZJ3" s="0"/>
      <c r="TZK3" s="0"/>
      <c r="TZL3" s="0"/>
      <c r="TZM3" s="0"/>
      <c r="TZN3" s="0"/>
      <c r="TZO3" s="0"/>
      <c r="TZP3" s="0"/>
      <c r="TZQ3" s="0"/>
      <c r="TZR3" s="0"/>
      <c r="TZS3" s="0"/>
      <c r="TZT3" s="0"/>
      <c r="TZU3" s="0"/>
      <c r="TZV3" s="0"/>
      <c r="TZW3" s="0"/>
      <c r="TZX3" s="0"/>
      <c r="TZY3" s="0"/>
      <c r="TZZ3" s="0"/>
      <c r="UAA3" s="0"/>
      <c r="UAB3" s="0"/>
      <c r="UAC3" s="0"/>
      <c r="UAD3" s="0"/>
      <c r="UAE3" s="0"/>
      <c r="UAF3" s="0"/>
      <c r="UAG3" s="0"/>
      <c r="UAH3" s="0"/>
      <c r="UAI3" s="0"/>
      <c r="UAJ3" s="0"/>
      <c r="UAK3" s="0"/>
      <c r="UAL3" s="0"/>
      <c r="UAM3" s="0"/>
      <c r="UAN3" s="0"/>
      <c r="UAO3" s="0"/>
      <c r="UAP3" s="0"/>
      <c r="UAQ3" s="0"/>
      <c r="UAR3" s="0"/>
      <c r="UAS3" s="0"/>
      <c r="UAT3" s="0"/>
      <c r="UAU3" s="0"/>
      <c r="UAV3" s="0"/>
      <c r="UAW3" s="0"/>
      <c r="UAX3" s="0"/>
      <c r="UAY3" s="0"/>
      <c r="UAZ3" s="0"/>
      <c r="UBA3" s="0"/>
      <c r="UBB3" s="0"/>
      <c r="UBC3" s="0"/>
      <c r="UBD3" s="0"/>
      <c r="UBE3" s="0"/>
      <c r="UBF3" s="0"/>
      <c r="UBG3" s="0"/>
      <c r="UBH3" s="0"/>
      <c r="UBI3" s="0"/>
      <c r="UBJ3" s="0"/>
      <c r="UBK3" s="0"/>
      <c r="UBL3" s="0"/>
      <c r="UBM3" s="0"/>
      <c r="UBN3" s="0"/>
      <c r="UBO3" s="0"/>
      <c r="UBP3" s="0"/>
      <c r="UBQ3" s="0"/>
      <c r="UBR3" s="0"/>
      <c r="UBS3" s="0"/>
      <c r="UBT3" s="0"/>
      <c r="UBU3" s="0"/>
      <c r="UBV3" s="0"/>
      <c r="UBW3" s="0"/>
      <c r="UBX3" s="0"/>
      <c r="UBY3" s="0"/>
      <c r="UBZ3" s="0"/>
      <c r="UCA3" s="0"/>
      <c r="UCB3" s="0"/>
      <c r="UCC3" s="0"/>
      <c r="UCD3" s="0"/>
      <c r="UCE3" s="0"/>
      <c r="UCF3" s="0"/>
      <c r="UCG3" s="0"/>
      <c r="UCH3" s="0"/>
      <c r="UCI3" s="0"/>
      <c r="UCJ3" s="0"/>
      <c r="UCK3" s="0"/>
      <c r="UCL3" s="0"/>
      <c r="UCM3" s="0"/>
      <c r="UCN3" s="0"/>
      <c r="UCO3" s="0"/>
      <c r="UCP3" s="0"/>
      <c r="UCQ3" s="0"/>
      <c r="UCR3" s="0"/>
      <c r="UCS3" s="0"/>
      <c r="UCT3" s="0"/>
      <c r="UCU3" s="0"/>
      <c r="UCV3" s="0"/>
      <c r="UCW3" s="0"/>
      <c r="UCX3" s="0"/>
      <c r="UCY3" s="0"/>
      <c r="UCZ3" s="0"/>
      <c r="UDA3" s="0"/>
      <c r="UDB3" s="0"/>
      <c r="UDC3" s="0"/>
      <c r="UDD3" s="0"/>
      <c r="UDE3" s="0"/>
      <c r="UDF3" s="0"/>
      <c r="UDG3" s="0"/>
      <c r="UDH3" s="0"/>
      <c r="UDI3" s="0"/>
      <c r="UDJ3" s="0"/>
      <c r="UDK3" s="0"/>
      <c r="UDL3" s="0"/>
      <c r="UDM3" s="0"/>
      <c r="UDN3" s="0"/>
      <c r="UDO3" s="0"/>
      <c r="UDP3" s="0"/>
      <c r="UDQ3" s="0"/>
      <c r="UDR3" s="0"/>
      <c r="UDS3" s="0"/>
      <c r="UDT3" s="0"/>
      <c r="UDU3" s="0"/>
      <c r="UDV3" s="0"/>
      <c r="UDW3" s="0"/>
      <c r="UDX3" s="0"/>
      <c r="UDY3" s="0"/>
      <c r="UDZ3" s="0"/>
      <c r="UEA3" s="0"/>
      <c r="UEB3" s="0"/>
      <c r="UEC3" s="0"/>
      <c r="UED3" s="0"/>
      <c r="UEE3" s="0"/>
      <c r="UEF3" s="0"/>
      <c r="UEG3" s="0"/>
      <c r="UEH3" s="0"/>
      <c r="UEI3" s="0"/>
      <c r="UEJ3" s="0"/>
      <c r="UEK3" s="0"/>
      <c r="UEL3" s="0"/>
      <c r="UEM3" s="0"/>
      <c r="UEN3" s="0"/>
      <c r="UEO3" s="0"/>
      <c r="UEP3" s="0"/>
      <c r="UEQ3" s="0"/>
      <c r="UER3" s="0"/>
      <c r="UES3" s="0"/>
      <c r="UET3" s="0"/>
      <c r="UEU3" s="0"/>
      <c r="UEV3" s="0"/>
      <c r="UEW3" s="0"/>
      <c r="UEX3" s="0"/>
      <c r="UEY3" s="0"/>
      <c r="UEZ3" s="0"/>
      <c r="UFA3" s="0"/>
      <c r="UFB3" s="0"/>
      <c r="UFC3" s="0"/>
      <c r="UFD3" s="0"/>
      <c r="UFE3" s="0"/>
      <c r="UFF3" s="0"/>
      <c r="UFG3" s="0"/>
      <c r="UFH3" s="0"/>
      <c r="UFI3" s="0"/>
      <c r="UFJ3" s="0"/>
      <c r="UFK3" s="0"/>
      <c r="UFL3" s="0"/>
      <c r="UFM3" s="0"/>
      <c r="UFN3" s="0"/>
      <c r="UFO3" s="0"/>
      <c r="UFP3" s="0"/>
      <c r="UFQ3" s="0"/>
      <c r="UFR3" s="0"/>
      <c r="UFS3" s="0"/>
      <c r="UFT3" s="0"/>
      <c r="UFU3" s="0"/>
      <c r="UFV3" s="0"/>
      <c r="UFW3" s="0"/>
      <c r="UFX3" s="0"/>
      <c r="UFY3" s="0"/>
      <c r="UFZ3" s="0"/>
      <c r="UGA3" s="0"/>
      <c r="UGB3" s="0"/>
      <c r="UGC3" s="0"/>
      <c r="UGD3" s="0"/>
      <c r="UGE3" s="0"/>
      <c r="UGF3" s="0"/>
      <c r="UGG3" s="0"/>
      <c r="UGH3" s="0"/>
      <c r="UGI3" s="0"/>
      <c r="UGJ3" s="0"/>
      <c r="UGK3" s="0"/>
      <c r="UGL3" s="0"/>
      <c r="UGM3" s="0"/>
      <c r="UGN3" s="0"/>
      <c r="UGO3" s="0"/>
      <c r="UGP3" s="0"/>
      <c r="UGQ3" s="0"/>
      <c r="UGR3" s="0"/>
      <c r="UGS3" s="0"/>
      <c r="UGT3" s="0"/>
      <c r="UGU3" s="0"/>
      <c r="UGV3" s="0"/>
      <c r="UGW3" s="0"/>
      <c r="UGX3" s="0"/>
      <c r="UGY3" s="0"/>
      <c r="UGZ3" s="0"/>
      <c r="UHA3" s="0"/>
      <c r="UHB3" s="0"/>
      <c r="UHC3" s="0"/>
      <c r="UHD3" s="0"/>
      <c r="UHE3" s="0"/>
      <c r="UHF3" s="0"/>
      <c r="UHG3" s="0"/>
      <c r="UHH3" s="0"/>
      <c r="UHI3" s="0"/>
      <c r="UHJ3" s="0"/>
      <c r="UHK3" s="0"/>
      <c r="UHL3" s="0"/>
      <c r="UHM3" s="0"/>
      <c r="UHN3" s="0"/>
      <c r="UHO3" s="0"/>
      <c r="UHP3" s="0"/>
      <c r="UHQ3" s="0"/>
      <c r="UHR3" s="0"/>
      <c r="UHS3" s="0"/>
      <c r="UHT3" s="0"/>
      <c r="UHU3" s="0"/>
      <c r="UHV3" s="0"/>
      <c r="UHW3" s="0"/>
      <c r="UHX3" s="0"/>
      <c r="UHY3" s="0"/>
      <c r="UHZ3" s="0"/>
      <c r="UIA3" s="0"/>
      <c r="UIB3" s="0"/>
      <c r="UIC3" s="0"/>
      <c r="UID3" s="0"/>
      <c r="UIE3" s="0"/>
      <c r="UIF3" s="0"/>
      <c r="UIG3" s="0"/>
      <c r="UIH3" s="0"/>
      <c r="UII3" s="0"/>
      <c r="UIJ3" s="0"/>
      <c r="UIK3" s="0"/>
      <c r="UIL3" s="0"/>
      <c r="UIM3" s="0"/>
      <c r="UIN3" s="0"/>
      <c r="UIO3" s="0"/>
      <c r="UIP3" s="0"/>
      <c r="UIQ3" s="0"/>
      <c r="UIR3" s="0"/>
      <c r="UIS3" s="0"/>
      <c r="UIT3" s="0"/>
      <c r="UIU3" s="0"/>
      <c r="UIV3" s="0"/>
      <c r="UIW3" s="0"/>
      <c r="UIX3" s="0"/>
      <c r="UIY3" s="0"/>
      <c r="UIZ3" s="0"/>
      <c r="UJA3" s="0"/>
      <c r="UJB3" s="0"/>
      <c r="UJC3" s="0"/>
      <c r="UJD3" s="0"/>
      <c r="UJE3" s="0"/>
      <c r="UJF3" s="0"/>
      <c r="UJG3" s="0"/>
      <c r="UJH3" s="0"/>
      <c r="UJI3" s="0"/>
      <c r="UJJ3" s="0"/>
      <c r="UJK3" s="0"/>
      <c r="UJL3" s="0"/>
      <c r="UJM3" s="0"/>
      <c r="UJN3" s="0"/>
      <c r="UJO3" s="0"/>
      <c r="UJP3" s="0"/>
      <c r="UJQ3" s="0"/>
      <c r="UJR3" s="0"/>
      <c r="UJS3" s="0"/>
      <c r="UJT3" s="0"/>
      <c r="UJU3" s="0"/>
      <c r="UJV3" s="0"/>
      <c r="UJW3" s="0"/>
      <c r="UJX3" s="0"/>
      <c r="UJY3" s="0"/>
      <c r="UJZ3" s="0"/>
      <c r="UKA3" s="0"/>
      <c r="UKB3" s="0"/>
      <c r="UKC3" s="0"/>
      <c r="UKD3" s="0"/>
      <c r="UKE3" s="0"/>
      <c r="UKF3" s="0"/>
      <c r="UKG3" s="0"/>
      <c r="UKH3" s="0"/>
      <c r="UKI3" s="0"/>
      <c r="UKJ3" s="0"/>
      <c r="UKK3" s="0"/>
      <c r="UKL3" s="0"/>
      <c r="UKM3" s="0"/>
      <c r="UKN3" s="0"/>
      <c r="UKO3" s="0"/>
      <c r="UKP3" s="0"/>
      <c r="UKQ3" s="0"/>
      <c r="UKR3" s="0"/>
      <c r="UKS3" s="0"/>
      <c r="UKT3" s="0"/>
      <c r="UKU3" s="0"/>
      <c r="UKV3" s="0"/>
      <c r="UKW3" s="0"/>
      <c r="UKX3" s="0"/>
      <c r="UKY3" s="0"/>
      <c r="UKZ3" s="0"/>
      <c r="ULA3" s="0"/>
      <c r="ULB3" s="0"/>
      <c r="ULC3" s="0"/>
      <c r="ULD3" s="0"/>
      <c r="ULE3" s="0"/>
      <c r="ULF3" s="0"/>
      <c r="ULG3" s="0"/>
      <c r="ULH3" s="0"/>
      <c r="ULI3" s="0"/>
      <c r="ULJ3" s="0"/>
      <c r="ULK3" s="0"/>
      <c r="ULL3" s="0"/>
      <c r="ULM3" s="0"/>
      <c r="ULN3" s="0"/>
      <c r="ULO3" s="0"/>
      <c r="ULP3" s="0"/>
      <c r="ULQ3" s="0"/>
      <c r="ULR3" s="0"/>
      <c r="ULS3" s="0"/>
      <c r="ULT3" s="0"/>
      <c r="ULU3" s="0"/>
      <c r="ULV3" s="0"/>
      <c r="ULW3" s="0"/>
      <c r="ULX3" s="0"/>
      <c r="ULY3" s="0"/>
      <c r="ULZ3" s="0"/>
      <c r="UMA3" s="0"/>
      <c r="UMB3" s="0"/>
      <c r="UMC3" s="0"/>
      <c r="UMD3" s="0"/>
      <c r="UME3" s="0"/>
      <c r="UMF3" s="0"/>
      <c r="UMG3" s="0"/>
      <c r="UMH3" s="0"/>
      <c r="UMI3" s="0"/>
      <c r="UMJ3" s="0"/>
      <c r="UMK3" s="0"/>
      <c r="UML3" s="0"/>
      <c r="UMM3" s="0"/>
      <c r="UMN3" s="0"/>
      <c r="UMO3" s="0"/>
      <c r="UMP3" s="0"/>
      <c r="UMQ3" s="0"/>
      <c r="UMR3" s="0"/>
      <c r="UMS3" s="0"/>
      <c r="UMT3" s="0"/>
      <c r="UMU3" s="0"/>
      <c r="UMV3" s="0"/>
      <c r="UMW3" s="0"/>
      <c r="UMX3" s="0"/>
      <c r="UMY3" s="0"/>
      <c r="UMZ3" s="0"/>
      <c r="UNA3" s="0"/>
      <c r="UNB3" s="0"/>
      <c r="UNC3" s="0"/>
      <c r="UND3" s="0"/>
      <c r="UNE3" s="0"/>
      <c r="UNF3" s="0"/>
      <c r="UNG3" s="0"/>
      <c r="UNH3" s="0"/>
      <c r="UNI3" s="0"/>
      <c r="UNJ3" s="0"/>
      <c r="UNK3" s="0"/>
      <c r="UNL3" s="0"/>
      <c r="UNM3" s="0"/>
      <c r="UNN3" s="0"/>
      <c r="UNO3" s="0"/>
      <c r="UNP3" s="0"/>
      <c r="UNQ3" s="0"/>
      <c r="UNR3" s="0"/>
      <c r="UNS3" s="0"/>
      <c r="UNT3" s="0"/>
      <c r="UNU3" s="0"/>
      <c r="UNV3" s="0"/>
      <c r="UNW3" s="0"/>
      <c r="UNX3" s="0"/>
      <c r="UNY3" s="0"/>
      <c r="UNZ3" s="0"/>
      <c r="UOA3" s="0"/>
      <c r="UOB3" s="0"/>
      <c r="UOC3" s="0"/>
      <c r="UOD3" s="0"/>
      <c r="UOE3" s="0"/>
      <c r="UOF3" s="0"/>
      <c r="UOG3" s="0"/>
      <c r="UOH3" s="0"/>
      <c r="UOI3" s="0"/>
      <c r="UOJ3" s="0"/>
      <c r="UOK3" s="0"/>
      <c r="UOL3" s="0"/>
      <c r="UOM3" s="0"/>
      <c r="UON3" s="0"/>
      <c r="UOO3" s="0"/>
      <c r="UOP3" s="0"/>
      <c r="UOQ3" s="0"/>
      <c r="UOR3" s="0"/>
      <c r="UOS3" s="0"/>
      <c r="UOT3" s="0"/>
      <c r="UOU3" s="0"/>
      <c r="UOV3" s="0"/>
      <c r="UOW3" s="0"/>
      <c r="UOX3" s="0"/>
      <c r="UOY3" s="0"/>
      <c r="UOZ3" s="0"/>
      <c r="UPA3" s="0"/>
      <c r="UPB3" s="0"/>
      <c r="UPC3" s="0"/>
      <c r="UPD3" s="0"/>
      <c r="UPE3" s="0"/>
      <c r="UPF3" s="0"/>
      <c r="UPG3" s="0"/>
      <c r="UPH3" s="0"/>
      <c r="UPI3" s="0"/>
      <c r="UPJ3" s="0"/>
      <c r="UPK3" s="0"/>
      <c r="UPL3" s="0"/>
      <c r="UPM3" s="0"/>
      <c r="UPN3" s="0"/>
      <c r="UPO3" s="0"/>
      <c r="UPP3" s="0"/>
      <c r="UPQ3" s="0"/>
      <c r="UPR3" s="0"/>
      <c r="UPS3" s="0"/>
      <c r="UPT3" s="0"/>
      <c r="UPU3" s="0"/>
      <c r="UPV3" s="0"/>
      <c r="UPW3" s="0"/>
      <c r="UPX3" s="0"/>
      <c r="UPY3" s="0"/>
      <c r="UPZ3" s="0"/>
      <c r="UQA3" s="0"/>
      <c r="UQB3" s="0"/>
      <c r="UQC3" s="0"/>
      <c r="UQD3" s="0"/>
      <c r="UQE3" s="0"/>
      <c r="UQF3" s="0"/>
      <c r="UQG3" s="0"/>
      <c r="UQH3" s="0"/>
      <c r="UQI3" s="0"/>
      <c r="UQJ3" s="0"/>
      <c r="UQK3" s="0"/>
      <c r="UQL3" s="0"/>
      <c r="UQM3" s="0"/>
      <c r="UQN3" s="0"/>
      <c r="UQO3" s="0"/>
      <c r="UQP3" s="0"/>
      <c r="UQQ3" s="0"/>
      <c r="UQR3" s="0"/>
      <c r="UQS3" s="0"/>
      <c r="UQT3" s="0"/>
      <c r="UQU3" s="0"/>
      <c r="UQV3" s="0"/>
      <c r="UQW3" s="0"/>
      <c r="UQX3" s="0"/>
      <c r="UQY3" s="0"/>
      <c r="UQZ3" s="0"/>
      <c r="URA3" s="0"/>
      <c r="URB3" s="0"/>
      <c r="URC3" s="0"/>
      <c r="URD3" s="0"/>
      <c r="URE3" s="0"/>
      <c r="URF3" s="0"/>
      <c r="URG3" s="0"/>
      <c r="URH3" s="0"/>
      <c r="URI3" s="0"/>
      <c r="URJ3" s="0"/>
      <c r="URK3" s="0"/>
      <c r="URL3" s="0"/>
      <c r="URM3" s="0"/>
      <c r="URN3" s="0"/>
      <c r="URO3" s="0"/>
      <c r="URP3" s="0"/>
      <c r="URQ3" s="0"/>
      <c r="URR3" s="0"/>
      <c r="URS3" s="0"/>
      <c r="URT3" s="0"/>
      <c r="URU3" s="0"/>
      <c r="URV3" s="0"/>
      <c r="URW3" s="0"/>
      <c r="URX3" s="0"/>
      <c r="URY3" s="0"/>
      <c r="URZ3" s="0"/>
      <c r="USA3" s="0"/>
      <c r="USB3" s="0"/>
      <c r="USC3" s="0"/>
      <c r="USD3" s="0"/>
      <c r="USE3" s="0"/>
      <c r="USF3" s="0"/>
      <c r="USG3" s="0"/>
      <c r="USH3" s="0"/>
      <c r="USI3" s="0"/>
      <c r="USJ3" s="0"/>
      <c r="USK3" s="0"/>
      <c r="USL3" s="0"/>
      <c r="USM3" s="0"/>
      <c r="USN3" s="0"/>
      <c r="USO3" s="0"/>
      <c r="USP3" s="0"/>
      <c r="USQ3" s="0"/>
      <c r="USR3" s="0"/>
      <c r="USS3" s="0"/>
      <c r="UST3" s="0"/>
      <c r="USU3" s="0"/>
      <c r="USV3" s="0"/>
      <c r="USW3" s="0"/>
      <c r="USX3" s="0"/>
      <c r="USY3" s="0"/>
      <c r="USZ3" s="0"/>
      <c r="UTA3" s="0"/>
      <c r="UTB3" s="0"/>
      <c r="UTC3" s="0"/>
      <c r="UTD3" s="0"/>
      <c r="UTE3" s="0"/>
      <c r="UTF3" s="0"/>
      <c r="UTG3" s="0"/>
      <c r="UTH3" s="0"/>
      <c r="UTI3" s="0"/>
      <c r="UTJ3" s="0"/>
      <c r="UTK3" s="0"/>
      <c r="UTL3" s="0"/>
      <c r="UTM3" s="0"/>
      <c r="UTN3" s="0"/>
      <c r="UTO3" s="0"/>
      <c r="UTP3" s="0"/>
      <c r="UTQ3" s="0"/>
      <c r="UTR3" s="0"/>
      <c r="UTS3" s="0"/>
      <c r="UTT3" s="0"/>
      <c r="UTU3" s="0"/>
      <c r="UTV3" s="0"/>
      <c r="UTW3" s="0"/>
      <c r="UTX3" s="0"/>
      <c r="UTY3" s="0"/>
      <c r="UTZ3" s="0"/>
      <c r="UUA3" s="0"/>
      <c r="UUB3" s="0"/>
      <c r="UUC3" s="0"/>
      <c r="UUD3" s="0"/>
      <c r="UUE3" s="0"/>
      <c r="UUF3" s="0"/>
      <c r="UUG3" s="0"/>
      <c r="UUH3" s="0"/>
      <c r="UUI3" s="0"/>
      <c r="UUJ3" s="0"/>
      <c r="UUK3" s="0"/>
      <c r="UUL3" s="0"/>
      <c r="UUM3" s="0"/>
      <c r="UUN3" s="0"/>
      <c r="UUO3" s="0"/>
      <c r="UUP3" s="0"/>
      <c r="UUQ3" s="0"/>
      <c r="UUR3" s="0"/>
      <c r="UUS3" s="0"/>
      <c r="UUT3" s="0"/>
      <c r="UUU3" s="0"/>
      <c r="UUV3" s="0"/>
      <c r="UUW3" s="0"/>
      <c r="UUX3" s="0"/>
      <c r="UUY3" s="0"/>
      <c r="UUZ3" s="0"/>
      <c r="UVA3" s="0"/>
      <c r="UVB3" s="0"/>
      <c r="UVC3" s="0"/>
      <c r="UVD3" s="0"/>
      <c r="UVE3" s="0"/>
      <c r="UVF3" s="0"/>
      <c r="UVG3" s="0"/>
      <c r="UVH3" s="0"/>
      <c r="UVI3" s="0"/>
      <c r="UVJ3" s="0"/>
      <c r="UVK3" s="0"/>
      <c r="UVL3" s="0"/>
      <c r="UVM3" s="0"/>
      <c r="UVN3" s="0"/>
      <c r="UVO3" s="0"/>
      <c r="UVP3" s="0"/>
      <c r="UVQ3" s="0"/>
      <c r="UVR3" s="0"/>
      <c r="UVS3" s="0"/>
      <c r="UVT3" s="0"/>
      <c r="UVU3" s="0"/>
      <c r="UVV3" s="0"/>
      <c r="UVW3" s="0"/>
      <c r="UVX3" s="0"/>
      <c r="UVY3" s="0"/>
      <c r="UVZ3" s="0"/>
      <c r="UWA3" s="0"/>
      <c r="UWB3" s="0"/>
      <c r="UWC3" s="0"/>
      <c r="UWD3" s="0"/>
      <c r="UWE3" s="0"/>
      <c r="UWF3" s="0"/>
      <c r="UWG3" s="0"/>
      <c r="UWH3" s="0"/>
      <c r="UWI3" s="0"/>
      <c r="UWJ3" s="0"/>
      <c r="UWK3" s="0"/>
      <c r="UWL3" s="0"/>
      <c r="UWM3" s="0"/>
      <c r="UWN3" s="0"/>
      <c r="UWO3" s="0"/>
      <c r="UWP3" s="0"/>
      <c r="UWQ3" s="0"/>
      <c r="UWR3" s="0"/>
      <c r="UWS3" s="0"/>
      <c r="UWT3" s="0"/>
      <c r="UWU3" s="0"/>
      <c r="UWV3" s="0"/>
      <c r="UWW3" s="0"/>
      <c r="UWX3" s="0"/>
      <c r="UWY3" s="0"/>
      <c r="UWZ3" s="0"/>
      <c r="UXA3" s="0"/>
      <c r="UXB3" s="0"/>
      <c r="UXC3" s="0"/>
      <c r="UXD3" s="0"/>
      <c r="UXE3" s="0"/>
      <c r="UXF3" s="0"/>
      <c r="UXG3" s="0"/>
      <c r="UXH3" s="0"/>
      <c r="UXI3" s="0"/>
      <c r="UXJ3" s="0"/>
      <c r="UXK3" s="0"/>
      <c r="UXL3" s="0"/>
      <c r="UXM3" s="0"/>
      <c r="UXN3" s="0"/>
      <c r="UXO3" s="0"/>
      <c r="UXP3" s="0"/>
      <c r="UXQ3" s="0"/>
      <c r="UXR3" s="0"/>
      <c r="UXS3" s="0"/>
      <c r="UXT3" s="0"/>
      <c r="UXU3" s="0"/>
      <c r="UXV3" s="0"/>
      <c r="UXW3" s="0"/>
      <c r="UXX3" s="0"/>
      <c r="UXY3" s="0"/>
      <c r="UXZ3" s="0"/>
      <c r="UYA3" s="0"/>
      <c r="UYB3" s="0"/>
      <c r="UYC3" s="0"/>
      <c r="UYD3" s="0"/>
      <c r="UYE3" s="0"/>
      <c r="UYF3" s="0"/>
      <c r="UYG3" s="0"/>
      <c r="UYH3" s="0"/>
      <c r="UYI3" s="0"/>
      <c r="UYJ3" s="0"/>
      <c r="UYK3" s="0"/>
      <c r="UYL3" s="0"/>
      <c r="UYM3" s="0"/>
      <c r="UYN3" s="0"/>
      <c r="UYO3" s="0"/>
      <c r="UYP3" s="0"/>
      <c r="UYQ3" s="0"/>
      <c r="UYR3" s="0"/>
      <c r="UYS3" s="0"/>
      <c r="UYT3" s="0"/>
      <c r="UYU3" s="0"/>
      <c r="UYV3" s="0"/>
      <c r="UYW3" s="0"/>
      <c r="UYX3" s="0"/>
      <c r="UYY3" s="0"/>
      <c r="UYZ3" s="0"/>
      <c r="UZA3" s="0"/>
      <c r="UZB3" s="0"/>
      <c r="UZC3" s="0"/>
      <c r="UZD3" s="0"/>
      <c r="UZE3" s="0"/>
      <c r="UZF3" s="0"/>
      <c r="UZG3" s="0"/>
      <c r="UZH3" s="0"/>
      <c r="UZI3" s="0"/>
      <c r="UZJ3" s="0"/>
      <c r="UZK3" s="0"/>
      <c r="UZL3" s="0"/>
      <c r="UZM3" s="0"/>
      <c r="UZN3" s="0"/>
      <c r="UZO3" s="0"/>
      <c r="UZP3" s="0"/>
      <c r="UZQ3" s="0"/>
      <c r="UZR3" s="0"/>
      <c r="UZS3" s="0"/>
      <c r="UZT3" s="0"/>
      <c r="UZU3" s="0"/>
      <c r="UZV3" s="0"/>
      <c r="UZW3" s="0"/>
      <c r="UZX3" s="0"/>
      <c r="UZY3" s="0"/>
      <c r="UZZ3" s="0"/>
      <c r="VAA3" s="0"/>
      <c r="VAB3" s="0"/>
      <c r="VAC3" s="0"/>
      <c r="VAD3" s="0"/>
      <c r="VAE3" s="0"/>
      <c r="VAF3" s="0"/>
      <c r="VAG3" s="0"/>
      <c r="VAH3" s="0"/>
      <c r="VAI3" s="0"/>
      <c r="VAJ3" s="0"/>
      <c r="VAK3" s="0"/>
      <c r="VAL3" s="0"/>
      <c r="VAM3" s="0"/>
      <c r="VAN3" s="0"/>
      <c r="VAO3" s="0"/>
      <c r="VAP3" s="0"/>
      <c r="VAQ3" s="0"/>
      <c r="VAR3" s="0"/>
      <c r="VAS3" s="0"/>
      <c r="VAT3" s="0"/>
      <c r="VAU3" s="0"/>
      <c r="VAV3" s="0"/>
      <c r="VAW3" s="0"/>
      <c r="VAX3" s="0"/>
      <c r="VAY3" s="0"/>
      <c r="VAZ3" s="0"/>
      <c r="VBA3" s="0"/>
      <c r="VBB3" s="0"/>
      <c r="VBC3" s="0"/>
      <c r="VBD3" s="0"/>
      <c r="VBE3" s="0"/>
      <c r="VBF3" s="0"/>
      <c r="VBG3" s="0"/>
      <c r="VBH3" s="0"/>
      <c r="VBI3" s="0"/>
      <c r="VBJ3" s="0"/>
      <c r="VBK3" s="0"/>
      <c r="VBL3" s="0"/>
      <c r="VBM3" s="0"/>
      <c r="VBN3" s="0"/>
      <c r="VBO3" s="0"/>
      <c r="VBP3" s="0"/>
      <c r="VBQ3" s="0"/>
      <c r="VBR3" s="0"/>
      <c r="VBS3" s="0"/>
      <c r="VBT3" s="0"/>
      <c r="VBU3" s="0"/>
      <c r="VBV3" s="0"/>
      <c r="VBW3" s="0"/>
      <c r="VBX3" s="0"/>
      <c r="VBY3" s="0"/>
      <c r="VBZ3" s="0"/>
      <c r="VCA3" s="0"/>
      <c r="VCB3" s="0"/>
      <c r="VCC3" s="0"/>
      <c r="VCD3" s="0"/>
      <c r="VCE3" s="0"/>
      <c r="VCF3" s="0"/>
      <c r="VCG3" s="0"/>
      <c r="VCH3" s="0"/>
      <c r="VCI3" s="0"/>
      <c r="VCJ3" s="0"/>
      <c r="VCK3" s="0"/>
      <c r="VCL3" s="0"/>
      <c r="VCM3" s="0"/>
      <c r="VCN3" s="0"/>
      <c r="VCO3" s="0"/>
      <c r="VCP3" s="0"/>
      <c r="VCQ3" s="0"/>
      <c r="VCR3" s="0"/>
      <c r="VCS3" s="0"/>
      <c r="VCT3" s="0"/>
      <c r="VCU3" s="0"/>
      <c r="VCV3" s="0"/>
      <c r="VCW3" s="0"/>
      <c r="VCX3" s="0"/>
      <c r="VCY3" s="0"/>
      <c r="VCZ3" s="0"/>
      <c r="VDA3" s="0"/>
      <c r="VDB3" s="0"/>
      <c r="VDC3" s="0"/>
      <c r="VDD3" s="0"/>
      <c r="VDE3" s="0"/>
      <c r="VDF3" s="0"/>
      <c r="VDG3" s="0"/>
      <c r="VDH3" s="0"/>
      <c r="VDI3" s="0"/>
      <c r="VDJ3" s="0"/>
      <c r="VDK3" s="0"/>
      <c r="VDL3" s="0"/>
      <c r="VDM3" s="0"/>
      <c r="VDN3" s="0"/>
      <c r="VDO3" s="0"/>
      <c r="VDP3" s="0"/>
      <c r="VDQ3" s="0"/>
      <c r="VDR3" s="0"/>
      <c r="VDS3" s="0"/>
      <c r="VDT3" s="0"/>
      <c r="VDU3" s="0"/>
      <c r="VDV3" s="0"/>
      <c r="VDW3" s="0"/>
      <c r="VDX3" s="0"/>
      <c r="VDY3" s="0"/>
      <c r="VDZ3" s="0"/>
      <c r="VEA3" s="0"/>
      <c r="VEB3" s="0"/>
      <c r="VEC3" s="0"/>
      <c r="VED3" s="0"/>
      <c r="VEE3" s="0"/>
      <c r="VEF3" s="0"/>
      <c r="VEG3" s="0"/>
      <c r="VEH3" s="0"/>
      <c r="VEI3" s="0"/>
      <c r="VEJ3" s="0"/>
      <c r="VEK3" s="0"/>
      <c r="VEL3" s="0"/>
      <c r="VEM3" s="0"/>
      <c r="VEN3" s="0"/>
      <c r="VEO3" s="0"/>
      <c r="VEP3" s="0"/>
      <c r="VEQ3" s="0"/>
      <c r="VER3" s="0"/>
      <c r="VES3" s="0"/>
      <c r="VET3" s="0"/>
      <c r="VEU3" s="0"/>
      <c r="VEV3" s="0"/>
      <c r="VEW3" s="0"/>
      <c r="VEX3" s="0"/>
      <c r="VEY3" s="0"/>
      <c r="VEZ3" s="0"/>
      <c r="VFA3" s="0"/>
      <c r="VFB3" s="0"/>
      <c r="VFC3" s="0"/>
      <c r="VFD3" s="0"/>
      <c r="VFE3" s="0"/>
      <c r="VFF3" s="0"/>
      <c r="VFG3" s="0"/>
      <c r="VFH3" s="0"/>
      <c r="VFI3" s="0"/>
      <c r="VFJ3" s="0"/>
      <c r="VFK3" s="0"/>
      <c r="VFL3" s="0"/>
      <c r="VFM3" s="0"/>
      <c r="VFN3" s="0"/>
      <c r="VFO3" s="0"/>
      <c r="VFP3" s="0"/>
      <c r="VFQ3" s="0"/>
      <c r="VFR3" s="0"/>
      <c r="VFS3" s="0"/>
      <c r="VFT3" s="0"/>
      <c r="VFU3" s="0"/>
      <c r="VFV3" s="0"/>
      <c r="VFW3" s="0"/>
      <c r="VFX3" s="0"/>
      <c r="VFY3" s="0"/>
      <c r="VFZ3" s="0"/>
      <c r="VGA3" s="0"/>
      <c r="VGB3" s="0"/>
      <c r="VGC3" s="0"/>
      <c r="VGD3" s="0"/>
      <c r="VGE3" s="0"/>
      <c r="VGF3" s="0"/>
      <c r="VGG3" s="0"/>
      <c r="VGH3" s="0"/>
      <c r="VGI3" s="0"/>
      <c r="VGJ3" s="0"/>
      <c r="VGK3" s="0"/>
      <c r="VGL3" s="0"/>
      <c r="VGM3" s="0"/>
      <c r="VGN3" s="0"/>
      <c r="VGO3" s="0"/>
      <c r="VGP3" s="0"/>
      <c r="VGQ3" s="0"/>
      <c r="VGR3" s="0"/>
      <c r="VGS3" s="0"/>
      <c r="VGT3" s="0"/>
      <c r="VGU3" s="0"/>
      <c r="VGV3" s="0"/>
      <c r="VGW3" s="0"/>
      <c r="VGX3" s="0"/>
      <c r="VGY3" s="0"/>
      <c r="VGZ3" s="0"/>
      <c r="VHA3" s="0"/>
      <c r="VHB3" s="0"/>
      <c r="VHC3" s="0"/>
      <c r="VHD3" s="0"/>
      <c r="VHE3" s="0"/>
      <c r="VHF3" s="0"/>
      <c r="VHG3" s="0"/>
      <c r="VHH3" s="0"/>
      <c r="VHI3" s="0"/>
      <c r="VHJ3" s="0"/>
      <c r="VHK3" s="0"/>
      <c r="VHL3" s="0"/>
      <c r="VHM3" s="0"/>
      <c r="VHN3" s="0"/>
      <c r="VHO3" s="0"/>
      <c r="VHP3" s="0"/>
      <c r="VHQ3" s="0"/>
      <c r="VHR3" s="0"/>
      <c r="VHS3" s="0"/>
      <c r="VHT3" s="0"/>
      <c r="VHU3" s="0"/>
      <c r="VHV3" s="0"/>
      <c r="VHW3" s="0"/>
      <c r="VHX3" s="0"/>
      <c r="VHY3" s="0"/>
      <c r="VHZ3" s="0"/>
      <c r="VIA3" s="0"/>
      <c r="VIB3" s="0"/>
      <c r="VIC3" s="0"/>
      <c r="VID3" s="0"/>
      <c r="VIE3" s="0"/>
      <c r="VIF3" s="0"/>
      <c r="VIG3" s="0"/>
      <c r="VIH3" s="0"/>
      <c r="VII3" s="0"/>
      <c r="VIJ3" s="0"/>
      <c r="VIK3" s="0"/>
      <c r="VIL3" s="0"/>
      <c r="VIM3" s="0"/>
      <c r="VIN3" s="0"/>
      <c r="VIO3" s="0"/>
      <c r="VIP3" s="0"/>
      <c r="VIQ3" s="0"/>
      <c r="VIR3" s="0"/>
      <c r="VIS3" s="0"/>
      <c r="VIT3" s="0"/>
      <c r="VIU3" s="0"/>
      <c r="VIV3" s="0"/>
      <c r="VIW3" s="0"/>
      <c r="VIX3" s="0"/>
      <c r="VIY3" s="0"/>
      <c r="VIZ3" s="0"/>
      <c r="VJA3" s="0"/>
      <c r="VJB3" s="0"/>
      <c r="VJC3" s="0"/>
      <c r="VJD3" s="0"/>
      <c r="VJE3" s="0"/>
      <c r="VJF3" s="0"/>
      <c r="VJG3" s="0"/>
      <c r="VJH3" s="0"/>
      <c r="VJI3" s="0"/>
      <c r="VJJ3" s="0"/>
      <c r="VJK3" s="0"/>
      <c r="VJL3" s="0"/>
      <c r="VJM3" s="0"/>
      <c r="VJN3" s="0"/>
      <c r="VJO3" s="0"/>
      <c r="VJP3" s="0"/>
      <c r="VJQ3" s="0"/>
      <c r="VJR3" s="0"/>
      <c r="VJS3" s="0"/>
      <c r="VJT3" s="0"/>
      <c r="VJU3" s="0"/>
      <c r="VJV3" s="0"/>
      <c r="VJW3" s="0"/>
      <c r="VJX3" s="0"/>
      <c r="VJY3" s="0"/>
      <c r="VJZ3" s="0"/>
      <c r="VKA3" s="0"/>
      <c r="VKB3" s="0"/>
      <c r="VKC3" s="0"/>
      <c r="VKD3" s="0"/>
      <c r="VKE3" s="0"/>
      <c r="VKF3" s="0"/>
      <c r="VKG3" s="0"/>
      <c r="VKH3" s="0"/>
      <c r="VKI3" s="0"/>
      <c r="VKJ3" s="0"/>
      <c r="VKK3" s="0"/>
      <c r="VKL3" s="0"/>
      <c r="VKM3" s="0"/>
      <c r="VKN3" s="0"/>
      <c r="VKO3" s="0"/>
      <c r="VKP3" s="0"/>
      <c r="VKQ3" s="0"/>
      <c r="VKR3" s="0"/>
      <c r="VKS3" s="0"/>
      <c r="VKT3" s="0"/>
      <c r="VKU3" s="0"/>
      <c r="VKV3" s="0"/>
      <c r="VKW3" s="0"/>
      <c r="VKX3" s="0"/>
      <c r="VKY3" s="0"/>
      <c r="VKZ3" s="0"/>
      <c r="VLA3" s="0"/>
      <c r="VLB3" s="0"/>
      <c r="VLC3" s="0"/>
      <c r="VLD3" s="0"/>
      <c r="VLE3" s="0"/>
      <c r="VLF3" s="0"/>
      <c r="VLG3" s="0"/>
      <c r="VLH3" s="0"/>
      <c r="VLI3" s="0"/>
      <c r="VLJ3" s="0"/>
      <c r="VLK3" s="0"/>
      <c r="VLL3" s="0"/>
      <c r="VLM3" s="0"/>
      <c r="VLN3" s="0"/>
      <c r="VLO3" s="0"/>
      <c r="VLP3" s="0"/>
      <c r="VLQ3" s="0"/>
      <c r="VLR3" s="0"/>
      <c r="VLS3" s="0"/>
      <c r="VLT3" s="0"/>
      <c r="VLU3" s="0"/>
      <c r="VLV3" s="0"/>
      <c r="VLW3" s="0"/>
      <c r="VLX3" s="0"/>
      <c r="VLY3" s="0"/>
      <c r="VLZ3" s="0"/>
      <c r="VMA3" s="0"/>
      <c r="VMB3" s="0"/>
      <c r="VMC3" s="0"/>
      <c r="VMD3" s="0"/>
      <c r="VME3" s="0"/>
      <c r="VMF3" s="0"/>
      <c r="VMG3" s="0"/>
      <c r="VMH3" s="0"/>
      <c r="VMI3" s="0"/>
      <c r="VMJ3" s="0"/>
      <c r="VMK3" s="0"/>
      <c r="VML3" s="0"/>
      <c r="VMM3" s="0"/>
      <c r="VMN3" s="0"/>
      <c r="VMO3" s="0"/>
      <c r="VMP3" s="0"/>
      <c r="VMQ3" s="0"/>
      <c r="VMR3" s="0"/>
      <c r="VMS3" s="0"/>
      <c r="VMT3" s="0"/>
      <c r="VMU3" s="0"/>
      <c r="VMV3" s="0"/>
      <c r="VMW3" s="0"/>
      <c r="VMX3" s="0"/>
      <c r="VMY3" s="0"/>
      <c r="VMZ3" s="0"/>
      <c r="VNA3" s="0"/>
      <c r="VNB3" s="0"/>
      <c r="VNC3" s="0"/>
      <c r="VND3" s="0"/>
      <c r="VNE3" s="0"/>
      <c r="VNF3" s="0"/>
      <c r="VNG3" s="0"/>
      <c r="VNH3" s="0"/>
      <c r="VNI3" s="0"/>
      <c r="VNJ3" s="0"/>
      <c r="VNK3" s="0"/>
      <c r="VNL3" s="0"/>
      <c r="VNM3" s="0"/>
      <c r="VNN3" s="0"/>
      <c r="VNO3" s="0"/>
      <c r="VNP3" s="0"/>
      <c r="VNQ3" s="0"/>
      <c r="VNR3" s="0"/>
      <c r="VNS3" s="0"/>
      <c r="VNT3" s="0"/>
      <c r="VNU3" s="0"/>
      <c r="VNV3" s="0"/>
      <c r="VNW3" s="0"/>
      <c r="VNX3" s="0"/>
      <c r="VNY3" s="0"/>
      <c r="VNZ3" s="0"/>
      <c r="VOA3" s="0"/>
      <c r="VOB3" s="0"/>
      <c r="VOC3" s="0"/>
      <c r="VOD3" s="0"/>
      <c r="VOE3" s="0"/>
      <c r="VOF3" s="0"/>
      <c r="VOG3" s="0"/>
      <c r="VOH3" s="0"/>
      <c r="VOI3" s="0"/>
      <c r="VOJ3" s="0"/>
      <c r="VOK3" s="0"/>
      <c r="VOL3" s="0"/>
      <c r="VOM3" s="0"/>
      <c r="VON3" s="0"/>
      <c r="VOO3" s="0"/>
      <c r="VOP3" s="0"/>
      <c r="VOQ3" s="0"/>
      <c r="VOR3" s="0"/>
      <c r="VOS3" s="0"/>
      <c r="VOT3" s="0"/>
      <c r="VOU3" s="0"/>
      <c r="VOV3" s="0"/>
      <c r="VOW3" s="0"/>
      <c r="VOX3" s="0"/>
      <c r="VOY3" s="0"/>
      <c r="VOZ3" s="0"/>
      <c r="VPA3" s="0"/>
      <c r="VPB3" s="0"/>
      <c r="VPC3" s="0"/>
      <c r="VPD3" s="0"/>
      <c r="VPE3" s="0"/>
      <c r="VPF3" s="0"/>
      <c r="VPG3" s="0"/>
      <c r="VPH3" s="0"/>
      <c r="VPI3" s="0"/>
      <c r="VPJ3" s="0"/>
      <c r="VPK3" s="0"/>
      <c r="VPL3" s="0"/>
      <c r="VPM3" s="0"/>
      <c r="VPN3" s="0"/>
      <c r="VPO3" s="0"/>
      <c r="VPP3" s="0"/>
      <c r="VPQ3" s="0"/>
      <c r="VPR3" s="0"/>
      <c r="VPS3" s="0"/>
      <c r="VPT3" s="0"/>
      <c r="VPU3" s="0"/>
      <c r="VPV3" s="0"/>
      <c r="VPW3" s="0"/>
      <c r="VPX3" s="0"/>
      <c r="VPY3" s="0"/>
      <c r="VPZ3" s="0"/>
      <c r="VQA3" s="0"/>
      <c r="VQB3" s="0"/>
      <c r="VQC3" s="0"/>
      <c r="VQD3" s="0"/>
      <c r="VQE3" s="0"/>
      <c r="VQF3" s="0"/>
      <c r="VQG3" s="0"/>
      <c r="VQH3" s="0"/>
      <c r="VQI3" s="0"/>
      <c r="VQJ3" s="0"/>
      <c r="VQK3" s="0"/>
      <c r="VQL3" s="0"/>
      <c r="VQM3" s="0"/>
      <c r="VQN3" s="0"/>
      <c r="VQO3" s="0"/>
      <c r="VQP3" s="0"/>
      <c r="VQQ3" s="0"/>
      <c r="VQR3" s="0"/>
      <c r="VQS3" s="0"/>
      <c r="VQT3" s="0"/>
      <c r="VQU3" s="0"/>
      <c r="VQV3" s="0"/>
      <c r="VQW3" s="0"/>
      <c r="VQX3" s="0"/>
      <c r="VQY3" s="0"/>
      <c r="VQZ3" s="0"/>
      <c r="VRA3" s="0"/>
      <c r="VRB3" s="0"/>
      <c r="VRC3" s="0"/>
      <c r="VRD3" s="0"/>
      <c r="VRE3" s="0"/>
      <c r="VRF3" s="0"/>
      <c r="VRG3" s="0"/>
      <c r="VRH3" s="0"/>
      <c r="VRI3" s="0"/>
      <c r="VRJ3" s="0"/>
      <c r="VRK3" s="0"/>
      <c r="VRL3" s="0"/>
      <c r="VRM3" s="0"/>
      <c r="VRN3" s="0"/>
      <c r="VRO3" s="0"/>
      <c r="VRP3" s="0"/>
      <c r="VRQ3" s="0"/>
      <c r="VRR3" s="0"/>
      <c r="VRS3" s="0"/>
      <c r="VRT3" s="0"/>
      <c r="VRU3" s="0"/>
      <c r="VRV3" s="0"/>
      <c r="VRW3" s="0"/>
      <c r="VRX3" s="0"/>
      <c r="VRY3" s="0"/>
      <c r="VRZ3" s="0"/>
      <c r="VSA3" s="0"/>
      <c r="VSB3" s="0"/>
      <c r="VSC3" s="0"/>
      <c r="VSD3" s="0"/>
      <c r="VSE3" s="0"/>
      <c r="VSF3" s="0"/>
      <c r="VSG3" s="0"/>
      <c r="VSH3" s="0"/>
      <c r="VSI3" s="0"/>
      <c r="VSJ3" s="0"/>
      <c r="VSK3" s="0"/>
      <c r="VSL3" s="0"/>
      <c r="VSM3" s="0"/>
      <c r="VSN3" s="0"/>
      <c r="VSO3" s="0"/>
      <c r="VSP3" s="0"/>
      <c r="VSQ3" s="0"/>
      <c r="VSR3" s="0"/>
      <c r="VSS3" s="0"/>
      <c r="VST3" s="0"/>
      <c r="VSU3" s="0"/>
      <c r="VSV3" s="0"/>
      <c r="VSW3" s="0"/>
      <c r="VSX3" s="0"/>
      <c r="VSY3" s="0"/>
      <c r="VSZ3" s="0"/>
      <c r="VTA3" s="0"/>
      <c r="VTB3" s="0"/>
      <c r="VTC3" s="0"/>
      <c r="VTD3" s="0"/>
      <c r="VTE3" s="0"/>
      <c r="VTF3" s="0"/>
      <c r="VTG3" s="0"/>
      <c r="VTH3" s="0"/>
      <c r="VTI3" s="0"/>
      <c r="VTJ3" s="0"/>
      <c r="VTK3" s="0"/>
      <c r="VTL3" s="0"/>
      <c r="VTM3" s="0"/>
      <c r="VTN3" s="0"/>
      <c r="VTO3" s="0"/>
      <c r="VTP3" s="0"/>
      <c r="VTQ3" s="0"/>
      <c r="VTR3" s="0"/>
      <c r="VTS3" s="0"/>
      <c r="VTT3" s="0"/>
      <c r="VTU3" s="0"/>
      <c r="VTV3" s="0"/>
      <c r="VTW3" s="0"/>
      <c r="VTX3" s="0"/>
      <c r="VTY3" s="0"/>
      <c r="VTZ3" s="0"/>
      <c r="VUA3" s="0"/>
      <c r="VUB3" s="0"/>
      <c r="VUC3" s="0"/>
      <c r="VUD3" s="0"/>
      <c r="VUE3" s="0"/>
      <c r="VUF3" s="0"/>
      <c r="VUG3" s="0"/>
      <c r="VUH3" s="0"/>
      <c r="VUI3" s="0"/>
      <c r="VUJ3" s="0"/>
      <c r="VUK3" s="0"/>
      <c r="VUL3" s="0"/>
      <c r="VUM3" s="0"/>
      <c r="VUN3" s="0"/>
      <c r="VUO3" s="0"/>
      <c r="VUP3" s="0"/>
      <c r="VUQ3" s="0"/>
      <c r="VUR3" s="0"/>
      <c r="VUS3" s="0"/>
      <c r="VUT3" s="0"/>
      <c r="VUU3" s="0"/>
      <c r="VUV3" s="0"/>
      <c r="VUW3" s="0"/>
      <c r="VUX3" s="0"/>
      <c r="VUY3" s="0"/>
      <c r="VUZ3" s="0"/>
      <c r="VVA3" s="0"/>
      <c r="VVB3" s="0"/>
      <c r="VVC3" s="0"/>
      <c r="VVD3" s="0"/>
      <c r="VVE3" s="0"/>
      <c r="VVF3" s="0"/>
      <c r="VVG3" s="0"/>
      <c r="VVH3" s="0"/>
      <c r="VVI3" s="0"/>
      <c r="VVJ3" s="0"/>
      <c r="VVK3" s="0"/>
      <c r="VVL3" s="0"/>
      <c r="VVM3" s="0"/>
      <c r="VVN3" s="0"/>
      <c r="VVO3" s="0"/>
      <c r="VVP3" s="0"/>
      <c r="VVQ3" s="0"/>
      <c r="VVR3" s="0"/>
      <c r="VVS3" s="0"/>
      <c r="VVT3" s="0"/>
      <c r="VVU3" s="0"/>
      <c r="VVV3" s="0"/>
      <c r="VVW3" s="0"/>
      <c r="VVX3" s="0"/>
      <c r="VVY3" s="0"/>
      <c r="VVZ3" s="0"/>
      <c r="VWA3" s="0"/>
      <c r="VWB3" s="0"/>
      <c r="VWC3" s="0"/>
      <c r="VWD3" s="0"/>
      <c r="VWE3" s="0"/>
      <c r="VWF3" s="0"/>
      <c r="VWG3" s="0"/>
      <c r="VWH3" s="0"/>
      <c r="VWI3" s="0"/>
      <c r="VWJ3" s="0"/>
      <c r="VWK3" s="0"/>
      <c r="VWL3" s="0"/>
      <c r="VWM3" s="0"/>
      <c r="VWN3" s="0"/>
      <c r="VWO3" s="0"/>
      <c r="VWP3" s="0"/>
      <c r="VWQ3" s="0"/>
      <c r="VWR3" s="0"/>
      <c r="VWS3" s="0"/>
      <c r="VWT3" s="0"/>
      <c r="VWU3" s="0"/>
      <c r="VWV3" s="0"/>
      <c r="VWW3" s="0"/>
      <c r="VWX3" s="0"/>
      <c r="VWY3" s="0"/>
      <c r="VWZ3" s="0"/>
      <c r="VXA3" s="0"/>
      <c r="VXB3" s="0"/>
      <c r="VXC3" s="0"/>
      <c r="VXD3" s="0"/>
      <c r="VXE3" s="0"/>
      <c r="VXF3" s="0"/>
      <c r="VXG3" s="0"/>
      <c r="VXH3" s="0"/>
      <c r="VXI3" s="0"/>
      <c r="VXJ3" s="0"/>
      <c r="VXK3" s="0"/>
      <c r="VXL3" s="0"/>
      <c r="VXM3" s="0"/>
      <c r="VXN3" s="0"/>
      <c r="VXO3" s="0"/>
      <c r="VXP3" s="0"/>
      <c r="VXQ3" s="0"/>
      <c r="VXR3" s="0"/>
      <c r="VXS3" s="0"/>
      <c r="VXT3" s="0"/>
      <c r="VXU3" s="0"/>
      <c r="VXV3" s="0"/>
      <c r="VXW3" s="0"/>
      <c r="VXX3" s="0"/>
      <c r="VXY3" s="0"/>
      <c r="VXZ3" s="0"/>
      <c r="VYA3" s="0"/>
      <c r="VYB3" s="0"/>
      <c r="VYC3" s="0"/>
      <c r="VYD3" s="0"/>
      <c r="VYE3" s="0"/>
      <c r="VYF3" s="0"/>
      <c r="VYG3" s="0"/>
      <c r="VYH3" s="0"/>
      <c r="VYI3" s="0"/>
      <c r="VYJ3" s="0"/>
      <c r="VYK3" s="0"/>
      <c r="VYL3" s="0"/>
      <c r="VYM3" s="0"/>
      <c r="VYN3" s="0"/>
      <c r="VYO3" s="0"/>
      <c r="VYP3" s="0"/>
      <c r="VYQ3" s="0"/>
      <c r="VYR3" s="0"/>
      <c r="VYS3" s="0"/>
      <c r="VYT3" s="0"/>
      <c r="VYU3" s="0"/>
      <c r="VYV3" s="0"/>
      <c r="VYW3" s="0"/>
      <c r="VYX3" s="0"/>
      <c r="VYY3" s="0"/>
      <c r="VYZ3" s="0"/>
      <c r="VZA3" s="0"/>
      <c r="VZB3" s="0"/>
      <c r="VZC3" s="0"/>
      <c r="VZD3" s="0"/>
      <c r="VZE3" s="0"/>
      <c r="VZF3" s="0"/>
      <c r="VZG3" s="0"/>
      <c r="VZH3" s="0"/>
      <c r="VZI3" s="0"/>
      <c r="VZJ3" s="0"/>
      <c r="VZK3" s="0"/>
      <c r="VZL3" s="0"/>
      <c r="VZM3" s="0"/>
      <c r="VZN3" s="0"/>
      <c r="VZO3" s="0"/>
      <c r="VZP3" s="0"/>
      <c r="VZQ3" s="0"/>
      <c r="VZR3" s="0"/>
      <c r="VZS3" s="0"/>
      <c r="VZT3" s="0"/>
      <c r="VZU3" s="0"/>
      <c r="VZV3" s="0"/>
      <c r="VZW3" s="0"/>
      <c r="VZX3" s="0"/>
      <c r="VZY3" s="0"/>
      <c r="VZZ3" s="0"/>
      <c r="WAA3" s="0"/>
      <c r="WAB3" s="0"/>
      <c r="WAC3" s="0"/>
      <c r="WAD3" s="0"/>
      <c r="WAE3" s="0"/>
      <c r="WAF3" s="0"/>
      <c r="WAG3" s="0"/>
      <c r="WAH3" s="0"/>
      <c r="WAI3" s="0"/>
      <c r="WAJ3" s="0"/>
      <c r="WAK3" s="0"/>
      <c r="WAL3" s="0"/>
      <c r="WAM3" s="0"/>
      <c r="WAN3" s="0"/>
      <c r="WAO3" s="0"/>
      <c r="WAP3" s="0"/>
      <c r="WAQ3" s="0"/>
      <c r="WAR3" s="0"/>
      <c r="WAS3" s="0"/>
      <c r="WAT3" s="0"/>
      <c r="WAU3" s="0"/>
      <c r="WAV3" s="0"/>
      <c r="WAW3" s="0"/>
      <c r="WAX3" s="0"/>
      <c r="WAY3" s="0"/>
      <c r="WAZ3" s="0"/>
      <c r="WBA3" s="0"/>
      <c r="WBB3" s="0"/>
      <c r="WBC3" s="0"/>
      <c r="WBD3" s="0"/>
      <c r="WBE3" s="0"/>
      <c r="WBF3" s="0"/>
      <c r="WBG3" s="0"/>
      <c r="WBH3" s="0"/>
      <c r="WBI3" s="0"/>
      <c r="WBJ3" s="0"/>
      <c r="WBK3" s="0"/>
      <c r="WBL3" s="0"/>
      <c r="WBM3" s="0"/>
      <c r="WBN3" s="0"/>
      <c r="WBO3" s="0"/>
      <c r="WBP3" s="0"/>
      <c r="WBQ3" s="0"/>
      <c r="WBR3" s="0"/>
      <c r="WBS3" s="0"/>
      <c r="WBT3" s="0"/>
      <c r="WBU3" s="0"/>
      <c r="WBV3" s="0"/>
      <c r="WBW3" s="0"/>
      <c r="WBX3" s="0"/>
      <c r="WBY3" s="0"/>
      <c r="WBZ3" s="0"/>
      <c r="WCA3" s="0"/>
      <c r="WCB3" s="0"/>
      <c r="WCC3" s="0"/>
      <c r="WCD3" s="0"/>
      <c r="WCE3" s="0"/>
      <c r="WCF3" s="0"/>
      <c r="WCG3" s="0"/>
      <c r="WCH3" s="0"/>
      <c r="WCI3" s="0"/>
      <c r="WCJ3" s="0"/>
      <c r="WCK3" s="0"/>
      <c r="WCL3" s="0"/>
      <c r="WCM3" s="0"/>
      <c r="WCN3" s="0"/>
      <c r="WCO3" s="0"/>
      <c r="WCP3" s="0"/>
      <c r="WCQ3" s="0"/>
      <c r="WCR3" s="0"/>
      <c r="WCS3" s="0"/>
      <c r="WCT3" s="0"/>
      <c r="WCU3" s="0"/>
      <c r="WCV3" s="0"/>
      <c r="WCW3" s="0"/>
      <c r="WCX3" s="0"/>
      <c r="WCY3" s="0"/>
      <c r="WCZ3" s="0"/>
      <c r="WDA3" s="0"/>
      <c r="WDB3" s="0"/>
      <c r="WDC3" s="0"/>
      <c r="WDD3" s="0"/>
      <c r="WDE3" s="0"/>
      <c r="WDF3" s="0"/>
      <c r="WDG3" s="0"/>
      <c r="WDH3" s="0"/>
      <c r="WDI3" s="0"/>
      <c r="WDJ3" s="0"/>
      <c r="WDK3" s="0"/>
      <c r="WDL3" s="0"/>
      <c r="WDM3" s="0"/>
      <c r="WDN3" s="0"/>
      <c r="WDO3" s="0"/>
      <c r="WDP3" s="0"/>
      <c r="WDQ3" s="0"/>
      <c r="WDR3" s="0"/>
      <c r="WDS3" s="0"/>
      <c r="WDT3" s="0"/>
      <c r="WDU3" s="0"/>
      <c r="WDV3" s="0"/>
      <c r="WDW3" s="0"/>
      <c r="WDX3" s="0"/>
      <c r="WDY3" s="0"/>
      <c r="WDZ3" s="0"/>
      <c r="WEA3" s="0"/>
      <c r="WEB3" s="0"/>
      <c r="WEC3" s="0"/>
      <c r="WED3" s="0"/>
      <c r="WEE3" s="0"/>
      <c r="WEF3" s="0"/>
      <c r="WEG3" s="0"/>
      <c r="WEH3" s="0"/>
      <c r="WEI3" s="0"/>
      <c r="WEJ3" s="0"/>
      <c r="WEK3" s="0"/>
      <c r="WEL3" s="0"/>
      <c r="WEM3" s="0"/>
      <c r="WEN3" s="0"/>
      <c r="WEO3" s="0"/>
      <c r="WEP3" s="0"/>
      <c r="WEQ3" s="0"/>
      <c r="WER3" s="0"/>
      <c r="WES3" s="0"/>
      <c r="WET3" s="0"/>
      <c r="WEU3" s="0"/>
      <c r="WEV3" s="0"/>
      <c r="WEW3" s="0"/>
      <c r="WEX3" s="0"/>
      <c r="WEY3" s="0"/>
      <c r="WEZ3" s="0"/>
      <c r="WFA3" s="0"/>
      <c r="WFB3" s="0"/>
      <c r="WFC3" s="0"/>
      <c r="WFD3" s="0"/>
      <c r="WFE3" s="0"/>
      <c r="WFF3" s="0"/>
      <c r="WFG3" s="0"/>
      <c r="WFH3" s="0"/>
      <c r="WFI3" s="0"/>
      <c r="WFJ3" s="0"/>
      <c r="WFK3" s="0"/>
      <c r="WFL3" s="0"/>
      <c r="WFM3" s="0"/>
      <c r="WFN3" s="0"/>
      <c r="WFO3" s="0"/>
      <c r="WFP3" s="0"/>
      <c r="WFQ3" s="0"/>
      <c r="WFR3" s="0"/>
      <c r="WFS3" s="0"/>
      <c r="WFT3" s="0"/>
      <c r="WFU3" s="0"/>
      <c r="WFV3" s="0"/>
      <c r="WFW3" s="0"/>
      <c r="WFX3" s="0"/>
      <c r="WFY3" s="0"/>
      <c r="WFZ3" s="0"/>
      <c r="WGA3" s="0"/>
      <c r="WGB3" s="0"/>
      <c r="WGC3" s="0"/>
      <c r="WGD3" s="0"/>
      <c r="WGE3" s="0"/>
      <c r="WGF3" s="0"/>
      <c r="WGG3" s="0"/>
      <c r="WGH3" s="0"/>
      <c r="WGI3" s="0"/>
      <c r="WGJ3" s="0"/>
      <c r="WGK3" s="0"/>
      <c r="WGL3" s="0"/>
      <c r="WGM3" s="0"/>
      <c r="WGN3" s="0"/>
      <c r="WGO3" s="0"/>
      <c r="WGP3" s="0"/>
      <c r="WGQ3" s="0"/>
      <c r="WGR3" s="0"/>
      <c r="WGS3" s="0"/>
      <c r="WGT3" s="0"/>
      <c r="WGU3" s="0"/>
      <c r="WGV3" s="0"/>
      <c r="WGW3" s="0"/>
      <c r="WGX3" s="0"/>
      <c r="WGY3" s="0"/>
      <c r="WGZ3" s="0"/>
      <c r="WHA3" s="0"/>
      <c r="WHB3" s="0"/>
      <c r="WHC3" s="0"/>
      <c r="WHD3" s="0"/>
      <c r="WHE3" s="0"/>
      <c r="WHF3" s="0"/>
      <c r="WHG3" s="0"/>
      <c r="WHH3" s="0"/>
      <c r="WHI3" s="0"/>
      <c r="WHJ3" s="0"/>
      <c r="WHK3" s="0"/>
      <c r="WHL3" s="0"/>
      <c r="WHM3" s="0"/>
      <c r="WHN3" s="0"/>
      <c r="WHO3" s="0"/>
      <c r="WHP3" s="0"/>
      <c r="WHQ3" s="0"/>
      <c r="WHR3" s="0"/>
      <c r="WHS3" s="0"/>
      <c r="WHT3" s="0"/>
      <c r="WHU3" s="0"/>
      <c r="WHV3" s="0"/>
      <c r="WHW3" s="0"/>
      <c r="WHX3" s="0"/>
      <c r="WHY3" s="0"/>
      <c r="WHZ3" s="0"/>
      <c r="WIA3" s="0"/>
      <c r="WIB3" s="0"/>
      <c r="WIC3" s="0"/>
      <c r="WID3" s="0"/>
      <c r="WIE3" s="0"/>
      <c r="WIF3" s="0"/>
      <c r="WIG3" s="0"/>
      <c r="WIH3" s="0"/>
      <c r="WII3" s="0"/>
      <c r="WIJ3" s="0"/>
      <c r="WIK3" s="0"/>
      <c r="WIL3" s="0"/>
      <c r="WIM3" s="0"/>
      <c r="WIN3" s="0"/>
      <c r="WIO3" s="0"/>
      <c r="WIP3" s="0"/>
      <c r="WIQ3" s="0"/>
      <c r="WIR3" s="0"/>
      <c r="WIS3" s="0"/>
      <c r="WIT3" s="0"/>
      <c r="WIU3" s="0"/>
      <c r="WIV3" s="0"/>
      <c r="WIW3" s="0"/>
      <c r="WIX3" s="0"/>
      <c r="WIY3" s="0"/>
      <c r="WIZ3" s="0"/>
      <c r="WJA3" s="0"/>
      <c r="WJB3" s="0"/>
      <c r="WJC3" s="0"/>
      <c r="WJD3" s="0"/>
      <c r="WJE3" s="0"/>
      <c r="WJF3" s="0"/>
      <c r="WJG3" s="0"/>
      <c r="WJH3" s="0"/>
      <c r="WJI3" s="0"/>
      <c r="WJJ3" s="0"/>
      <c r="WJK3" s="0"/>
      <c r="WJL3" s="0"/>
      <c r="WJM3" s="0"/>
      <c r="WJN3" s="0"/>
      <c r="WJO3" s="0"/>
      <c r="WJP3" s="0"/>
      <c r="WJQ3" s="0"/>
      <c r="WJR3" s="0"/>
      <c r="WJS3" s="0"/>
      <c r="WJT3" s="0"/>
      <c r="WJU3" s="0"/>
      <c r="WJV3" s="0"/>
      <c r="WJW3" s="0"/>
      <c r="WJX3" s="0"/>
      <c r="WJY3" s="0"/>
      <c r="WJZ3" s="0"/>
      <c r="WKA3" s="0"/>
      <c r="WKB3" s="0"/>
      <c r="WKC3" s="0"/>
      <c r="WKD3" s="0"/>
      <c r="WKE3" s="0"/>
      <c r="WKF3" s="0"/>
      <c r="WKG3" s="0"/>
      <c r="WKH3" s="0"/>
      <c r="WKI3" s="0"/>
      <c r="WKJ3" s="0"/>
      <c r="WKK3" s="0"/>
      <c r="WKL3" s="0"/>
      <c r="WKM3" s="0"/>
      <c r="WKN3" s="0"/>
      <c r="WKO3" s="0"/>
      <c r="WKP3" s="0"/>
      <c r="WKQ3" s="0"/>
      <c r="WKR3" s="0"/>
      <c r="WKS3" s="0"/>
      <c r="WKT3" s="0"/>
      <c r="WKU3" s="0"/>
      <c r="WKV3" s="0"/>
      <c r="WKW3" s="0"/>
      <c r="WKX3" s="0"/>
      <c r="WKY3" s="0"/>
      <c r="WKZ3" s="0"/>
      <c r="WLA3" s="0"/>
      <c r="WLB3" s="0"/>
      <c r="WLC3" s="0"/>
      <c r="WLD3" s="0"/>
      <c r="WLE3" s="0"/>
      <c r="WLF3" s="0"/>
      <c r="WLG3" s="0"/>
      <c r="WLH3" s="0"/>
      <c r="WLI3" s="0"/>
      <c r="WLJ3" s="0"/>
      <c r="WLK3" s="0"/>
      <c r="WLL3" s="0"/>
      <c r="WLM3" s="0"/>
      <c r="WLN3" s="0"/>
      <c r="WLO3" s="0"/>
      <c r="WLP3" s="0"/>
      <c r="WLQ3" s="0"/>
      <c r="WLR3" s="0"/>
      <c r="WLS3" s="0"/>
      <c r="WLT3" s="0"/>
      <c r="WLU3" s="0"/>
      <c r="WLV3" s="0"/>
      <c r="WLW3" s="0"/>
      <c r="WLX3" s="0"/>
      <c r="WLY3" s="0"/>
      <c r="WLZ3" s="0"/>
      <c r="WMA3" s="0"/>
      <c r="WMB3" s="0"/>
      <c r="WMC3" s="0"/>
      <c r="WMD3" s="0"/>
      <c r="WME3" s="0"/>
      <c r="WMF3" s="0"/>
      <c r="WMG3" s="0"/>
      <c r="WMH3" s="0"/>
      <c r="WMI3" s="0"/>
      <c r="WMJ3" s="0"/>
      <c r="WMK3" s="0"/>
      <c r="WML3" s="0"/>
      <c r="WMM3" s="0"/>
      <c r="WMN3" s="0"/>
      <c r="WMO3" s="0"/>
      <c r="WMP3" s="0"/>
      <c r="WMQ3" s="0"/>
      <c r="WMR3" s="0"/>
      <c r="WMS3" s="0"/>
      <c r="WMT3" s="0"/>
      <c r="WMU3" s="0"/>
      <c r="WMV3" s="0"/>
      <c r="WMW3" s="0"/>
      <c r="WMX3" s="0"/>
      <c r="WMY3" s="0"/>
      <c r="WMZ3" s="0"/>
      <c r="WNA3" s="0"/>
      <c r="WNB3" s="0"/>
      <c r="WNC3" s="0"/>
      <c r="WND3" s="0"/>
      <c r="WNE3" s="0"/>
      <c r="WNF3" s="0"/>
      <c r="WNG3" s="0"/>
      <c r="WNH3" s="0"/>
      <c r="WNI3" s="0"/>
      <c r="WNJ3" s="0"/>
      <c r="WNK3" s="0"/>
      <c r="WNL3" s="0"/>
      <c r="WNM3" s="0"/>
      <c r="WNN3" s="0"/>
      <c r="WNO3" s="0"/>
      <c r="WNP3" s="0"/>
      <c r="WNQ3" s="0"/>
      <c r="WNR3" s="0"/>
      <c r="WNS3" s="0"/>
      <c r="WNT3" s="0"/>
      <c r="WNU3" s="0"/>
      <c r="WNV3" s="0"/>
      <c r="WNW3" s="0"/>
      <c r="WNX3" s="0"/>
      <c r="WNY3" s="0"/>
      <c r="WNZ3" s="0"/>
      <c r="WOA3" s="0"/>
      <c r="WOB3" s="0"/>
      <c r="WOC3" s="0"/>
      <c r="WOD3" s="0"/>
      <c r="WOE3" s="0"/>
      <c r="WOF3" s="0"/>
      <c r="WOG3" s="0"/>
      <c r="WOH3" s="0"/>
      <c r="WOI3" s="0"/>
      <c r="WOJ3" s="0"/>
      <c r="WOK3" s="0"/>
      <c r="WOL3" s="0"/>
      <c r="WOM3" s="0"/>
      <c r="WON3" s="0"/>
      <c r="WOO3" s="0"/>
      <c r="WOP3" s="0"/>
      <c r="WOQ3" s="0"/>
      <c r="WOR3" s="0"/>
      <c r="WOS3" s="0"/>
      <c r="WOT3" s="0"/>
      <c r="WOU3" s="0"/>
      <c r="WOV3" s="0"/>
      <c r="WOW3" s="0"/>
      <c r="WOX3" s="0"/>
      <c r="WOY3" s="0"/>
      <c r="WOZ3" s="0"/>
      <c r="WPA3" s="0"/>
      <c r="WPB3" s="0"/>
      <c r="WPC3" s="0"/>
      <c r="WPD3" s="0"/>
      <c r="WPE3" s="0"/>
      <c r="WPF3" s="0"/>
      <c r="WPG3" s="0"/>
      <c r="WPH3" s="0"/>
      <c r="WPI3" s="0"/>
      <c r="WPJ3" s="0"/>
      <c r="WPK3" s="0"/>
      <c r="WPL3" s="0"/>
      <c r="WPM3" s="0"/>
      <c r="WPN3" s="0"/>
      <c r="WPO3" s="0"/>
      <c r="WPP3" s="0"/>
      <c r="WPQ3" s="0"/>
      <c r="WPR3" s="0"/>
      <c r="WPS3" s="0"/>
      <c r="WPT3" s="0"/>
      <c r="WPU3" s="0"/>
      <c r="WPV3" s="0"/>
      <c r="WPW3" s="0"/>
      <c r="WPX3" s="0"/>
      <c r="WPY3" s="0"/>
      <c r="WPZ3" s="0"/>
      <c r="WQA3" s="0"/>
      <c r="WQB3" s="0"/>
      <c r="WQC3" s="0"/>
      <c r="WQD3" s="0"/>
      <c r="WQE3" s="0"/>
      <c r="WQF3" s="0"/>
      <c r="WQG3" s="0"/>
      <c r="WQH3" s="0"/>
      <c r="WQI3" s="0"/>
      <c r="WQJ3" s="0"/>
      <c r="WQK3" s="0"/>
      <c r="WQL3" s="0"/>
      <c r="WQM3" s="0"/>
      <c r="WQN3" s="0"/>
      <c r="WQO3" s="0"/>
      <c r="WQP3" s="0"/>
      <c r="WQQ3" s="0"/>
      <c r="WQR3" s="0"/>
      <c r="WQS3" s="0"/>
      <c r="WQT3" s="0"/>
      <c r="WQU3" s="0"/>
      <c r="WQV3" s="0"/>
      <c r="WQW3" s="0"/>
      <c r="WQX3" s="0"/>
      <c r="WQY3" s="0"/>
      <c r="WQZ3" s="0"/>
      <c r="WRA3" s="0"/>
      <c r="WRB3" s="0"/>
      <c r="WRC3" s="0"/>
      <c r="WRD3" s="0"/>
      <c r="WRE3" s="0"/>
      <c r="WRF3" s="0"/>
      <c r="WRG3" s="0"/>
      <c r="WRH3" s="0"/>
      <c r="WRI3" s="0"/>
      <c r="WRJ3" s="0"/>
      <c r="WRK3" s="0"/>
      <c r="WRL3" s="0"/>
      <c r="WRM3" s="0"/>
      <c r="WRN3" s="0"/>
      <c r="WRO3" s="0"/>
      <c r="WRP3" s="0"/>
      <c r="WRQ3" s="0"/>
      <c r="WRR3" s="0"/>
      <c r="WRS3" s="0"/>
      <c r="WRT3" s="0"/>
      <c r="WRU3" s="0"/>
      <c r="WRV3" s="0"/>
      <c r="WRW3" s="0"/>
      <c r="WRX3" s="0"/>
      <c r="WRY3" s="0"/>
      <c r="WRZ3" s="0"/>
      <c r="WSA3" s="0"/>
      <c r="WSB3" s="0"/>
      <c r="WSC3" s="0"/>
      <c r="WSD3" s="0"/>
      <c r="WSE3" s="0"/>
      <c r="WSF3" s="0"/>
      <c r="WSG3" s="0"/>
      <c r="WSH3" s="0"/>
      <c r="WSI3" s="0"/>
      <c r="WSJ3" s="0"/>
      <c r="WSK3" s="0"/>
      <c r="WSL3" s="0"/>
      <c r="WSM3" s="0"/>
      <c r="WSN3" s="0"/>
      <c r="WSO3" s="0"/>
      <c r="WSP3" s="0"/>
      <c r="WSQ3" s="0"/>
      <c r="WSR3" s="0"/>
      <c r="WSS3" s="0"/>
      <c r="WST3" s="0"/>
      <c r="WSU3" s="0"/>
      <c r="WSV3" s="0"/>
      <c r="WSW3" s="0"/>
      <c r="WSX3" s="0"/>
      <c r="WSY3" s="0"/>
      <c r="WSZ3" s="0"/>
      <c r="WTA3" s="0"/>
      <c r="WTB3" s="0"/>
      <c r="WTC3" s="0"/>
      <c r="WTD3" s="0"/>
      <c r="WTE3" s="0"/>
      <c r="WTF3" s="0"/>
      <c r="WTG3" s="0"/>
      <c r="WTH3" s="0"/>
      <c r="WTI3" s="0"/>
      <c r="WTJ3" s="0"/>
      <c r="WTK3" s="0"/>
      <c r="WTL3" s="0"/>
      <c r="WTM3" s="0"/>
      <c r="WTN3" s="0"/>
      <c r="WTO3" s="0"/>
      <c r="WTP3" s="0"/>
      <c r="WTQ3" s="0"/>
      <c r="WTR3" s="0"/>
      <c r="WTS3" s="0"/>
      <c r="WTT3" s="0"/>
      <c r="WTU3" s="0"/>
      <c r="WTV3" s="0"/>
      <c r="WTW3" s="0"/>
      <c r="WTX3" s="0"/>
      <c r="WTY3" s="0"/>
      <c r="WTZ3" s="0"/>
      <c r="WUA3" s="0"/>
      <c r="WUB3" s="0"/>
      <c r="WUC3" s="0"/>
      <c r="WUD3" s="0"/>
      <c r="WUE3" s="0"/>
      <c r="WUF3" s="0"/>
      <c r="WUG3" s="0"/>
      <c r="WUH3" s="0"/>
      <c r="WUI3" s="0"/>
      <c r="WUJ3" s="0"/>
      <c r="WUK3" s="0"/>
      <c r="WUL3" s="0"/>
      <c r="WUM3" s="0"/>
      <c r="WUN3" s="0"/>
      <c r="WUO3" s="0"/>
      <c r="WUP3" s="0"/>
      <c r="WUQ3" s="0"/>
      <c r="WUR3" s="0"/>
      <c r="WUS3" s="0"/>
      <c r="WUT3" s="0"/>
      <c r="WUU3" s="0"/>
      <c r="WUV3" s="0"/>
      <c r="WUW3" s="0"/>
      <c r="WUX3" s="0"/>
      <c r="WUY3" s="0"/>
      <c r="WUZ3" s="0"/>
      <c r="WVA3" s="0"/>
      <c r="WVB3" s="0"/>
      <c r="WVC3" s="0"/>
      <c r="WVD3" s="0"/>
      <c r="WVE3" s="0"/>
      <c r="WVF3" s="0"/>
      <c r="WVG3" s="0"/>
      <c r="WVH3" s="0"/>
      <c r="WVI3" s="0"/>
      <c r="WVJ3" s="0"/>
      <c r="WVK3" s="0"/>
      <c r="WVL3" s="0"/>
      <c r="WVM3" s="0"/>
      <c r="WVN3" s="0"/>
      <c r="WVO3" s="0"/>
      <c r="WVP3" s="0"/>
      <c r="WVQ3" s="0"/>
      <c r="WVR3" s="0"/>
      <c r="WVS3" s="0"/>
      <c r="WVT3" s="0"/>
      <c r="WVU3" s="0"/>
      <c r="WVV3" s="0"/>
      <c r="WVW3" s="0"/>
      <c r="WVX3" s="0"/>
      <c r="WVY3" s="0"/>
      <c r="WVZ3" s="0"/>
      <c r="WWA3" s="0"/>
      <c r="WWB3" s="0"/>
      <c r="WWC3" s="0"/>
      <c r="WWD3" s="0"/>
      <c r="WWE3" s="0"/>
      <c r="WWF3" s="0"/>
      <c r="WWG3" s="0"/>
      <c r="WWH3" s="0"/>
      <c r="WWI3" s="0"/>
      <c r="WWJ3" s="0"/>
      <c r="WWK3" s="0"/>
      <c r="WWL3" s="0"/>
      <c r="WWM3" s="0"/>
      <c r="WWN3" s="0"/>
      <c r="WWO3" s="0"/>
      <c r="WWP3" s="0"/>
      <c r="WWQ3" s="0"/>
      <c r="WWR3" s="0"/>
      <c r="WWS3" s="0"/>
      <c r="WWT3" s="0"/>
      <c r="WWU3" s="0"/>
      <c r="WWV3" s="0"/>
      <c r="WWW3" s="0"/>
      <c r="WWX3" s="0"/>
      <c r="WWY3" s="0"/>
      <c r="WWZ3" s="0"/>
      <c r="WXA3" s="0"/>
      <c r="WXB3" s="0"/>
      <c r="WXC3" s="0"/>
      <c r="WXD3" s="0"/>
      <c r="WXE3" s="0"/>
      <c r="WXF3" s="0"/>
      <c r="WXG3" s="0"/>
      <c r="WXH3" s="0"/>
      <c r="WXI3" s="0"/>
      <c r="WXJ3" s="0"/>
      <c r="WXK3" s="0"/>
      <c r="WXL3" s="0"/>
      <c r="WXM3" s="0"/>
      <c r="WXN3" s="0"/>
      <c r="WXO3" s="0"/>
      <c r="WXP3" s="0"/>
      <c r="WXQ3" s="0"/>
      <c r="WXR3" s="0"/>
      <c r="WXS3" s="0"/>
      <c r="WXT3" s="0"/>
      <c r="WXU3" s="0"/>
      <c r="WXV3" s="0"/>
      <c r="WXW3" s="0"/>
      <c r="WXX3" s="0"/>
      <c r="WXY3" s="0"/>
      <c r="WXZ3" s="0"/>
      <c r="WYA3" s="0"/>
      <c r="WYB3" s="0"/>
      <c r="WYC3" s="0"/>
      <c r="WYD3" s="0"/>
      <c r="WYE3" s="0"/>
      <c r="WYF3" s="0"/>
      <c r="WYG3" s="0"/>
      <c r="WYH3" s="0"/>
      <c r="WYI3" s="0"/>
      <c r="WYJ3" s="0"/>
      <c r="WYK3" s="0"/>
      <c r="WYL3" s="0"/>
      <c r="WYM3" s="0"/>
      <c r="WYN3" s="0"/>
      <c r="WYO3" s="0"/>
      <c r="WYP3" s="0"/>
      <c r="WYQ3" s="0"/>
      <c r="WYR3" s="0"/>
      <c r="WYS3" s="0"/>
      <c r="WYT3" s="0"/>
      <c r="WYU3" s="0"/>
      <c r="WYV3" s="0"/>
      <c r="WYW3" s="0"/>
      <c r="WYX3" s="0"/>
      <c r="WYY3" s="0"/>
      <c r="WYZ3" s="0"/>
      <c r="WZA3" s="0"/>
      <c r="WZB3" s="0"/>
      <c r="WZC3" s="0"/>
      <c r="WZD3" s="0"/>
      <c r="WZE3" s="0"/>
      <c r="WZF3" s="0"/>
      <c r="WZG3" s="0"/>
      <c r="WZH3" s="0"/>
      <c r="WZI3" s="0"/>
      <c r="WZJ3" s="0"/>
      <c r="WZK3" s="0"/>
      <c r="WZL3" s="0"/>
      <c r="WZM3" s="0"/>
      <c r="WZN3" s="0"/>
      <c r="WZO3" s="0"/>
      <c r="WZP3" s="0"/>
      <c r="WZQ3" s="0"/>
      <c r="WZR3" s="0"/>
      <c r="WZS3" s="0"/>
      <c r="WZT3" s="0"/>
      <c r="WZU3" s="0"/>
      <c r="WZV3" s="0"/>
      <c r="WZW3" s="0"/>
      <c r="WZX3" s="0"/>
      <c r="WZY3" s="0"/>
      <c r="WZZ3" s="0"/>
      <c r="XAA3" s="0"/>
      <c r="XAB3" s="0"/>
      <c r="XAC3" s="0"/>
      <c r="XAD3" s="0"/>
      <c r="XAE3" s="0"/>
      <c r="XAF3" s="0"/>
      <c r="XAG3" s="0"/>
      <c r="XAH3" s="0"/>
      <c r="XAI3" s="0"/>
      <c r="XAJ3" s="0"/>
      <c r="XAK3" s="0"/>
      <c r="XAL3" s="0"/>
      <c r="XAM3" s="0"/>
      <c r="XAN3" s="0"/>
      <c r="XAO3" s="0"/>
      <c r="XAP3" s="0"/>
      <c r="XAQ3" s="0"/>
      <c r="XAR3" s="0"/>
      <c r="XAS3" s="0"/>
      <c r="XAT3" s="0"/>
      <c r="XAU3" s="0"/>
      <c r="XAV3" s="0"/>
      <c r="XAW3" s="0"/>
      <c r="XAX3" s="0"/>
      <c r="XAY3" s="0"/>
      <c r="XAZ3" s="0"/>
      <c r="XBA3" s="0"/>
      <c r="XBB3" s="0"/>
      <c r="XBC3" s="0"/>
      <c r="XBD3" s="0"/>
      <c r="XBE3" s="0"/>
      <c r="XBF3" s="0"/>
      <c r="XBG3" s="0"/>
      <c r="XBH3" s="0"/>
      <c r="XBI3" s="0"/>
      <c r="XBJ3" s="0"/>
      <c r="XBK3" s="0"/>
      <c r="XBL3" s="0"/>
      <c r="XBM3" s="0"/>
      <c r="XBN3" s="0"/>
      <c r="XBO3" s="0"/>
      <c r="XBP3" s="0"/>
      <c r="XBQ3" s="0"/>
      <c r="XBR3" s="0"/>
      <c r="XBS3" s="0"/>
      <c r="XBT3" s="0"/>
      <c r="XBU3" s="0"/>
      <c r="XBV3" s="0"/>
      <c r="XBW3" s="0"/>
      <c r="XBX3" s="0"/>
      <c r="XBY3" s="0"/>
      <c r="XBZ3" s="0"/>
      <c r="XCA3" s="0"/>
      <c r="XCB3" s="0"/>
      <c r="XCC3" s="0"/>
      <c r="XCD3" s="0"/>
      <c r="XCE3" s="0"/>
      <c r="XCF3" s="0"/>
      <c r="XCG3" s="0"/>
      <c r="XCH3" s="0"/>
      <c r="XCI3" s="0"/>
      <c r="XCJ3" s="0"/>
      <c r="XCK3" s="0"/>
      <c r="XCL3" s="0"/>
      <c r="XCM3" s="0"/>
      <c r="XCN3" s="0"/>
      <c r="XCO3" s="0"/>
      <c r="XCP3" s="0"/>
      <c r="XCQ3" s="0"/>
      <c r="XCR3" s="0"/>
      <c r="XCS3" s="0"/>
      <c r="XCT3" s="0"/>
      <c r="XCU3" s="0"/>
      <c r="XCV3" s="0"/>
      <c r="XCW3" s="0"/>
      <c r="XCX3" s="0"/>
      <c r="XCY3" s="0"/>
      <c r="XCZ3" s="0"/>
      <c r="XDA3" s="0"/>
      <c r="XDB3" s="0"/>
      <c r="XDC3" s="0"/>
      <c r="XDD3" s="0"/>
      <c r="XDE3" s="0"/>
      <c r="XDF3" s="0"/>
      <c r="XDG3" s="0"/>
      <c r="XDH3" s="0"/>
      <c r="XDI3" s="0"/>
      <c r="XDJ3" s="0"/>
      <c r="XDK3" s="0"/>
      <c r="XDL3" s="0"/>
      <c r="XDM3" s="0"/>
      <c r="XDN3" s="0"/>
      <c r="XDO3" s="0"/>
      <c r="XDP3" s="0"/>
      <c r="XDQ3" s="0"/>
      <c r="XDR3" s="0"/>
      <c r="XDS3" s="0"/>
      <c r="XDT3" s="0"/>
      <c r="XDU3" s="0"/>
      <c r="XDV3" s="0"/>
      <c r="XDW3" s="0"/>
      <c r="XDX3" s="0"/>
      <c r="XDY3" s="0"/>
      <c r="XDZ3" s="0"/>
      <c r="XEA3" s="0"/>
      <c r="XEB3" s="0"/>
      <c r="XEC3" s="0"/>
      <c r="XED3" s="0"/>
      <c r="XEE3" s="0"/>
      <c r="XEF3" s="0"/>
      <c r="XEG3" s="0"/>
      <c r="XEH3" s="0"/>
      <c r="XEI3" s="0"/>
      <c r="XEJ3" s="0"/>
      <c r="XEK3" s="0"/>
      <c r="XEL3" s="0"/>
      <c r="XEM3" s="0"/>
      <c r="XEN3" s="0"/>
      <c r="XEO3" s="0"/>
      <c r="XEP3" s="0"/>
      <c r="XEQ3" s="0"/>
      <c r="XER3" s="0"/>
      <c r="XES3" s="0"/>
      <c r="XET3" s="0"/>
      <c r="XEU3" s="0"/>
      <c r="XEV3" s="0"/>
      <c r="XEW3" s="0"/>
      <c r="XEX3" s="0"/>
      <c r="XEY3" s="0"/>
      <c r="XEZ3" s="0"/>
      <c r="XFA3" s="0"/>
      <c r="XFB3" s="0"/>
      <c r="XFC3" s="0"/>
      <c r="XFD3" s="0"/>
    </row>
    <row r="4" customFormat="false" ht="15" hidden="false" customHeight="false" outlineLevel="0" collapsed="false">
      <c r="A4" s="23" t="n">
        <v>1030</v>
      </c>
      <c r="C4" s="23" t="s">
        <v>618</v>
      </c>
      <c r="D4" s="23" t="s">
        <v>619</v>
      </c>
      <c r="E4" s="23" t="s">
        <v>620</v>
      </c>
      <c r="F4" s="23" t="n">
        <v>2024</v>
      </c>
      <c r="G4" s="23" t="s">
        <v>621</v>
      </c>
      <c r="H4" s="23" t="n">
        <v>1</v>
      </c>
      <c r="I4" s="23" t="s">
        <v>51</v>
      </c>
      <c r="J4" s="23" t="s">
        <v>33</v>
      </c>
      <c r="K4" s="27" t="s">
        <v>94</v>
      </c>
      <c r="L4" s="23" t="n">
        <v>120</v>
      </c>
      <c r="M4" s="23" t="n">
        <v>1</v>
      </c>
      <c r="N4" s="24" t="n">
        <v>14</v>
      </c>
      <c r="O4" s="24" t="n">
        <f aca="false">L4*M4*N4</f>
        <v>1680</v>
      </c>
      <c r="Q4" s="24" t="n">
        <v>5</v>
      </c>
      <c r="R4" s="23" t="s">
        <v>184</v>
      </c>
      <c r="S4" s="23" t="n">
        <v>57</v>
      </c>
      <c r="T4" s="23" t="n">
        <v>10</v>
      </c>
      <c r="U4" s="23" t="n">
        <v>8</v>
      </c>
      <c r="V4" s="23" t="n">
        <v>8</v>
      </c>
      <c r="W4" s="26" t="n">
        <f aca="false">T4*(SQRT(V4))</f>
        <v>28.2842712474619</v>
      </c>
      <c r="X4" s="23"/>
      <c r="Y4" s="23" t="n">
        <v>19</v>
      </c>
      <c r="Z4" s="23" t="n">
        <v>10</v>
      </c>
      <c r="AA4" s="23" t="n">
        <v>8</v>
      </c>
      <c r="AB4" s="23" t="n">
        <v>8</v>
      </c>
      <c r="AC4" s="26" t="n">
        <f aca="false">Z4*(SQRT(AB4))</f>
        <v>28.2842712474619</v>
      </c>
      <c r="AD4" s="23"/>
    </row>
    <row r="5" s="13" customFormat="true" ht="16.4" hidden="false" customHeight="false" outlineLevel="0" collapsed="false">
      <c r="A5" s="23" t="n">
        <v>1129</v>
      </c>
      <c r="B5" s="23"/>
      <c r="C5" s="41" t="s">
        <v>486</v>
      </c>
      <c r="D5" s="41" t="s">
        <v>626</v>
      </c>
      <c r="E5" s="41" t="s">
        <v>488</v>
      </c>
      <c r="F5" s="41" t="n">
        <v>2015</v>
      </c>
      <c r="G5" s="42" t="s">
        <v>489</v>
      </c>
      <c r="H5" s="23" t="n">
        <v>1</v>
      </c>
      <c r="I5" s="23" t="s">
        <v>32</v>
      </c>
      <c r="J5" s="23" t="s">
        <v>33</v>
      </c>
      <c r="K5" s="27"/>
      <c r="L5" s="23" t="n">
        <v>360</v>
      </c>
      <c r="M5" s="23" t="n">
        <v>1</v>
      </c>
      <c r="N5" s="24" t="n">
        <v>21</v>
      </c>
      <c r="O5" s="24" t="n">
        <f aca="false">L5*M5*N5</f>
        <v>7560</v>
      </c>
      <c r="P5" s="23"/>
      <c r="Q5" s="24" t="n">
        <v>5</v>
      </c>
      <c r="R5" s="23" t="s">
        <v>639</v>
      </c>
      <c r="S5" s="23" t="n">
        <v>21</v>
      </c>
      <c r="T5" s="23" t="n">
        <v>3</v>
      </c>
      <c r="U5" s="23" t="n">
        <v>8</v>
      </c>
      <c r="V5" s="23" t="n">
        <v>8</v>
      </c>
      <c r="W5" s="26" t="n">
        <f aca="false">T5*(SQRT(V5))</f>
        <v>8.48528137423857</v>
      </c>
      <c r="X5" s="23"/>
      <c r="Y5" s="23" t="n">
        <v>9</v>
      </c>
      <c r="Z5" s="23" t="n">
        <v>0.7</v>
      </c>
      <c r="AA5" s="23" t="n">
        <v>8</v>
      </c>
      <c r="AB5" s="23" t="n">
        <v>8</v>
      </c>
      <c r="AC5" s="26" t="n">
        <f aca="false">Z5*(SQRT(AB5))</f>
        <v>1.97989898732233</v>
      </c>
      <c r="AD5" s="23"/>
    </row>
    <row r="6" customFormat="false" ht="15" hidden="false" customHeight="false" outlineLevel="0" collapsed="false">
      <c r="A6" s="23" t="n">
        <v>1287</v>
      </c>
      <c r="C6" s="23" t="s">
        <v>37</v>
      </c>
      <c r="D6" s="23" t="s">
        <v>38</v>
      </c>
      <c r="E6" s="23" t="s">
        <v>39</v>
      </c>
      <c r="F6" s="23" t="n">
        <v>2024</v>
      </c>
      <c r="G6" s="23" t="s">
        <v>40</v>
      </c>
      <c r="H6" s="23" t="n">
        <v>1</v>
      </c>
      <c r="I6" s="23" t="s">
        <v>32</v>
      </c>
      <c r="J6" s="23" t="s">
        <v>33</v>
      </c>
      <c r="K6" s="27" t="s">
        <v>41</v>
      </c>
      <c r="L6" s="23" t="n">
        <v>300</v>
      </c>
      <c r="M6" s="23" t="n">
        <v>1</v>
      </c>
      <c r="N6" s="24" t="n">
        <v>21</v>
      </c>
      <c r="O6" s="24" t="n">
        <f aca="false">L6*M6*N6</f>
        <v>6300</v>
      </c>
      <c r="Q6" s="24" t="n">
        <v>5</v>
      </c>
      <c r="R6" s="46"/>
      <c r="S6" s="46"/>
      <c r="T6" s="46"/>
      <c r="U6" s="46"/>
      <c r="V6" s="46"/>
      <c r="W6" s="46"/>
      <c r="X6" s="23"/>
      <c r="Y6" s="46"/>
      <c r="Z6" s="46"/>
      <c r="AA6" s="46"/>
      <c r="AB6" s="46"/>
      <c r="AC6" s="46"/>
      <c r="AD6" s="23"/>
    </row>
    <row r="7" customFormat="false" ht="15" hidden="false" customHeight="false" outlineLevel="0" collapsed="false">
      <c r="A7" s="23" t="n">
        <v>1407</v>
      </c>
      <c r="C7" s="23" t="s">
        <v>42</v>
      </c>
      <c r="D7" s="23" t="s">
        <v>43</v>
      </c>
      <c r="E7" s="23" t="s">
        <v>44</v>
      </c>
      <c r="F7" s="23" t="n">
        <v>2021</v>
      </c>
      <c r="G7" s="23" t="s">
        <v>45</v>
      </c>
      <c r="H7" s="23" t="n">
        <v>1</v>
      </c>
      <c r="I7" s="23" t="s">
        <v>32</v>
      </c>
      <c r="J7" s="23" t="s">
        <v>33</v>
      </c>
      <c r="K7" s="27" t="s">
        <v>41</v>
      </c>
      <c r="L7" s="23" t="n">
        <v>60</v>
      </c>
      <c r="M7" s="23" t="n">
        <v>1</v>
      </c>
      <c r="N7" s="24" t="n">
        <v>14</v>
      </c>
      <c r="O7" s="24" t="n">
        <f aca="false">L7*M7*N7</f>
        <v>840</v>
      </c>
      <c r="Q7" s="24" t="n">
        <v>5</v>
      </c>
      <c r="R7" s="23" t="s">
        <v>70</v>
      </c>
      <c r="S7" s="23" t="n">
        <v>12</v>
      </c>
      <c r="T7" s="23" t="n">
        <v>8</v>
      </c>
      <c r="U7" s="23" t="n">
        <v>8</v>
      </c>
      <c r="V7" s="23" t="n">
        <v>8</v>
      </c>
      <c r="W7" s="26" t="n">
        <f aca="false">T7*(SQRT(V7))</f>
        <v>22.6274169979695</v>
      </c>
      <c r="X7" s="23"/>
      <c r="Y7" s="23" t="n">
        <v>24</v>
      </c>
      <c r="Z7" s="23" t="n">
        <v>18</v>
      </c>
      <c r="AA7" s="23" t="n">
        <v>8</v>
      </c>
      <c r="AB7" s="23" t="n">
        <v>8</v>
      </c>
      <c r="AC7" s="26" t="n">
        <f aca="false">Z7*(SQRT(AB7))</f>
        <v>50.9116882454314</v>
      </c>
      <c r="AD7" s="23"/>
    </row>
    <row r="8" customFormat="false" ht="16.4" hidden="false" customHeight="false" outlineLevel="0" collapsed="false">
      <c r="A8" s="23" t="n">
        <v>1420</v>
      </c>
      <c r="C8" s="41" t="s">
        <v>794</v>
      </c>
      <c r="D8" s="41" t="s">
        <v>795</v>
      </c>
      <c r="E8" s="41" t="s">
        <v>796</v>
      </c>
      <c r="F8" s="41" t="n">
        <v>2017</v>
      </c>
      <c r="G8" s="42" t="s">
        <v>797</v>
      </c>
      <c r="H8" s="23" t="n">
        <v>1</v>
      </c>
      <c r="I8" s="23" t="s">
        <v>51</v>
      </c>
      <c r="J8" s="23" t="s">
        <v>33</v>
      </c>
      <c r="K8" s="27" t="s">
        <v>36</v>
      </c>
      <c r="L8" s="23" t="n">
        <v>360</v>
      </c>
      <c r="M8" s="23" t="n">
        <v>1</v>
      </c>
      <c r="N8" s="24" t="n">
        <v>21</v>
      </c>
      <c r="O8" s="24" t="n">
        <f aca="false">L8*M8*N8</f>
        <v>7560</v>
      </c>
      <c r="Q8" s="24" t="n">
        <v>5</v>
      </c>
      <c r="R8" s="46"/>
      <c r="S8" s="46"/>
      <c r="T8" s="46"/>
      <c r="U8" s="46"/>
      <c r="V8" s="46"/>
      <c r="W8" s="46"/>
      <c r="X8" s="23"/>
      <c r="Y8" s="46"/>
      <c r="Z8" s="46"/>
      <c r="AA8" s="46"/>
      <c r="AB8" s="46"/>
      <c r="AC8" s="46"/>
      <c r="AD8" s="23"/>
    </row>
    <row r="9" customFormat="false" ht="15" hidden="false" customHeight="false" outlineLevel="0" collapsed="false">
      <c r="A9" s="23" t="n">
        <v>1422</v>
      </c>
      <c r="B9" s="23" t="n">
        <v>35727683</v>
      </c>
      <c r="C9" s="23" t="s">
        <v>490</v>
      </c>
      <c r="D9" s="23" t="s">
        <v>491</v>
      </c>
      <c r="E9" s="23" t="s">
        <v>492</v>
      </c>
      <c r="F9" s="23" t="n">
        <v>2022</v>
      </c>
      <c r="G9" s="23" t="s">
        <v>493</v>
      </c>
      <c r="H9" s="23" t="n">
        <v>1</v>
      </c>
      <c r="I9" s="23" t="s">
        <v>32</v>
      </c>
      <c r="J9" s="23" t="s">
        <v>33</v>
      </c>
      <c r="L9" s="23" t="n">
        <v>360</v>
      </c>
      <c r="M9" s="23" t="n">
        <v>1</v>
      </c>
      <c r="N9" s="24" t="s">
        <v>41</v>
      </c>
      <c r="Q9" s="24" t="n">
        <v>5</v>
      </c>
      <c r="R9" s="46"/>
      <c r="S9" s="46"/>
      <c r="T9" s="46"/>
      <c r="U9" s="46"/>
      <c r="V9" s="46"/>
      <c r="W9" s="46"/>
      <c r="X9" s="23"/>
      <c r="Y9" s="46"/>
      <c r="Z9" s="46"/>
      <c r="AA9" s="46"/>
      <c r="AB9" s="46"/>
      <c r="AC9" s="46"/>
      <c r="AD9" s="23"/>
    </row>
    <row r="10" customFormat="false" ht="15" hidden="false" customHeight="false" outlineLevel="0" collapsed="false">
      <c r="A10" s="23" t="n">
        <v>1502</v>
      </c>
      <c r="C10" s="23" t="s">
        <v>47</v>
      </c>
      <c r="D10" s="23" t="s">
        <v>48</v>
      </c>
      <c r="E10" s="23" t="s">
        <v>49</v>
      </c>
      <c r="F10" s="23" t="n">
        <v>2018</v>
      </c>
      <c r="G10" s="23" t="s">
        <v>50</v>
      </c>
      <c r="H10" s="23" t="n">
        <v>1</v>
      </c>
      <c r="I10" s="23" t="s">
        <v>51</v>
      </c>
      <c r="J10" s="27" t="s">
        <v>41</v>
      </c>
      <c r="L10" s="23" t="n">
        <v>360</v>
      </c>
      <c r="M10" s="23" t="n">
        <v>1</v>
      </c>
      <c r="N10" s="24" t="n">
        <v>7</v>
      </c>
      <c r="O10" s="24" t="n">
        <f aca="false">L10*M10*N10</f>
        <v>2520</v>
      </c>
      <c r="Q10" s="24" t="n">
        <v>5</v>
      </c>
      <c r="R10" s="46"/>
      <c r="S10" s="46"/>
      <c r="T10" s="46"/>
      <c r="U10" s="46"/>
      <c r="V10" s="46"/>
      <c r="W10" s="46"/>
      <c r="X10" s="23"/>
      <c r="Y10" s="46"/>
      <c r="Z10" s="46"/>
      <c r="AA10" s="46"/>
      <c r="AB10" s="46"/>
      <c r="AC10" s="46"/>
      <c r="AD10" s="23"/>
    </row>
    <row r="11" customFormat="false" ht="15" hidden="false" customHeight="false" outlineLevel="0" collapsed="false">
      <c r="A11" s="23" t="n">
        <v>1764</v>
      </c>
      <c r="B11" s="23" t="n">
        <v>30740068</v>
      </c>
      <c r="C11" s="23" t="s">
        <v>62</v>
      </c>
      <c r="D11" s="23" t="s">
        <v>63</v>
      </c>
      <c r="E11" s="23" t="s">
        <v>64</v>
      </c>
      <c r="F11" s="23" t="n">
        <v>2019</v>
      </c>
      <c r="G11" s="23" t="s">
        <v>65</v>
      </c>
      <c r="H11" s="23" t="n">
        <v>1</v>
      </c>
      <c r="I11" s="23" t="s">
        <v>32</v>
      </c>
      <c r="J11" s="23" t="s">
        <v>33</v>
      </c>
      <c r="K11" s="27" t="s">
        <v>36</v>
      </c>
      <c r="L11" s="23" t="n">
        <v>240</v>
      </c>
      <c r="M11" s="23" t="n">
        <v>1</v>
      </c>
      <c r="N11" s="24" t="n">
        <v>21</v>
      </c>
      <c r="O11" s="24" t="n">
        <f aca="false">N11*L11</f>
        <v>5040</v>
      </c>
      <c r="Q11" s="24" t="n">
        <v>5</v>
      </c>
      <c r="R11" s="46"/>
      <c r="S11" s="46"/>
      <c r="T11" s="46"/>
      <c r="U11" s="46"/>
      <c r="V11" s="46"/>
      <c r="W11" s="46"/>
      <c r="X11" s="23"/>
      <c r="Y11" s="46"/>
      <c r="Z11" s="46"/>
      <c r="AA11" s="46"/>
      <c r="AB11" s="46"/>
      <c r="AC11" s="46"/>
      <c r="AD11" s="23"/>
    </row>
    <row r="12" customFormat="false" ht="16.4" hidden="false" customHeight="false" outlineLevel="0" collapsed="false">
      <c r="A12" s="23" t="n">
        <v>1767</v>
      </c>
      <c r="C12" s="41" t="s">
        <v>631</v>
      </c>
      <c r="D12" s="41" t="s">
        <v>632</v>
      </c>
      <c r="E12" s="41" t="s">
        <v>316</v>
      </c>
      <c r="F12" s="41" t="n">
        <v>2019</v>
      </c>
      <c r="G12" s="42" t="s">
        <v>633</v>
      </c>
      <c r="H12" s="23" t="n">
        <v>1</v>
      </c>
      <c r="I12" s="23" t="s">
        <v>32</v>
      </c>
      <c r="J12" s="23" t="s">
        <v>33</v>
      </c>
      <c r="L12" s="23" t="n">
        <v>360</v>
      </c>
      <c r="M12" s="23" t="n">
        <v>1</v>
      </c>
      <c r="N12" s="24" t="n">
        <v>14</v>
      </c>
      <c r="O12" s="24" t="n">
        <f aca="false">L12*M12*N12</f>
        <v>5040</v>
      </c>
      <c r="Q12" s="24" t="n">
        <v>30</v>
      </c>
      <c r="R12" s="46"/>
      <c r="S12" s="46"/>
      <c r="T12" s="46"/>
      <c r="U12" s="46"/>
      <c r="V12" s="46"/>
      <c r="W12" s="46"/>
      <c r="X12" s="23"/>
      <c r="Y12" s="46"/>
      <c r="Z12" s="46"/>
      <c r="AA12" s="46"/>
      <c r="AB12" s="46"/>
      <c r="AC12" s="46"/>
      <c r="AD12" s="23"/>
    </row>
    <row r="13" customFormat="false" ht="15" hidden="false" customHeight="false" outlineLevel="0" collapsed="false">
      <c r="A13" s="23" t="n">
        <v>1983</v>
      </c>
      <c r="C13" s="23" t="s">
        <v>72</v>
      </c>
      <c r="D13" s="23" t="s">
        <v>73</v>
      </c>
      <c r="E13" s="23" t="s">
        <v>74</v>
      </c>
      <c r="F13" s="23" t="n">
        <v>2017</v>
      </c>
      <c r="G13" s="23" t="s">
        <v>75</v>
      </c>
      <c r="H13" s="23" t="n">
        <v>1</v>
      </c>
      <c r="I13" s="23" t="s">
        <v>51</v>
      </c>
      <c r="J13" s="23" t="s">
        <v>33</v>
      </c>
      <c r="L13" s="23" t="n">
        <v>180</v>
      </c>
      <c r="M13" s="23" t="n">
        <v>1</v>
      </c>
      <c r="N13" s="24" t="n">
        <v>15</v>
      </c>
      <c r="O13" s="24" t="n">
        <f aca="false">L13*M13*N13</f>
        <v>2700</v>
      </c>
      <c r="P13" s="23" t="s">
        <v>76</v>
      </c>
      <c r="Q13" s="24" t="s">
        <v>41</v>
      </c>
      <c r="R13" s="46"/>
      <c r="S13" s="46"/>
      <c r="T13" s="46"/>
      <c r="U13" s="46"/>
      <c r="V13" s="46"/>
      <c r="W13" s="46"/>
      <c r="X13" s="23"/>
      <c r="Y13" s="46"/>
      <c r="Z13" s="46"/>
      <c r="AA13" s="46"/>
      <c r="AB13" s="46"/>
      <c r="AC13" s="46"/>
      <c r="AD13" s="23"/>
    </row>
    <row r="14" customFormat="false" ht="15" hidden="false" customHeight="false" outlineLevel="0" collapsed="false">
      <c r="A14" s="23" t="n">
        <v>2075</v>
      </c>
      <c r="B14" s="23" t="n">
        <v>35814204</v>
      </c>
      <c r="C14" s="23" t="s">
        <v>80</v>
      </c>
      <c r="D14" s="23" t="s">
        <v>81</v>
      </c>
      <c r="E14" s="23" t="s">
        <v>82</v>
      </c>
      <c r="F14" s="23" t="n">
        <v>2022</v>
      </c>
      <c r="G14" s="23" t="s">
        <v>83</v>
      </c>
      <c r="H14" s="23" t="n">
        <v>1</v>
      </c>
      <c r="I14" s="23" t="s">
        <v>32</v>
      </c>
      <c r="J14" s="23" t="s">
        <v>33</v>
      </c>
      <c r="K14" s="27" t="s">
        <v>36</v>
      </c>
      <c r="L14" s="23" t="n">
        <v>180</v>
      </c>
      <c r="M14" s="23" t="n">
        <v>1</v>
      </c>
      <c r="N14" s="24" t="n">
        <v>21</v>
      </c>
      <c r="O14" s="24" t="n">
        <f aca="false">N14*L14</f>
        <v>3780</v>
      </c>
      <c r="Q14" s="24" t="n">
        <v>10</v>
      </c>
      <c r="R14" s="46"/>
      <c r="S14" s="46"/>
      <c r="T14" s="46"/>
      <c r="U14" s="46"/>
      <c r="V14" s="46"/>
      <c r="W14" s="46"/>
      <c r="X14" s="23"/>
      <c r="Y14" s="46"/>
      <c r="Z14" s="46"/>
      <c r="AA14" s="46"/>
      <c r="AB14" s="46"/>
      <c r="AC14" s="46"/>
      <c r="AD14" s="23"/>
    </row>
    <row r="15" customFormat="false" ht="15" hidden="false" customHeight="false" outlineLevel="0" collapsed="false">
      <c r="A15" s="23" t="n">
        <v>2165</v>
      </c>
      <c r="C15" s="23" t="s">
        <v>495</v>
      </c>
      <c r="D15" s="23" t="s">
        <v>496</v>
      </c>
      <c r="E15" s="23" t="s">
        <v>497</v>
      </c>
      <c r="F15" s="23" t="n">
        <v>2020</v>
      </c>
      <c r="G15" s="23" t="s">
        <v>498</v>
      </c>
      <c r="H15" s="23" t="n">
        <v>1</v>
      </c>
      <c r="I15" s="23" t="s">
        <v>32</v>
      </c>
      <c r="J15" s="23" t="s">
        <v>33</v>
      </c>
      <c r="K15" s="27" t="s">
        <v>79</v>
      </c>
      <c r="L15" s="23" t="n">
        <v>360</v>
      </c>
      <c r="M15" s="23" t="n">
        <v>1</v>
      </c>
      <c r="N15" s="24" t="n">
        <v>21</v>
      </c>
      <c r="O15" s="24" t="n">
        <f aca="false">L15*M15*N15</f>
        <v>7560</v>
      </c>
      <c r="Q15" s="24" t="n">
        <v>5</v>
      </c>
      <c r="R15" s="46"/>
      <c r="S15" s="46"/>
      <c r="T15" s="46"/>
      <c r="U15" s="46"/>
      <c r="V15" s="46"/>
      <c r="W15" s="46"/>
      <c r="X15" s="23"/>
      <c r="Y15" s="46"/>
      <c r="Z15" s="46"/>
      <c r="AA15" s="46"/>
      <c r="AB15" s="46"/>
      <c r="AC15" s="46"/>
      <c r="AD15" s="23"/>
    </row>
    <row r="16" customFormat="false" ht="15" hidden="false" customHeight="false" outlineLevel="0" collapsed="false">
      <c r="A16" s="23" t="n">
        <v>2172</v>
      </c>
      <c r="B16" s="23" t="n">
        <v>26487859</v>
      </c>
      <c r="C16" s="23" t="s">
        <v>798</v>
      </c>
      <c r="D16" s="23" t="s">
        <v>799</v>
      </c>
      <c r="E16" s="23" t="s">
        <v>800</v>
      </c>
      <c r="F16" s="23" t="n">
        <v>2015</v>
      </c>
      <c r="G16" s="23" t="s">
        <v>801</v>
      </c>
      <c r="H16" s="23" t="n">
        <v>1</v>
      </c>
      <c r="I16" s="23" t="s">
        <v>32</v>
      </c>
      <c r="J16" s="23" t="s">
        <v>33</v>
      </c>
      <c r="K16" s="27" t="s">
        <v>53</v>
      </c>
      <c r="L16" s="23" t="n">
        <v>360</v>
      </c>
      <c r="M16" s="23" t="n">
        <v>1</v>
      </c>
      <c r="N16" s="24" t="n">
        <v>28</v>
      </c>
      <c r="O16" s="24" t="n">
        <f aca="false">N16*L16</f>
        <v>10080</v>
      </c>
      <c r="Q16" s="24" t="n">
        <v>5</v>
      </c>
      <c r="R16" s="46"/>
      <c r="S16" s="46"/>
      <c r="T16" s="46"/>
      <c r="U16" s="46"/>
      <c r="V16" s="46"/>
      <c r="W16" s="46"/>
      <c r="X16" s="23"/>
      <c r="Y16" s="46"/>
      <c r="Z16" s="46"/>
      <c r="AA16" s="46"/>
      <c r="AB16" s="46"/>
      <c r="AC16" s="46"/>
      <c r="AD16" s="23"/>
    </row>
    <row r="17" customFormat="false" ht="15" hidden="false" customHeight="false" outlineLevel="0" collapsed="false">
      <c r="A17" s="23" t="n">
        <v>2300</v>
      </c>
      <c r="B17" s="23" t="n">
        <v>29561292</v>
      </c>
      <c r="C17" s="23" t="s">
        <v>85</v>
      </c>
      <c r="D17" s="23" t="s">
        <v>86</v>
      </c>
      <c r="E17" s="23" t="s">
        <v>87</v>
      </c>
      <c r="F17" s="23" t="n">
        <v>2018</v>
      </c>
      <c r="G17" s="23" t="s">
        <v>88</v>
      </c>
      <c r="H17" s="23" t="n">
        <v>1</v>
      </c>
      <c r="I17" s="23" t="s">
        <v>51</v>
      </c>
      <c r="J17" s="23" t="s">
        <v>33</v>
      </c>
      <c r="L17" s="23" t="n">
        <v>360</v>
      </c>
      <c r="M17" s="23" t="n">
        <v>1</v>
      </c>
      <c r="N17" s="24" t="n">
        <v>28</v>
      </c>
      <c r="O17" s="24" t="n">
        <f aca="false">N17*L17</f>
        <v>10080</v>
      </c>
      <c r="Q17" s="24" t="n">
        <v>5</v>
      </c>
      <c r="R17" s="46"/>
      <c r="S17" s="46"/>
      <c r="T17" s="46"/>
      <c r="U17" s="46"/>
      <c r="V17" s="46"/>
      <c r="W17" s="46"/>
      <c r="X17" s="23"/>
      <c r="Y17" s="46"/>
      <c r="Z17" s="46"/>
      <c r="AA17" s="46"/>
      <c r="AB17" s="46"/>
      <c r="AC17" s="46"/>
      <c r="AD17" s="23"/>
    </row>
    <row r="18" customFormat="false" ht="15" hidden="false" customHeight="false" outlineLevel="0" collapsed="false">
      <c r="A18" s="23" t="n">
        <v>2504</v>
      </c>
      <c r="B18" s="23" t="n">
        <v>36162616</v>
      </c>
      <c r="C18" s="23" t="s">
        <v>99</v>
      </c>
      <c r="D18" s="23" t="s">
        <v>100</v>
      </c>
      <c r="E18" s="23" t="s">
        <v>101</v>
      </c>
      <c r="F18" s="23" t="n">
        <v>2022</v>
      </c>
      <c r="G18" s="23" t="s">
        <v>102</v>
      </c>
      <c r="H18" s="23" t="n">
        <v>1</v>
      </c>
      <c r="I18" s="23" t="s">
        <v>51</v>
      </c>
      <c r="J18" s="23" t="s">
        <v>33</v>
      </c>
      <c r="L18" s="23" t="n">
        <v>360</v>
      </c>
      <c r="M18" s="23" t="n">
        <v>1</v>
      </c>
      <c r="N18" s="24" t="n">
        <v>21</v>
      </c>
      <c r="O18" s="24" t="n">
        <f aca="false">N18*L18</f>
        <v>7560</v>
      </c>
      <c r="Q18" s="24" t="n">
        <v>3</v>
      </c>
      <c r="R18" s="46"/>
      <c r="S18" s="46"/>
      <c r="T18" s="46"/>
      <c r="U18" s="46"/>
      <c r="V18" s="46"/>
      <c r="W18" s="46"/>
      <c r="X18" s="23"/>
      <c r="Y18" s="46"/>
      <c r="Z18" s="46"/>
      <c r="AA18" s="46"/>
      <c r="AB18" s="46"/>
      <c r="AC18" s="46"/>
      <c r="AD18" s="23"/>
    </row>
    <row r="19" customFormat="false" ht="15" hidden="false" customHeight="false" outlineLevel="0" collapsed="false">
      <c r="A19" s="23" t="n">
        <v>2506</v>
      </c>
      <c r="B19" s="23" t="n">
        <v>30735600</v>
      </c>
      <c r="C19" s="23" t="s">
        <v>104</v>
      </c>
      <c r="D19" s="23" t="s">
        <v>105</v>
      </c>
      <c r="E19" s="23" t="s">
        <v>106</v>
      </c>
      <c r="F19" s="23" t="n">
        <v>2019</v>
      </c>
      <c r="G19" s="23" t="s">
        <v>107</v>
      </c>
      <c r="H19" s="23" t="n">
        <v>1</v>
      </c>
      <c r="I19" s="23" t="s">
        <v>32</v>
      </c>
      <c r="J19" s="23" t="s">
        <v>33</v>
      </c>
      <c r="L19" s="23" t="n">
        <v>360</v>
      </c>
      <c r="M19" s="23" t="n">
        <v>1</v>
      </c>
      <c r="N19" s="24" t="n">
        <v>14</v>
      </c>
      <c r="O19" s="24" t="n">
        <f aca="false">N19*L19</f>
        <v>5040</v>
      </c>
      <c r="Q19" s="24" t="n">
        <v>5</v>
      </c>
      <c r="R19" s="46"/>
      <c r="S19" s="46"/>
      <c r="T19" s="46"/>
      <c r="U19" s="46"/>
      <c r="V19" s="46"/>
      <c r="W19" s="46"/>
      <c r="X19" s="23"/>
      <c r="Y19" s="46"/>
      <c r="Z19" s="46"/>
      <c r="AA19" s="46"/>
      <c r="AB19" s="46"/>
      <c r="AC19" s="46"/>
      <c r="AD19" s="23"/>
    </row>
    <row r="20" customFormat="false" ht="15" hidden="false" customHeight="false" outlineLevel="0" collapsed="false">
      <c r="A20" s="23" t="n">
        <v>2627</v>
      </c>
      <c r="B20" s="23" t="n">
        <v>32502515</v>
      </c>
      <c r="C20" s="23" t="s">
        <v>802</v>
      </c>
      <c r="D20" s="23" t="s">
        <v>803</v>
      </c>
      <c r="E20" s="23" t="s">
        <v>276</v>
      </c>
      <c r="F20" s="23" t="n">
        <v>2020</v>
      </c>
      <c r="G20" s="23" t="s">
        <v>804</v>
      </c>
      <c r="H20" s="23" t="n">
        <v>1</v>
      </c>
      <c r="I20" s="23" t="s">
        <v>32</v>
      </c>
      <c r="J20" s="23" t="s">
        <v>33</v>
      </c>
      <c r="L20" s="23" t="n">
        <v>480</v>
      </c>
      <c r="M20" s="23" t="n">
        <v>1</v>
      </c>
      <c r="N20" s="24" t="n">
        <v>21</v>
      </c>
      <c r="O20" s="24" t="n">
        <f aca="false">N20*L20</f>
        <v>10080</v>
      </c>
      <c r="Q20" s="24" t="n">
        <v>5</v>
      </c>
      <c r="R20" s="46"/>
      <c r="S20" s="46"/>
      <c r="T20" s="46"/>
      <c r="U20" s="46"/>
      <c r="V20" s="46"/>
      <c r="W20" s="46"/>
      <c r="X20" s="23"/>
      <c r="Y20" s="46"/>
      <c r="Z20" s="46"/>
      <c r="AA20" s="46"/>
      <c r="AB20" s="46"/>
      <c r="AC20" s="46"/>
      <c r="AD20" s="23"/>
    </row>
    <row r="21" customFormat="false" ht="15" hidden="false" customHeight="false" outlineLevel="0" collapsed="false">
      <c r="A21" s="23" t="n">
        <v>2744</v>
      </c>
      <c r="B21" s="23" t="n">
        <v>37259443</v>
      </c>
      <c r="C21" s="23" t="s">
        <v>113</v>
      </c>
      <c r="D21" s="23" t="s">
        <v>114</v>
      </c>
      <c r="E21" s="23" t="s">
        <v>115</v>
      </c>
      <c r="F21" s="23" t="n">
        <v>2023</v>
      </c>
      <c r="G21" s="23" t="s">
        <v>116</v>
      </c>
      <c r="H21" s="23" t="n">
        <v>1</v>
      </c>
      <c r="I21" s="23" t="s">
        <v>51</v>
      </c>
      <c r="J21" s="23" t="s">
        <v>33</v>
      </c>
      <c r="L21" s="23" t="n">
        <v>360</v>
      </c>
      <c r="M21" s="23" t="n">
        <v>1</v>
      </c>
      <c r="N21" s="24" t="n">
        <v>21</v>
      </c>
      <c r="O21" s="24" t="n">
        <f aca="false">N21*L21</f>
        <v>7560</v>
      </c>
      <c r="Q21" s="24" t="n">
        <v>3</v>
      </c>
      <c r="R21" s="46"/>
      <c r="S21" s="46"/>
      <c r="T21" s="46"/>
      <c r="U21" s="46"/>
      <c r="V21" s="46"/>
      <c r="W21" s="46"/>
      <c r="X21" s="23"/>
      <c r="Y21" s="46"/>
      <c r="Z21" s="46"/>
      <c r="AA21" s="46"/>
      <c r="AB21" s="46"/>
      <c r="AC21" s="46"/>
      <c r="AD21" s="23"/>
    </row>
    <row r="22" customFormat="false" ht="15" hidden="false" customHeight="false" outlineLevel="0" collapsed="false">
      <c r="A22" s="23" t="n">
        <v>2795</v>
      </c>
      <c r="C22" s="23" t="s">
        <v>119</v>
      </c>
      <c r="D22" s="23" t="s">
        <v>120</v>
      </c>
      <c r="E22" s="23" t="s">
        <v>121</v>
      </c>
      <c r="F22" s="23" t="n">
        <v>2022</v>
      </c>
      <c r="G22" s="23" t="s">
        <v>122</v>
      </c>
      <c r="H22" s="23" t="n">
        <v>1</v>
      </c>
      <c r="I22" s="23" t="s">
        <v>123</v>
      </c>
      <c r="J22" s="23" t="s">
        <v>33</v>
      </c>
      <c r="L22" s="23" t="n">
        <v>360</v>
      </c>
      <c r="M22" s="23" t="n">
        <v>1</v>
      </c>
      <c r="N22" s="24" t="n">
        <v>28</v>
      </c>
      <c r="O22" s="24" t="n">
        <f aca="false">L22*M22*N22</f>
        <v>10080</v>
      </c>
      <c r="Q22" s="24" t="n">
        <v>10</v>
      </c>
      <c r="R22" s="46"/>
      <c r="S22" s="46"/>
      <c r="T22" s="46"/>
      <c r="U22" s="46"/>
      <c r="V22" s="46"/>
      <c r="W22" s="46"/>
      <c r="X22" s="23"/>
      <c r="Y22" s="46"/>
      <c r="Z22" s="46"/>
      <c r="AA22" s="46"/>
      <c r="AB22" s="46"/>
      <c r="AC22" s="46"/>
      <c r="AD22" s="23"/>
    </row>
    <row r="23" customFormat="false" ht="15" hidden="false" customHeight="false" outlineLevel="0" collapsed="false">
      <c r="A23" s="37" t="n">
        <v>2949</v>
      </c>
      <c r="B23" s="37"/>
      <c r="C23" s="37" t="s">
        <v>640</v>
      </c>
      <c r="D23" s="37" t="s">
        <v>641</v>
      </c>
      <c r="E23" s="37" t="s">
        <v>642</v>
      </c>
      <c r="F23" s="37" t="n">
        <v>2019</v>
      </c>
      <c r="G23" s="37" t="s">
        <v>643</v>
      </c>
      <c r="H23" s="23" t="n">
        <v>1</v>
      </c>
      <c r="I23" s="23" t="s">
        <v>32</v>
      </c>
      <c r="J23" s="23" t="s">
        <v>33</v>
      </c>
      <c r="L23" s="23" t="n">
        <v>480</v>
      </c>
      <c r="M23" s="23" t="n">
        <v>1</v>
      </c>
      <c r="N23" s="24" t="n">
        <v>1</v>
      </c>
      <c r="O23" s="45" t="n">
        <f aca="false">L23*M23*N23</f>
        <v>480</v>
      </c>
      <c r="Q23" s="24" t="s">
        <v>41</v>
      </c>
      <c r="R23" s="46"/>
      <c r="S23" s="46"/>
      <c r="T23" s="46"/>
      <c r="U23" s="46"/>
      <c r="V23" s="46"/>
      <c r="W23" s="46"/>
      <c r="X23" s="23"/>
      <c r="Y23" s="46"/>
      <c r="Z23" s="46"/>
      <c r="AA23" s="46"/>
      <c r="AB23" s="46"/>
      <c r="AC23" s="46"/>
      <c r="AD23" s="23"/>
    </row>
    <row r="24" customFormat="false" ht="15" hidden="false" customHeight="false" outlineLevel="0" collapsed="false">
      <c r="A24" s="37" t="n">
        <v>2949</v>
      </c>
      <c r="B24" s="37"/>
      <c r="C24" s="37" t="s">
        <v>640</v>
      </c>
      <c r="D24" s="37" t="s">
        <v>641</v>
      </c>
      <c r="E24" s="37" t="s">
        <v>642</v>
      </c>
      <c r="F24" s="37" t="n">
        <v>2019</v>
      </c>
      <c r="G24" s="37" t="s">
        <v>643</v>
      </c>
      <c r="H24" s="23" t="n">
        <v>1</v>
      </c>
      <c r="I24" s="23" t="s">
        <v>32</v>
      </c>
      <c r="J24" s="23" t="s">
        <v>33</v>
      </c>
      <c r="L24" s="23" t="n">
        <v>480</v>
      </c>
      <c r="M24" s="23" t="n">
        <v>1</v>
      </c>
      <c r="N24" s="24" t="n">
        <v>3</v>
      </c>
      <c r="O24" s="45" t="n">
        <f aca="false">L24*M24*N24</f>
        <v>1440</v>
      </c>
      <c r="Q24" s="24" t="s">
        <v>41</v>
      </c>
      <c r="R24" s="46"/>
      <c r="S24" s="46"/>
      <c r="T24" s="46"/>
      <c r="U24" s="46"/>
      <c r="V24" s="46"/>
      <c r="W24" s="46"/>
      <c r="X24" s="23"/>
      <c r="Y24" s="46"/>
      <c r="Z24" s="46"/>
      <c r="AA24" s="46"/>
      <c r="AB24" s="46"/>
      <c r="AC24" s="46"/>
      <c r="AD24" s="23"/>
    </row>
    <row r="25" customFormat="false" ht="15" hidden="false" customHeight="false" outlineLevel="0" collapsed="false">
      <c r="A25" s="37" t="n">
        <v>2949</v>
      </c>
      <c r="B25" s="37"/>
      <c r="C25" s="37" t="s">
        <v>640</v>
      </c>
      <c r="D25" s="37" t="s">
        <v>641</v>
      </c>
      <c r="E25" s="37" t="s">
        <v>642</v>
      </c>
      <c r="F25" s="37" t="n">
        <v>2019</v>
      </c>
      <c r="G25" s="37" t="s">
        <v>643</v>
      </c>
      <c r="H25" s="23" t="n">
        <v>1</v>
      </c>
      <c r="I25" s="23" t="s">
        <v>32</v>
      </c>
      <c r="J25" s="23" t="s">
        <v>33</v>
      </c>
      <c r="L25" s="23" t="n">
        <v>480</v>
      </c>
      <c r="M25" s="23" t="n">
        <v>1</v>
      </c>
      <c r="N25" s="24" t="n">
        <v>5</v>
      </c>
      <c r="O25" s="45" t="n">
        <f aca="false">L25*M25*N25</f>
        <v>2400</v>
      </c>
      <c r="Q25" s="24" t="s">
        <v>41</v>
      </c>
      <c r="R25" s="46"/>
      <c r="S25" s="46"/>
      <c r="T25" s="46"/>
      <c r="U25" s="46"/>
      <c r="V25" s="46"/>
      <c r="W25" s="46"/>
      <c r="X25" s="23"/>
      <c r="Y25" s="46"/>
      <c r="Z25" s="46"/>
      <c r="AA25" s="46"/>
      <c r="AB25" s="46"/>
      <c r="AC25" s="46"/>
      <c r="AD25" s="23"/>
    </row>
    <row r="26" customFormat="false" ht="15" hidden="false" customHeight="false" outlineLevel="0" collapsed="false">
      <c r="A26" s="37" t="n">
        <v>2949</v>
      </c>
      <c r="B26" s="37"/>
      <c r="C26" s="37" t="s">
        <v>640</v>
      </c>
      <c r="D26" s="37" t="s">
        <v>641</v>
      </c>
      <c r="E26" s="37" t="s">
        <v>642</v>
      </c>
      <c r="F26" s="37" t="n">
        <v>2019</v>
      </c>
      <c r="G26" s="37" t="s">
        <v>643</v>
      </c>
      <c r="H26" s="23" t="n">
        <v>1</v>
      </c>
      <c r="I26" s="23" t="s">
        <v>32</v>
      </c>
      <c r="J26" s="23" t="s">
        <v>33</v>
      </c>
      <c r="L26" s="23" t="n">
        <v>480</v>
      </c>
      <c r="M26" s="23" t="n">
        <v>1</v>
      </c>
      <c r="N26" s="24" t="n">
        <v>7</v>
      </c>
      <c r="O26" s="45" t="n">
        <f aca="false">L26*M26*N26</f>
        <v>3360</v>
      </c>
      <c r="Q26" s="24" t="s">
        <v>41</v>
      </c>
      <c r="R26" s="46"/>
      <c r="S26" s="46"/>
      <c r="T26" s="46"/>
      <c r="U26" s="46"/>
      <c r="V26" s="46"/>
      <c r="W26" s="46"/>
      <c r="X26" s="23"/>
      <c r="Y26" s="46"/>
      <c r="Z26" s="46"/>
      <c r="AA26" s="46"/>
      <c r="AB26" s="46"/>
      <c r="AC26" s="46"/>
      <c r="AD26" s="23"/>
    </row>
    <row r="27" customFormat="false" ht="15" hidden="false" customHeight="false" outlineLevel="0" collapsed="false">
      <c r="A27" s="37" t="n">
        <v>2949</v>
      </c>
      <c r="B27" s="37"/>
      <c r="C27" s="37" t="s">
        <v>640</v>
      </c>
      <c r="D27" s="37" t="s">
        <v>641</v>
      </c>
      <c r="E27" s="37" t="s">
        <v>642</v>
      </c>
      <c r="F27" s="37" t="n">
        <v>2019</v>
      </c>
      <c r="G27" s="37" t="s">
        <v>643</v>
      </c>
      <c r="H27" s="23" t="n">
        <v>1</v>
      </c>
      <c r="I27" s="23" t="s">
        <v>32</v>
      </c>
      <c r="J27" s="23" t="s">
        <v>33</v>
      </c>
      <c r="L27" s="23" t="n">
        <v>480</v>
      </c>
      <c r="M27" s="23" t="n">
        <v>1</v>
      </c>
      <c r="N27" s="24" t="n">
        <v>9</v>
      </c>
      <c r="O27" s="45" t="n">
        <f aca="false">L27*M27*N27</f>
        <v>4320</v>
      </c>
      <c r="Q27" s="24" t="s">
        <v>41</v>
      </c>
      <c r="R27" s="46"/>
      <c r="S27" s="46"/>
      <c r="T27" s="46"/>
      <c r="U27" s="46"/>
      <c r="V27" s="46"/>
      <c r="W27" s="46"/>
      <c r="X27" s="23"/>
      <c r="Y27" s="46"/>
      <c r="Z27" s="46"/>
      <c r="AA27" s="46"/>
      <c r="AB27" s="46"/>
      <c r="AC27" s="46"/>
      <c r="AD27" s="23"/>
    </row>
    <row r="28" customFormat="false" ht="15" hidden="false" customHeight="false" outlineLevel="0" collapsed="false">
      <c r="A28" s="37" t="n">
        <v>2949</v>
      </c>
      <c r="B28" s="37"/>
      <c r="C28" s="37" t="s">
        <v>640</v>
      </c>
      <c r="D28" s="37" t="s">
        <v>641</v>
      </c>
      <c r="E28" s="37" t="s">
        <v>642</v>
      </c>
      <c r="F28" s="37" t="n">
        <v>2019</v>
      </c>
      <c r="G28" s="37" t="s">
        <v>643</v>
      </c>
      <c r="H28" s="23" t="n">
        <v>1</v>
      </c>
      <c r="I28" s="23" t="s">
        <v>32</v>
      </c>
      <c r="J28" s="23" t="s">
        <v>33</v>
      </c>
      <c r="L28" s="23" t="n">
        <v>480</v>
      </c>
      <c r="M28" s="23" t="n">
        <v>1</v>
      </c>
      <c r="N28" s="24" t="n">
        <v>11</v>
      </c>
      <c r="O28" s="45" t="n">
        <f aca="false">L28*M28*N28</f>
        <v>5280</v>
      </c>
      <c r="Q28" s="24" t="s">
        <v>41</v>
      </c>
      <c r="R28" s="46"/>
      <c r="S28" s="46"/>
      <c r="T28" s="46"/>
      <c r="U28" s="46"/>
      <c r="V28" s="46"/>
      <c r="W28" s="46"/>
      <c r="X28" s="23"/>
      <c r="Y28" s="46"/>
      <c r="Z28" s="46"/>
      <c r="AA28" s="46"/>
      <c r="AB28" s="46"/>
      <c r="AC28" s="46"/>
      <c r="AD28" s="23"/>
    </row>
    <row r="29" customFormat="false" ht="15" hidden="false" customHeight="false" outlineLevel="0" collapsed="false">
      <c r="A29" s="37" t="n">
        <v>2949</v>
      </c>
      <c r="B29" s="37"/>
      <c r="C29" s="37" t="s">
        <v>640</v>
      </c>
      <c r="D29" s="37" t="s">
        <v>641</v>
      </c>
      <c r="E29" s="37" t="s">
        <v>642</v>
      </c>
      <c r="F29" s="37" t="n">
        <v>2019</v>
      </c>
      <c r="G29" s="37" t="s">
        <v>643</v>
      </c>
      <c r="H29" s="23" t="n">
        <v>1</v>
      </c>
      <c r="I29" s="23" t="s">
        <v>32</v>
      </c>
      <c r="J29" s="23" t="s">
        <v>33</v>
      </c>
      <c r="L29" s="23" t="n">
        <v>480</v>
      </c>
      <c r="M29" s="23" t="n">
        <v>1</v>
      </c>
      <c r="N29" s="24" t="n">
        <v>14</v>
      </c>
      <c r="O29" s="45" t="n">
        <f aca="false">L29*M29*N29</f>
        <v>6720</v>
      </c>
      <c r="Q29" s="24" t="s">
        <v>41</v>
      </c>
      <c r="R29" s="46"/>
      <c r="S29" s="46"/>
      <c r="T29" s="46"/>
      <c r="U29" s="46"/>
      <c r="V29" s="46"/>
      <c r="W29" s="46"/>
      <c r="X29" s="23"/>
      <c r="Y29" s="46"/>
      <c r="Z29" s="46"/>
      <c r="AA29" s="46"/>
      <c r="AB29" s="46"/>
      <c r="AC29" s="46"/>
      <c r="AD29" s="23"/>
    </row>
    <row r="30" customFormat="false" ht="15" hidden="false" customHeight="false" outlineLevel="0" collapsed="false">
      <c r="A30" s="23" t="n">
        <v>3077</v>
      </c>
      <c r="B30" s="23" t="n">
        <v>28763303</v>
      </c>
      <c r="C30" s="23" t="s">
        <v>130</v>
      </c>
      <c r="D30" s="23" t="s">
        <v>131</v>
      </c>
      <c r="E30" s="23" t="s">
        <v>87</v>
      </c>
      <c r="F30" s="23" t="n">
        <v>2018</v>
      </c>
      <c r="G30" s="23" t="s">
        <v>132</v>
      </c>
      <c r="H30" s="23" t="n">
        <v>1</v>
      </c>
      <c r="I30" s="23" t="s">
        <v>51</v>
      </c>
      <c r="J30" s="23" t="s">
        <v>33</v>
      </c>
      <c r="L30" s="23" t="n">
        <v>360</v>
      </c>
      <c r="M30" s="23" t="n">
        <v>1</v>
      </c>
      <c r="N30" s="24" t="n">
        <v>28</v>
      </c>
      <c r="O30" s="24" t="n">
        <f aca="false">N30*L30</f>
        <v>10080</v>
      </c>
      <c r="Q30" s="24" t="n">
        <v>5</v>
      </c>
      <c r="R30" s="23" t="s">
        <v>417</v>
      </c>
      <c r="S30" s="43"/>
      <c r="T30" s="43"/>
      <c r="U30" s="43"/>
      <c r="V30" s="43"/>
      <c r="W30" s="43"/>
      <c r="X30" s="23"/>
      <c r="Y30" s="43"/>
      <c r="Z30" s="43"/>
      <c r="AA30" s="43"/>
      <c r="AB30" s="43"/>
      <c r="AC30" s="43"/>
      <c r="AD30" s="23"/>
    </row>
    <row r="31" customFormat="false" ht="15" hidden="false" customHeight="false" outlineLevel="0" collapsed="false">
      <c r="A31" s="37" t="n">
        <v>3158</v>
      </c>
      <c r="B31" s="37"/>
      <c r="C31" s="37" t="s">
        <v>805</v>
      </c>
      <c r="D31" s="37" t="s">
        <v>806</v>
      </c>
      <c r="E31" s="37" t="s">
        <v>686</v>
      </c>
      <c r="F31" s="37" t="n">
        <v>2020</v>
      </c>
      <c r="G31" s="37" t="s">
        <v>807</v>
      </c>
      <c r="H31" s="23" t="n">
        <v>1</v>
      </c>
      <c r="I31" s="23" t="s">
        <v>51</v>
      </c>
      <c r="J31" s="23" t="s">
        <v>33</v>
      </c>
      <c r="K31" s="27" t="s">
        <v>53</v>
      </c>
      <c r="L31" s="23" t="n">
        <v>30</v>
      </c>
      <c r="M31" s="23" t="n">
        <v>1</v>
      </c>
      <c r="N31" s="27" t="s">
        <v>41</v>
      </c>
      <c r="P31" s="37" t="s">
        <v>808</v>
      </c>
      <c r="Q31" s="24" t="n">
        <v>20</v>
      </c>
      <c r="R31" s="23" t="s">
        <v>809</v>
      </c>
      <c r="S31" s="23" t="n">
        <v>225</v>
      </c>
      <c r="T31" s="23" t="n">
        <v>13</v>
      </c>
      <c r="U31" s="23" t="n">
        <v>10</v>
      </c>
      <c r="V31" s="23" t="n">
        <v>10</v>
      </c>
      <c r="W31" s="26" t="n">
        <f aca="false">T31*(SQRT(V31))</f>
        <v>41.1096095821889</v>
      </c>
      <c r="X31" s="23"/>
      <c r="Y31" s="23" t="n">
        <v>73</v>
      </c>
      <c r="Z31" s="23" t="n">
        <v>10</v>
      </c>
      <c r="AA31" s="23" t="n">
        <v>10</v>
      </c>
      <c r="AB31" s="23" t="n">
        <v>10</v>
      </c>
      <c r="AC31" s="26" t="n">
        <f aca="false">Z31*(SQRT(AB31))</f>
        <v>31.6227766016838</v>
      </c>
      <c r="AD31" s="23"/>
    </row>
    <row r="32" customFormat="false" ht="15" hidden="false" customHeight="false" outlineLevel="0" collapsed="false">
      <c r="A32" s="37" t="n">
        <v>3158</v>
      </c>
      <c r="B32" s="37"/>
      <c r="C32" s="37" t="s">
        <v>805</v>
      </c>
      <c r="D32" s="37" t="s">
        <v>806</v>
      </c>
      <c r="E32" s="37" t="s">
        <v>686</v>
      </c>
      <c r="F32" s="37" t="n">
        <v>2020</v>
      </c>
      <c r="G32" s="37" t="s">
        <v>807</v>
      </c>
      <c r="H32" s="23" t="n">
        <v>1</v>
      </c>
      <c r="I32" s="23" t="s">
        <v>51</v>
      </c>
      <c r="J32" s="23" t="s">
        <v>33</v>
      </c>
      <c r="K32" s="27" t="s">
        <v>53</v>
      </c>
      <c r="L32" s="23" t="n">
        <v>30</v>
      </c>
      <c r="M32" s="23" t="n">
        <v>1</v>
      </c>
      <c r="N32" s="27" t="s">
        <v>41</v>
      </c>
      <c r="P32" s="37" t="s">
        <v>810</v>
      </c>
      <c r="Q32" s="24" t="n">
        <v>20</v>
      </c>
      <c r="R32" s="23" t="s">
        <v>809</v>
      </c>
      <c r="S32" s="23" t="n">
        <v>133</v>
      </c>
      <c r="T32" s="23" t="n">
        <v>11</v>
      </c>
      <c r="U32" s="23" t="n">
        <v>10</v>
      </c>
      <c r="V32" s="23" t="n">
        <v>10</v>
      </c>
      <c r="W32" s="26" t="n">
        <f aca="false">T32*(SQRT(V32))</f>
        <v>34.7850542618522</v>
      </c>
      <c r="X32" s="23"/>
      <c r="Y32" s="23" t="n">
        <v>117</v>
      </c>
      <c r="Z32" s="23" t="n">
        <v>7</v>
      </c>
      <c r="AA32" s="23" t="n">
        <v>10</v>
      </c>
      <c r="AB32" s="23" t="n">
        <v>10</v>
      </c>
      <c r="AC32" s="26" t="n">
        <f aca="false">Z32*(SQRT(AB32))</f>
        <v>22.1359436211787</v>
      </c>
    </row>
    <row r="33" customFormat="false" ht="15" hidden="false" customHeight="false" outlineLevel="0" collapsed="false">
      <c r="A33" s="37" t="n">
        <v>3158</v>
      </c>
      <c r="B33" s="37"/>
      <c r="C33" s="37" t="s">
        <v>805</v>
      </c>
      <c r="D33" s="37" t="s">
        <v>806</v>
      </c>
      <c r="E33" s="37" t="s">
        <v>686</v>
      </c>
      <c r="F33" s="37" t="n">
        <v>2020</v>
      </c>
      <c r="G33" s="37" t="s">
        <v>807</v>
      </c>
      <c r="H33" s="23" t="n">
        <v>1</v>
      </c>
      <c r="I33" s="23" t="s">
        <v>51</v>
      </c>
      <c r="J33" s="23" t="s">
        <v>33</v>
      </c>
      <c r="K33" s="27" t="s">
        <v>53</v>
      </c>
      <c r="L33" s="23" t="n">
        <v>30</v>
      </c>
      <c r="M33" s="23" t="n">
        <v>1</v>
      </c>
      <c r="N33" s="27" t="s">
        <v>41</v>
      </c>
      <c r="P33" s="37" t="s">
        <v>811</v>
      </c>
      <c r="Q33" s="24" t="n">
        <v>20</v>
      </c>
      <c r="R33" s="23" t="s">
        <v>809</v>
      </c>
      <c r="S33" s="23" t="n">
        <v>189</v>
      </c>
      <c r="T33" s="23" t="n">
        <v>6</v>
      </c>
      <c r="U33" s="23" t="n">
        <v>10</v>
      </c>
      <c r="V33" s="23" t="n">
        <v>10</v>
      </c>
      <c r="W33" s="26" t="n">
        <f aca="false">T33*(SQRT(V33))</f>
        <v>18.9736659610103</v>
      </c>
      <c r="X33" s="23"/>
      <c r="Y33" s="23" t="n">
        <v>89</v>
      </c>
      <c r="Z33" s="23" t="n">
        <v>9</v>
      </c>
      <c r="AA33" s="23" t="n">
        <v>10</v>
      </c>
      <c r="AB33" s="23" t="n">
        <v>10</v>
      </c>
      <c r="AC33" s="26" t="n">
        <f aca="false">Z33*(SQRT(AB33))</f>
        <v>28.4604989415154</v>
      </c>
    </row>
    <row r="34" customFormat="false" ht="15" hidden="false" customHeight="false" outlineLevel="0" collapsed="false">
      <c r="A34" s="37" t="n">
        <v>3158</v>
      </c>
      <c r="B34" s="37"/>
      <c r="C34" s="37" t="s">
        <v>805</v>
      </c>
      <c r="D34" s="37" t="s">
        <v>806</v>
      </c>
      <c r="E34" s="37" t="s">
        <v>686</v>
      </c>
      <c r="F34" s="37" t="n">
        <v>2020</v>
      </c>
      <c r="G34" s="37" t="s">
        <v>807</v>
      </c>
      <c r="H34" s="23" t="n">
        <v>1</v>
      </c>
      <c r="I34" s="23" t="s">
        <v>51</v>
      </c>
      <c r="J34" s="23" t="s">
        <v>33</v>
      </c>
      <c r="K34" s="27" t="s">
        <v>53</v>
      </c>
      <c r="L34" s="23" t="n">
        <v>30</v>
      </c>
      <c r="M34" s="23" t="n">
        <v>1</v>
      </c>
      <c r="N34" s="27" t="s">
        <v>41</v>
      </c>
      <c r="P34" s="37" t="s">
        <v>812</v>
      </c>
      <c r="Q34" s="24" t="n">
        <v>20</v>
      </c>
      <c r="R34" s="23" t="s">
        <v>809</v>
      </c>
      <c r="S34" s="23" t="n">
        <v>153</v>
      </c>
      <c r="T34" s="23" t="n">
        <v>13</v>
      </c>
      <c r="U34" s="23" t="n">
        <v>10</v>
      </c>
      <c r="V34" s="23" t="n">
        <v>10</v>
      </c>
      <c r="W34" s="26" t="n">
        <f aca="false">T34*(SQRT(V34))</f>
        <v>41.1096095821889</v>
      </c>
      <c r="X34" s="23"/>
      <c r="Y34" s="23" t="n">
        <v>130</v>
      </c>
      <c r="Z34" s="23" t="n">
        <v>22</v>
      </c>
      <c r="AA34" s="23" t="n">
        <v>10</v>
      </c>
      <c r="AB34" s="23" t="n">
        <v>10</v>
      </c>
      <c r="AC34" s="26" t="n">
        <f aca="false">Z34*(SQRT(AB34))</f>
        <v>69.5701085237044</v>
      </c>
    </row>
    <row r="35" customFormat="false" ht="15" hidden="false" customHeight="false" outlineLevel="0" collapsed="false">
      <c r="A35" s="37" t="n">
        <v>3158</v>
      </c>
      <c r="B35" s="37"/>
      <c r="C35" s="37" t="s">
        <v>805</v>
      </c>
      <c r="D35" s="37" t="s">
        <v>806</v>
      </c>
      <c r="E35" s="37" t="s">
        <v>686</v>
      </c>
      <c r="F35" s="37" t="n">
        <v>2020</v>
      </c>
      <c r="G35" s="37" t="s">
        <v>807</v>
      </c>
      <c r="H35" s="23" t="n">
        <v>1</v>
      </c>
      <c r="I35" s="23" t="s">
        <v>51</v>
      </c>
      <c r="J35" s="23" t="s">
        <v>33</v>
      </c>
      <c r="K35" s="27" t="s">
        <v>53</v>
      </c>
      <c r="L35" s="23" t="n">
        <v>30</v>
      </c>
      <c r="M35" s="23" t="n">
        <v>1</v>
      </c>
      <c r="N35" s="27" t="s">
        <v>41</v>
      </c>
      <c r="P35" s="37" t="s">
        <v>813</v>
      </c>
      <c r="Q35" s="24" t="n">
        <v>20</v>
      </c>
      <c r="R35" s="23" t="s">
        <v>809</v>
      </c>
      <c r="S35" s="23" t="n">
        <v>177</v>
      </c>
      <c r="T35" s="23" t="n">
        <v>22</v>
      </c>
      <c r="U35" s="23" t="n">
        <v>10</v>
      </c>
      <c r="V35" s="23" t="n">
        <v>10</v>
      </c>
      <c r="W35" s="26" t="n">
        <f aca="false">T35*(SQRT(V35))</f>
        <v>69.5701085237044</v>
      </c>
      <c r="X35" s="23"/>
      <c r="Y35" s="23" t="n">
        <v>165</v>
      </c>
      <c r="Z35" s="23" t="n">
        <v>25</v>
      </c>
      <c r="AA35" s="23" t="n">
        <v>10</v>
      </c>
      <c r="AB35" s="23" t="n">
        <v>10</v>
      </c>
      <c r="AC35" s="26" t="n">
        <f aca="false">Z35*(SQRT(AB35))</f>
        <v>79.0569415042095</v>
      </c>
    </row>
    <row r="36" customFormat="false" ht="15" hidden="false" customHeight="false" outlineLevel="0" collapsed="false">
      <c r="A36" s="37" t="n">
        <v>3158</v>
      </c>
      <c r="B36" s="37"/>
      <c r="C36" s="37" t="s">
        <v>805</v>
      </c>
      <c r="D36" s="37" t="s">
        <v>806</v>
      </c>
      <c r="E36" s="37" t="s">
        <v>686</v>
      </c>
      <c r="F36" s="37" t="n">
        <v>2020</v>
      </c>
      <c r="G36" s="37" t="s">
        <v>807</v>
      </c>
      <c r="H36" s="23" t="n">
        <v>1</v>
      </c>
      <c r="I36" s="23" t="s">
        <v>51</v>
      </c>
      <c r="J36" s="23" t="s">
        <v>33</v>
      </c>
      <c r="K36" s="27" t="s">
        <v>53</v>
      </c>
      <c r="L36" s="23" t="n">
        <v>30</v>
      </c>
      <c r="M36" s="23" t="n">
        <v>1</v>
      </c>
      <c r="N36" s="27" t="s">
        <v>41</v>
      </c>
      <c r="P36" s="37" t="s">
        <v>814</v>
      </c>
      <c r="Q36" s="24" t="n">
        <v>20</v>
      </c>
      <c r="R36" s="23" t="s">
        <v>809</v>
      </c>
      <c r="S36" s="23" t="n">
        <v>277</v>
      </c>
      <c r="T36" s="23" t="n">
        <v>20</v>
      </c>
      <c r="U36" s="23" t="n">
        <v>10</v>
      </c>
      <c r="V36" s="23" t="n">
        <v>10</v>
      </c>
      <c r="W36" s="26" t="n">
        <f aca="false">T36*(SQRT(V36))</f>
        <v>63.2455532033676</v>
      </c>
      <c r="X36" s="23"/>
      <c r="Y36" s="23" t="n">
        <v>112</v>
      </c>
      <c r="Z36" s="23" t="n">
        <v>18</v>
      </c>
      <c r="AA36" s="23" t="n">
        <v>10</v>
      </c>
      <c r="AB36" s="23" t="n">
        <v>10</v>
      </c>
      <c r="AC36" s="26" t="n">
        <f aca="false">Z36*(SQRT(AB36))</f>
        <v>56.9209978830308</v>
      </c>
    </row>
    <row r="37" customFormat="false" ht="16.4" hidden="false" customHeight="false" outlineLevel="0" collapsed="false">
      <c r="A37" s="23" t="n">
        <v>3209</v>
      </c>
      <c r="C37" s="41" t="s">
        <v>644</v>
      </c>
      <c r="D37" s="41" t="s">
        <v>645</v>
      </c>
      <c r="E37" s="41" t="s">
        <v>646</v>
      </c>
      <c r="F37" s="41" t="n">
        <v>2018</v>
      </c>
      <c r="G37" s="42" t="s">
        <v>647</v>
      </c>
      <c r="H37" s="23" t="n">
        <v>1</v>
      </c>
      <c r="I37" s="23" t="s">
        <v>51</v>
      </c>
      <c r="J37" s="23" t="s">
        <v>33</v>
      </c>
      <c r="L37" s="23" t="n">
        <v>360</v>
      </c>
      <c r="M37" s="23" t="n">
        <v>1</v>
      </c>
      <c r="N37" s="24" t="n">
        <v>21</v>
      </c>
      <c r="O37" s="24" t="n">
        <f aca="false">L37*M37*N37</f>
        <v>7560</v>
      </c>
      <c r="Q37" s="24" t="n">
        <v>5</v>
      </c>
      <c r="R37" s="23" t="n">
        <v>1</v>
      </c>
      <c r="S37" s="23" t="n">
        <v>68</v>
      </c>
      <c r="T37" s="23" t="n">
        <v>11</v>
      </c>
      <c r="U37" s="23" t="n">
        <v>5</v>
      </c>
      <c r="V37" s="23" t="n">
        <v>5</v>
      </c>
      <c r="W37" s="26" t="n">
        <f aca="false">T37*(SQRT(V37))</f>
        <v>24.5967477524977</v>
      </c>
      <c r="X37" s="23"/>
      <c r="Y37" s="23" t="n">
        <v>39</v>
      </c>
      <c r="Z37" s="23" t="n">
        <v>7</v>
      </c>
      <c r="AA37" s="23" t="n">
        <v>5</v>
      </c>
      <c r="AB37" s="23" t="n">
        <v>5</v>
      </c>
      <c r="AC37" s="26" t="n">
        <f aca="false">Z37*(SQRT(AB37))</f>
        <v>15.6524758424985</v>
      </c>
      <c r="AD37" s="23"/>
    </row>
    <row r="38" customFormat="false" ht="15" hidden="false" customHeight="false" outlineLevel="0" collapsed="false">
      <c r="A38" s="23" t="n">
        <v>3260</v>
      </c>
      <c r="C38" s="23" t="s">
        <v>815</v>
      </c>
      <c r="D38" s="23" t="s">
        <v>816</v>
      </c>
      <c r="E38" s="23" t="s">
        <v>74</v>
      </c>
      <c r="F38" s="23" t="n">
        <v>2020</v>
      </c>
      <c r="G38" s="23" t="s">
        <v>817</v>
      </c>
      <c r="H38" s="23" t="n">
        <v>1</v>
      </c>
      <c r="I38" s="23" t="s">
        <v>391</v>
      </c>
      <c r="J38" s="23" t="s">
        <v>33</v>
      </c>
      <c r="K38" s="27" t="s">
        <v>818</v>
      </c>
      <c r="L38" s="23" t="n">
        <v>180</v>
      </c>
      <c r="M38" s="23" t="n">
        <v>1</v>
      </c>
      <c r="N38" s="24" t="n">
        <v>10</v>
      </c>
      <c r="O38" s="24" t="n">
        <f aca="false">L38*M38*N38</f>
        <v>1800</v>
      </c>
      <c r="Q38" s="24" t="n">
        <v>20</v>
      </c>
      <c r="R38" s="46"/>
      <c r="S38" s="46"/>
      <c r="T38" s="46"/>
      <c r="U38" s="46"/>
      <c r="V38" s="46"/>
      <c r="W38" s="46"/>
      <c r="X38" s="23"/>
      <c r="Y38" s="46"/>
      <c r="Z38" s="46"/>
      <c r="AA38" s="46"/>
      <c r="AB38" s="46"/>
      <c r="AC38" s="46"/>
      <c r="AD38" s="23"/>
    </row>
    <row r="39" customFormat="false" ht="15" hidden="false" customHeight="false" outlineLevel="0" collapsed="false">
      <c r="A39" s="23" t="n">
        <v>3263</v>
      </c>
      <c r="C39" s="23" t="s">
        <v>134</v>
      </c>
      <c r="D39" s="23" t="s">
        <v>135</v>
      </c>
      <c r="E39" s="23" t="s">
        <v>136</v>
      </c>
      <c r="F39" s="23" t="n">
        <v>2023</v>
      </c>
      <c r="G39" s="23" t="s">
        <v>137</v>
      </c>
      <c r="H39" s="23" t="n">
        <v>1</v>
      </c>
      <c r="I39" s="23" t="s">
        <v>51</v>
      </c>
      <c r="J39" s="23" t="s">
        <v>33</v>
      </c>
      <c r="L39" s="23" t="s">
        <v>138</v>
      </c>
      <c r="N39" s="23"/>
      <c r="O39" s="24" t="n">
        <v>98</v>
      </c>
      <c r="P39" s="23" t="s">
        <v>139</v>
      </c>
      <c r="Q39" s="24" t="n">
        <v>5</v>
      </c>
      <c r="R39" s="46"/>
      <c r="S39" s="46"/>
      <c r="T39" s="46"/>
      <c r="U39" s="46"/>
      <c r="V39" s="46"/>
      <c r="W39" s="46"/>
      <c r="X39" s="23"/>
      <c r="Y39" s="46"/>
      <c r="Z39" s="46"/>
      <c r="AA39" s="46"/>
      <c r="AB39" s="46"/>
      <c r="AC39" s="46"/>
      <c r="AD39" s="23"/>
    </row>
    <row r="40" customFormat="false" ht="15" hidden="false" customHeight="false" outlineLevel="0" collapsed="false">
      <c r="A40" s="23" t="n">
        <v>3459</v>
      </c>
      <c r="B40" s="23" t="n">
        <v>30458283</v>
      </c>
      <c r="C40" s="23" t="s">
        <v>648</v>
      </c>
      <c r="D40" s="23" t="s">
        <v>649</v>
      </c>
      <c r="E40" s="23" t="s">
        <v>650</v>
      </c>
      <c r="F40" s="23" t="n">
        <v>2019</v>
      </c>
      <c r="G40" s="23" t="s">
        <v>651</v>
      </c>
      <c r="H40" s="23" t="n">
        <v>1</v>
      </c>
      <c r="I40" s="23" t="s">
        <v>51</v>
      </c>
      <c r="J40" s="23" t="s">
        <v>33</v>
      </c>
      <c r="L40" s="23" t="n">
        <v>360</v>
      </c>
      <c r="M40" s="23" t="n">
        <v>1</v>
      </c>
      <c r="N40" s="24" t="n">
        <v>10</v>
      </c>
      <c r="O40" s="24" t="n">
        <f aca="false">N40*L40</f>
        <v>3600</v>
      </c>
      <c r="Q40" s="24" t="n">
        <v>5</v>
      </c>
      <c r="R40" s="46"/>
      <c r="S40" s="46"/>
      <c r="T40" s="46"/>
      <c r="U40" s="46"/>
      <c r="V40" s="46"/>
      <c r="W40" s="46"/>
      <c r="X40" s="23"/>
      <c r="Y40" s="46"/>
      <c r="Z40" s="46"/>
      <c r="AA40" s="46"/>
      <c r="AB40" s="46"/>
      <c r="AC40" s="46"/>
      <c r="AD40" s="23"/>
    </row>
    <row r="41" customFormat="false" ht="15" hidden="false" customHeight="false" outlineLevel="0" collapsed="false">
      <c r="A41" s="23" t="n">
        <v>3482</v>
      </c>
      <c r="C41" s="23" t="s">
        <v>503</v>
      </c>
      <c r="D41" s="23" t="s">
        <v>504</v>
      </c>
      <c r="E41" s="23" t="s">
        <v>505</v>
      </c>
      <c r="F41" s="23" t="n">
        <v>2024</v>
      </c>
      <c r="G41" s="23" t="s">
        <v>506</v>
      </c>
      <c r="H41" s="23" t="n">
        <v>1</v>
      </c>
      <c r="I41" s="23" t="s">
        <v>32</v>
      </c>
      <c r="J41" s="23" t="s">
        <v>33</v>
      </c>
      <c r="L41" s="23" t="n">
        <v>120</v>
      </c>
      <c r="M41" s="23" t="n">
        <v>1</v>
      </c>
      <c r="N41" s="24" t="n">
        <v>14</v>
      </c>
      <c r="O41" s="24" t="n">
        <f aca="false">L41*M41*N41</f>
        <v>1680</v>
      </c>
      <c r="Q41" s="24" t="n">
        <v>5</v>
      </c>
      <c r="R41" s="46"/>
      <c r="S41" s="46"/>
      <c r="T41" s="46"/>
      <c r="U41" s="46"/>
      <c r="V41" s="46"/>
      <c r="W41" s="46"/>
      <c r="X41" s="23"/>
      <c r="Y41" s="46"/>
      <c r="Z41" s="46"/>
      <c r="AA41" s="46"/>
      <c r="AB41" s="46"/>
      <c r="AC41" s="46"/>
      <c r="AD41" s="23"/>
    </row>
    <row r="42" customFormat="false" ht="16.4" hidden="false" customHeight="false" outlineLevel="0" collapsed="false">
      <c r="A42" s="23" t="n">
        <v>3569</v>
      </c>
      <c r="C42" s="41" t="s">
        <v>149</v>
      </c>
      <c r="D42" s="41" t="s">
        <v>819</v>
      </c>
      <c r="E42" s="41" t="s">
        <v>151</v>
      </c>
      <c r="F42" s="41" t="n">
        <v>2024</v>
      </c>
      <c r="G42" s="42" t="s">
        <v>152</v>
      </c>
      <c r="H42" s="23" t="n">
        <v>1</v>
      </c>
      <c r="I42" s="23" t="s">
        <v>51</v>
      </c>
      <c r="J42" s="23" t="s">
        <v>33</v>
      </c>
      <c r="L42" s="23" t="n">
        <v>360</v>
      </c>
      <c r="M42" s="23" t="n">
        <v>1</v>
      </c>
      <c r="N42" s="24" t="n">
        <v>14</v>
      </c>
      <c r="O42" s="24" t="n">
        <f aca="false">L42*M42*N42</f>
        <v>5040</v>
      </c>
      <c r="Q42" s="24" t="n">
        <v>5</v>
      </c>
      <c r="R42" s="46"/>
      <c r="S42" s="46"/>
      <c r="T42" s="46"/>
      <c r="U42" s="46"/>
      <c r="V42" s="46"/>
      <c r="W42" s="46"/>
      <c r="X42" s="23"/>
      <c r="Y42" s="46"/>
      <c r="Z42" s="46"/>
      <c r="AA42" s="46"/>
      <c r="AB42" s="46"/>
      <c r="AC42" s="46"/>
      <c r="AD42" s="23"/>
    </row>
    <row r="43" customFormat="false" ht="15" hidden="false" customHeight="false" outlineLevel="0" collapsed="false">
      <c r="A43" s="23" t="n">
        <v>3670</v>
      </c>
      <c r="C43" s="23" t="s">
        <v>154</v>
      </c>
      <c r="D43" s="23" t="s">
        <v>155</v>
      </c>
      <c r="E43" s="23" t="s">
        <v>156</v>
      </c>
      <c r="F43" s="23" t="n">
        <v>2021</v>
      </c>
      <c r="G43" s="23" t="s">
        <v>157</v>
      </c>
      <c r="H43" s="23" t="n">
        <v>1</v>
      </c>
      <c r="I43" s="23" t="s">
        <v>51</v>
      </c>
      <c r="J43" s="23" t="s">
        <v>33</v>
      </c>
      <c r="K43" s="27" t="s">
        <v>36</v>
      </c>
      <c r="L43" s="23" t="n">
        <v>360</v>
      </c>
      <c r="M43" s="23" t="n">
        <v>1</v>
      </c>
      <c r="N43" s="24" t="n">
        <v>28</v>
      </c>
      <c r="O43" s="24" t="n">
        <f aca="false">L43*M43*N43</f>
        <v>10080</v>
      </c>
      <c r="Q43" s="24" t="n">
        <v>5</v>
      </c>
      <c r="R43" s="46"/>
      <c r="S43" s="46"/>
      <c r="T43" s="46"/>
      <c r="U43" s="46"/>
      <c r="V43" s="46"/>
      <c r="W43" s="46"/>
      <c r="X43" s="23"/>
      <c r="Y43" s="46"/>
      <c r="Z43" s="46"/>
      <c r="AA43" s="46"/>
      <c r="AB43" s="46"/>
      <c r="AC43" s="46"/>
      <c r="AD43" s="23"/>
    </row>
    <row r="44" customFormat="false" ht="15" hidden="false" customHeight="false" outlineLevel="0" collapsed="false">
      <c r="A44" s="23" t="n">
        <v>3734</v>
      </c>
      <c r="C44" s="23" t="s">
        <v>820</v>
      </c>
      <c r="D44" s="23" t="s">
        <v>821</v>
      </c>
      <c r="E44" s="23" t="s">
        <v>822</v>
      </c>
      <c r="F44" s="23" t="n">
        <v>2016</v>
      </c>
      <c r="G44" s="23" t="s">
        <v>823</v>
      </c>
      <c r="H44" s="23" t="n">
        <v>1</v>
      </c>
      <c r="I44" s="23" t="s">
        <v>32</v>
      </c>
      <c r="J44" s="23" t="s">
        <v>33</v>
      </c>
      <c r="L44" s="23" t="n">
        <v>180</v>
      </c>
      <c r="M44" s="23" t="n">
        <v>1</v>
      </c>
      <c r="N44" s="24" t="n">
        <v>21</v>
      </c>
      <c r="O44" s="24" t="n">
        <f aca="false">L44*M44*N44</f>
        <v>3780</v>
      </c>
      <c r="P44" s="23" t="s">
        <v>824</v>
      </c>
      <c r="Q44" s="24" t="n">
        <v>6</v>
      </c>
      <c r="R44" s="46"/>
      <c r="S44" s="46"/>
      <c r="T44" s="46"/>
      <c r="U44" s="46"/>
      <c r="V44" s="46"/>
      <c r="W44" s="46"/>
      <c r="X44" s="23"/>
      <c r="Y44" s="46"/>
      <c r="Z44" s="46"/>
      <c r="AA44" s="46"/>
      <c r="AB44" s="46"/>
      <c r="AC44" s="46"/>
      <c r="AD44" s="23"/>
    </row>
    <row r="45" customFormat="false" ht="15" hidden="false" customHeight="false" outlineLevel="0" collapsed="false">
      <c r="A45" s="37" t="n">
        <v>3926</v>
      </c>
      <c r="B45" s="37"/>
      <c r="C45" s="37" t="s">
        <v>164</v>
      </c>
      <c r="D45" s="37" t="s">
        <v>165</v>
      </c>
      <c r="E45" s="37" t="s">
        <v>166</v>
      </c>
      <c r="F45" s="37" t="n">
        <v>2023</v>
      </c>
      <c r="G45" s="37" t="s">
        <v>167</v>
      </c>
      <c r="H45" s="23" t="n">
        <v>1</v>
      </c>
      <c r="I45" s="23" t="s">
        <v>32</v>
      </c>
      <c r="J45" s="37" t="s">
        <v>33</v>
      </c>
      <c r="K45" s="27" t="s">
        <v>34</v>
      </c>
      <c r="L45" s="23" t="n">
        <v>240</v>
      </c>
      <c r="M45" s="23" t="n">
        <v>1</v>
      </c>
      <c r="N45" s="24" t="n">
        <v>21</v>
      </c>
      <c r="O45" s="24" t="n">
        <f aca="false">L45*M45*N45</f>
        <v>5040</v>
      </c>
      <c r="Q45" s="24" t="n">
        <v>5</v>
      </c>
      <c r="R45" s="23" t="s">
        <v>70</v>
      </c>
      <c r="S45" s="23" t="n">
        <v>9</v>
      </c>
      <c r="T45" s="23" t="n">
        <v>3</v>
      </c>
      <c r="U45" s="23" t="n">
        <v>6</v>
      </c>
      <c r="V45" s="23" t="n">
        <v>6</v>
      </c>
      <c r="W45" s="26" t="n">
        <f aca="false">T45*(SQRT(V45))</f>
        <v>7.34846922834953</v>
      </c>
      <c r="X45" s="23"/>
      <c r="Y45" s="23" t="n">
        <v>6</v>
      </c>
      <c r="Z45" s="23" t="n">
        <v>2</v>
      </c>
      <c r="AA45" s="23" t="n">
        <v>6</v>
      </c>
      <c r="AB45" s="23" t="n">
        <v>6</v>
      </c>
      <c r="AC45" s="26" t="n">
        <f aca="false">Z45*(SQRT(AB45))</f>
        <v>4.89897948556636</v>
      </c>
      <c r="AD45" s="23"/>
    </row>
    <row r="46" customFormat="false" ht="15" hidden="false" customHeight="false" outlineLevel="0" collapsed="false">
      <c r="A46" s="37" t="n">
        <v>3926</v>
      </c>
      <c r="B46" s="37"/>
      <c r="C46" s="37" t="s">
        <v>164</v>
      </c>
      <c r="D46" s="37" t="s">
        <v>165</v>
      </c>
      <c r="E46" s="37" t="s">
        <v>166</v>
      </c>
      <c r="F46" s="37" t="n">
        <v>2023</v>
      </c>
      <c r="G46" s="37" t="s">
        <v>167</v>
      </c>
      <c r="H46" s="23" t="n">
        <v>1</v>
      </c>
      <c r="I46" s="23" t="s">
        <v>32</v>
      </c>
      <c r="J46" s="37" t="s">
        <v>97</v>
      </c>
      <c r="K46" s="27" t="s">
        <v>34</v>
      </c>
      <c r="L46" s="23" t="n">
        <v>240</v>
      </c>
      <c r="M46" s="23" t="n">
        <v>1</v>
      </c>
      <c r="N46" s="24" t="n">
        <v>21</v>
      </c>
      <c r="O46" s="24" t="n">
        <f aca="false">L46*M46*N46</f>
        <v>5040</v>
      </c>
      <c r="Q46" s="24" t="n">
        <v>5</v>
      </c>
      <c r="R46" s="43"/>
      <c r="S46" s="43"/>
      <c r="T46" s="43"/>
      <c r="U46" s="43"/>
      <c r="V46" s="43"/>
      <c r="W46" s="43"/>
      <c r="X46" s="23"/>
      <c r="Y46" s="43"/>
      <c r="Z46" s="43"/>
      <c r="AA46" s="43"/>
      <c r="AB46" s="43"/>
      <c r="AC46" s="43"/>
      <c r="AD46" s="23"/>
    </row>
    <row r="47" customFormat="false" ht="15" hidden="false" customHeight="false" outlineLevel="0" collapsed="false">
      <c r="A47" s="23" t="n">
        <v>4070</v>
      </c>
      <c r="B47" s="23" t="n">
        <v>29317595</v>
      </c>
      <c r="C47" s="23" t="s">
        <v>190</v>
      </c>
      <c r="D47" s="23" t="s">
        <v>191</v>
      </c>
      <c r="E47" s="23" t="s">
        <v>192</v>
      </c>
      <c r="F47" s="23" t="n">
        <v>2018</v>
      </c>
      <c r="G47" s="23" t="s">
        <v>193</v>
      </c>
      <c r="H47" s="23" t="n">
        <v>1</v>
      </c>
      <c r="I47" s="23" t="s">
        <v>32</v>
      </c>
      <c r="J47" s="23" t="s">
        <v>33</v>
      </c>
      <c r="L47" s="23" t="n">
        <v>360</v>
      </c>
      <c r="M47" s="23" t="n">
        <v>1</v>
      </c>
      <c r="N47" s="24" t="n">
        <v>21</v>
      </c>
      <c r="O47" s="24" t="n">
        <f aca="false">N47*L47</f>
        <v>7560</v>
      </c>
      <c r="Q47" s="24" t="n">
        <v>5</v>
      </c>
      <c r="R47" s="46"/>
      <c r="S47" s="46"/>
      <c r="T47" s="46"/>
      <c r="U47" s="46"/>
      <c r="V47" s="46"/>
      <c r="W47" s="46"/>
      <c r="X47" s="23"/>
      <c r="Y47" s="46"/>
      <c r="Z47" s="46"/>
      <c r="AA47" s="46"/>
      <c r="AB47" s="46"/>
      <c r="AC47" s="46"/>
      <c r="AD47" s="23"/>
    </row>
    <row r="48" customFormat="false" ht="15" hidden="false" customHeight="false" outlineLevel="0" collapsed="false">
      <c r="A48" s="37" t="n">
        <v>4261</v>
      </c>
      <c r="B48" s="37"/>
      <c r="C48" s="37" t="s">
        <v>825</v>
      </c>
      <c r="D48" s="37" t="s">
        <v>826</v>
      </c>
      <c r="E48" s="37" t="s">
        <v>827</v>
      </c>
      <c r="F48" s="37" t="n">
        <v>2017</v>
      </c>
      <c r="G48" s="37" t="s">
        <v>828</v>
      </c>
      <c r="H48" s="23" t="n">
        <v>1</v>
      </c>
      <c r="I48" s="23" t="s">
        <v>51</v>
      </c>
      <c r="J48" s="23" t="s">
        <v>33</v>
      </c>
      <c r="L48" s="23" t="n">
        <v>360</v>
      </c>
      <c r="M48" s="23" t="n">
        <v>1</v>
      </c>
      <c r="N48" s="45" t="n">
        <v>1</v>
      </c>
      <c r="O48" s="24" t="n">
        <f aca="false">L48*M48*N48</f>
        <v>360</v>
      </c>
      <c r="Q48" s="24" t="n">
        <v>5</v>
      </c>
      <c r="R48" s="46"/>
      <c r="S48" s="46"/>
      <c r="T48" s="46"/>
      <c r="U48" s="46"/>
      <c r="V48" s="46"/>
      <c r="W48" s="46"/>
      <c r="X48" s="23"/>
      <c r="Y48" s="46"/>
      <c r="Z48" s="46"/>
      <c r="AA48" s="46"/>
      <c r="AB48" s="46"/>
      <c r="AC48" s="46"/>
      <c r="AD48" s="23"/>
    </row>
    <row r="49" customFormat="false" ht="15" hidden="false" customHeight="false" outlineLevel="0" collapsed="false">
      <c r="A49" s="37" t="n">
        <v>4261</v>
      </c>
      <c r="B49" s="37"/>
      <c r="C49" s="37" t="s">
        <v>825</v>
      </c>
      <c r="D49" s="37" t="s">
        <v>826</v>
      </c>
      <c r="E49" s="37" t="s">
        <v>827</v>
      </c>
      <c r="F49" s="37" t="n">
        <v>2017</v>
      </c>
      <c r="G49" s="37" t="s">
        <v>828</v>
      </c>
      <c r="H49" s="23" t="n">
        <v>1</v>
      </c>
      <c r="I49" s="23" t="s">
        <v>51</v>
      </c>
      <c r="J49" s="23" t="s">
        <v>33</v>
      </c>
      <c r="L49" s="23" t="n">
        <v>360</v>
      </c>
      <c r="M49" s="23" t="n">
        <v>1</v>
      </c>
      <c r="N49" s="45" t="n">
        <v>7</v>
      </c>
      <c r="O49" s="24" t="n">
        <f aca="false">L49*M49*N49</f>
        <v>2520</v>
      </c>
      <c r="Q49" s="24" t="n">
        <v>5</v>
      </c>
      <c r="R49" s="46"/>
      <c r="S49" s="46"/>
      <c r="T49" s="46"/>
      <c r="U49" s="46"/>
      <c r="V49" s="46"/>
      <c r="W49" s="46"/>
      <c r="X49" s="23"/>
      <c r="Y49" s="46"/>
      <c r="Z49" s="46"/>
      <c r="AA49" s="46"/>
      <c r="AB49" s="46"/>
      <c r="AC49" s="46"/>
      <c r="AD49" s="23"/>
    </row>
    <row r="50" customFormat="false" ht="15" hidden="false" customHeight="false" outlineLevel="0" collapsed="false">
      <c r="A50" s="37" t="n">
        <v>4261</v>
      </c>
      <c r="B50" s="37"/>
      <c r="C50" s="37" t="s">
        <v>825</v>
      </c>
      <c r="D50" s="37" t="s">
        <v>826</v>
      </c>
      <c r="E50" s="37" t="s">
        <v>827</v>
      </c>
      <c r="F50" s="37" t="n">
        <v>2017</v>
      </c>
      <c r="G50" s="37" t="s">
        <v>828</v>
      </c>
      <c r="H50" s="23" t="n">
        <v>1</v>
      </c>
      <c r="I50" s="23" t="s">
        <v>51</v>
      </c>
      <c r="J50" s="23" t="s">
        <v>33</v>
      </c>
      <c r="L50" s="23" t="n">
        <v>360</v>
      </c>
      <c r="M50" s="23" t="n">
        <v>1</v>
      </c>
      <c r="N50" s="45" t="n">
        <v>21</v>
      </c>
      <c r="O50" s="24" t="n">
        <f aca="false">L50*M50*N50</f>
        <v>7560</v>
      </c>
      <c r="Q50" s="24" t="n">
        <v>5</v>
      </c>
      <c r="R50" s="46"/>
      <c r="S50" s="46"/>
      <c r="T50" s="46"/>
      <c r="U50" s="46"/>
      <c r="V50" s="46"/>
      <c r="W50" s="46"/>
      <c r="X50" s="23"/>
      <c r="Y50" s="46"/>
      <c r="Z50" s="46"/>
      <c r="AA50" s="46"/>
      <c r="AB50" s="46"/>
      <c r="AC50" s="46"/>
      <c r="AD50" s="23"/>
    </row>
    <row r="51" customFormat="false" ht="15" hidden="false" customHeight="false" outlineLevel="0" collapsed="false">
      <c r="A51" s="23" t="n">
        <v>4265</v>
      </c>
      <c r="C51" s="23" t="s">
        <v>674</v>
      </c>
      <c r="D51" s="23" t="s">
        <v>675</v>
      </c>
      <c r="E51" s="23" t="s">
        <v>74</v>
      </c>
      <c r="F51" s="23" t="n">
        <v>2020</v>
      </c>
      <c r="G51" s="23" t="s">
        <v>676</v>
      </c>
      <c r="H51" s="23" t="n">
        <v>1</v>
      </c>
      <c r="I51" s="23" t="s">
        <v>32</v>
      </c>
      <c r="J51" s="23" t="s">
        <v>33</v>
      </c>
      <c r="L51" s="23" t="n">
        <v>360</v>
      </c>
      <c r="M51" s="23" t="n">
        <v>1</v>
      </c>
      <c r="N51" s="24" t="n">
        <v>21</v>
      </c>
      <c r="O51" s="24" t="n">
        <f aca="false">L51*M51*N51</f>
        <v>7560</v>
      </c>
      <c r="Q51" s="24" t="n">
        <v>5</v>
      </c>
      <c r="R51" s="46"/>
      <c r="S51" s="46"/>
      <c r="T51" s="46"/>
      <c r="U51" s="46"/>
      <c r="V51" s="46"/>
      <c r="W51" s="46"/>
      <c r="X51" s="23"/>
      <c r="Y51" s="46"/>
      <c r="Z51" s="46"/>
      <c r="AA51" s="46"/>
      <c r="AB51" s="46"/>
      <c r="AC51" s="46"/>
      <c r="AD51" s="23"/>
    </row>
    <row r="52" customFormat="false" ht="16.4" hidden="false" customHeight="false" outlineLevel="0" collapsed="false">
      <c r="A52" s="23" t="n">
        <v>4451</v>
      </c>
      <c r="C52" s="41" t="s">
        <v>829</v>
      </c>
      <c r="D52" s="41" t="s">
        <v>830</v>
      </c>
      <c r="E52" s="41" t="s">
        <v>831</v>
      </c>
      <c r="F52" s="41" t="n">
        <v>2017</v>
      </c>
      <c r="G52" s="42" t="s">
        <v>832</v>
      </c>
      <c r="H52" s="23" t="n">
        <v>1</v>
      </c>
      <c r="I52" s="23" t="s">
        <v>32</v>
      </c>
      <c r="J52" s="23" t="s">
        <v>33</v>
      </c>
      <c r="K52" s="27" t="s">
        <v>53</v>
      </c>
      <c r="L52" s="23" t="n">
        <v>360</v>
      </c>
      <c r="M52" s="23" t="n">
        <v>1</v>
      </c>
      <c r="N52" s="24" t="n">
        <v>28</v>
      </c>
      <c r="O52" s="24" t="n">
        <f aca="false">L52*M52*N52</f>
        <v>10080</v>
      </c>
      <c r="Q52" s="24" t="n">
        <v>3</v>
      </c>
      <c r="R52" s="46"/>
      <c r="S52" s="46"/>
      <c r="T52" s="46"/>
      <c r="U52" s="46"/>
      <c r="V52" s="46"/>
      <c r="W52" s="46"/>
      <c r="X52" s="23"/>
      <c r="Y52" s="46"/>
      <c r="Z52" s="46"/>
      <c r="AA52" s="46"/>
      <c r="AB52" s="46"/>
      <c r="AC52" s="46"/>
      <c r="AD52" s="23"/>
    </row>
    <row r="53" customFormat="false" ht="15" hidden="false" customHeight="false" outlineLevel="0" collapsed="false">
      <c r="A53" s="23" t="n">
        <v>4485</v>
      </c>
      <c r="C53" s="23" t="s">
        <v>677</v>
      </c>
      <c r="D53" s="23" t="s">
        <v>678</v>
      </c>
      <c r="E53" s="23" t="s">
        <v>56</v>
      </c>
      <c r="F53" s="23" t="n">
        <v>2023</v>
      </c>
      <c r="G53" s="23" t="s">
        <v>679</v>
      </c>
      <c r="H53" s="23" t="n">
        <v>1</v>
      </c>
      <c r="I53" s="23" t="s">
        <v>51</v>
      </c>
      <c r="J53" s="23" t="s">
        <v>33</v>
      </c>
      <c r="L53" s="23" t="n">
        <v>60</v>
      </c>
      <c r="M53" s="23" t="n">
        <v>1</v>
      </c>
      <c r="N53" s="24" t="n">
        <v>15</v>
      </c>
      <c r="O53" s="24" t="n">
        <f aca="false">L53*M53*N53</f>
        <v>900</v>
      </c>
      <c r="P53" s="23" t="s">
        <v>76</v>
      </c>
      <c r="Q53" s="24" t="n">
        <v>5</v>
      </c>
      <c r="R53" s="46"/>
      <c r="S53" s="46"/>
      <c r="T53" s="46"/>
      <c r="U53" s="46"/>
      <c r="V53" s="46"/>
      <c r="W53" s="46"/>
      <c r="X53" s="23"/>
      <c r="Y53" s="46"/>
      <c r="Z53" s="46"/>
      <c r="AA53" s="46"/>
      <c r="AB53" s="46"/>
      <c r="AC53" s="46"/>
      <c r="AD53" s="23"/>
    </row>
    <row r="54" customFormat="false" ht="15" hidden="false" customHeight="false" outlineLevel="0" collapsed="false">
      <c r="A54" s="37" t="n">
        <v>4630</v>
      </c>
      <c r="B54" s="37" t="n">
        <v>28293639</v>
      </c>
      <c r="C54" s="37" t="s">
        <v>833</v>
      </c>
      <c r="D54" s="37" t="s">
        <v>834</v>
      </c>
      <c r="E54" s="37" t="s">
        <v>835</v>
      </c>
      <c r="F54" s="37" t="n">
        <v>2017</v>
      </c>
      <c r="G54" s="37" t="s">
        <v>836</v>
      </c>
      <c r="H54" s="23" t="n">
        <v>1</v>
      </c>
      <c r="I54" s="23" t="s">
        <v>51</v>
      </c>
      <c r="J54" s="23" t="s">
        <v>33</v>
      </c>
      <c r="L54" s="23" t="n">
        <v>180</v>
      </c>
      <c r="M54" s="23" t="n">
        <v>1</v>
      </c>
      <c r="N54" s="45" t="n">
        <v>14</v>
      </c>
      <c r="O54" s="24" t="n">
        <f aca="false">N54*L54</f>
        <v>2520</v>
      </c>
      <c r="Q54" s="24" t="n">
        <v>5</v>
      </c>
      <c r="R54" s="23" t="s">
        <v>530</v>
      </c>
      <c r="S54" s="23" t="n">
        <v>18</v>
      </c>
      <c r="T54" s="23" t="s">
        <v>71</v>
      </c>
      <c r="U54" s="23" t="n">
        <v>12</v>
      </c>
      <c r="V54" s="23" t="n">
        <v>12</v>
      </c>
      <c r="W54" s="23" t="n">
        <v>1.9</v>
      </c>
      <c r="X54" s="23"/>
      <c r="Y54" s="23" t="n">
        <v>30</v>
      </c>
      <c r="Z54" s="23" t="s">
        <v>71</v>
      </c>
      <c r="AA54" s="23" t="n">
        <v>12</v>
      </c>
      <c r="AB54" s="23" t="n">
        <v>12</v>
      </c>
      <c r="AC54" s="23" t="n">
        <v>2.2</v>
      </c>
      <c r="AD54" s="23"/>
    </row>
    <row r="55" customFormat="false" ht="15" hidden="false" customHeight="false" outlineLevel="0" collapsed="false">
      <c r="A55" s="37" t="n">
        <v>4630</v>
      </c>
      <c r="B55" s="37" t="n">
        <v>28293639</v>
      </c>
      <c r="C55" s="37" t="s">
        <v>833</v>
      </c>
      <c r="D55" s="37" t="s">
        <v>834</v>
      </c>
      <c r="E55" s="37" t="s">
        <v>835</v>
      </c>
      <c r="F55" s="37" t="n">
        <v>2017</v>
      </c>
      <c r="G55" s="37" t="s">
        <v>836</v>
      </c>
      <c r="H55" s="23" t="n">
        <v>1</v>
      </c>
      <c r="I55" s="23" t="s">
        <v>51</v>
      </c>
      <c r="J55" s="23" t="s">
        <v>33</v>
      </c>
      <c r="L55" s="23" t="n">
        <v>180</v>
      </c>
      <c r="M55" s="23" t="n">
        <v>1</v>
      </c>
      <c r="N55" s="45" t="n">
        <v>28</v>
      </c>
      <c r="O55" s="24" t="n">
        <f aca="false">N55*L55</f>
        <v>5040</v>
      </c>
      <c r="Q55" s="24" t="n">
        <v>5</v>
      </c>
      <c r="R55" s="23" t="s">
        <v>530</v>
      </c>
      <c r="S55" s="23" t="n">
        <v>19</v>
      </c>
      <c r="T55" s="23" t="s">
        <v>71</v>
      </c>
      <c r="U55" s="23" t="n">
        <v>12</v>
      </c>
      <c r="V55" s="23" t="n">
        <v>12</v>
      </c>
      <c r="W55" s="23" t="n">
        <v>1.7</v>
      </c>
      <c r="X55" s="23"/>
      <c r="Y55" s="23" t="n">
        <v>34</v>
      </c>
      <c r="Z55" s="23" t="s">
        <v>71</v>
      </c>
      <c r="AA55" s="23" t="n">
        <v>12</v>
      </c>
      <c r="AB55" s="23" t="n">
        <v>12</v>
      </c>
      <c r="AC55" s="23" t="n">
        <v>2.1</v>
      </c>
      <c r="AD55" s="23"/>
    </row>
    <row r="56" customFormat="false" ht="15" hidden="false" customHeight="false" outlineLevel="0" collapsed="false">
      <c r="A56" s="23" t="n">
        <v>4669</v>
      </c>
      <c r="B56" s="23" t="n">
        <v>32827575</v>
      </c>
      <c r="C56" s="23" t="s">
        <v>837</v>
      </c>
      <c r="D56" s="23" t="s">
        <v>838</v>
      </c>
      <c r="E56" s="23" t="s">
        <v>291</v>
      </c>
      <c r="F56" s="23" t="n">
        <v>2020</v>
      </c>
      <c r="G56" s="23" t="s">
        <v>839</v>
      </c>
      <c r="H56" s="23" t="n">
        <v>1</v>
      </c>
      <c r="I56" s="23" t="s">
        <v>32</v>
      </c>
      <c r="J56" s="23" t="s">
        <v>97</v>
      </c>
      <c r="K56" s="27" t="n">
        <v>52</v>
      </c>
      <c r="L56" s="23" t="n">
        <v>360</v>
      </c>
      <c r="M56" s="23" t="n">
        <v>1</v>
      </c>
      <c r="N56" s="24" t="n">
        <v>42</v>
      </c>
      <c r="O56" s="24" t="n">
        <f aca="false">N56*L56</f>
        <v>15120</v>
      </c>
      <c r="Q56" s="24" t="n">
        <v>5</v>
      </c>
      <c r="R56" s="46"/>
      <c r="S56" s="46"/>
      <c r="T56" s="46"/>
      <c r="U56" s="46"/>
      <c r="V56" s="46"/>
      <c r="W56" s="46"/>
      <c r="X56" s="23"/>
      <c r="Y56" s="46"/>
      <c r="Z56" s="46"/>
      <c r="AA56" s="46"/>
      <c r="AB56" s="46"/>
      <c r="AC56" s="46"/>
      <c r="AD56" s="23"/>
    </row>
    <row r="57" customFormat="false" ht="16.4" hidden="false" customHeight="false" outlineLevel="0" collapsed="false">
      <c r="A57" s="0" t="n">
        <v>4733</v>
      </c>
      <c r="C57" s="41" t="s">
        <v>840</v>
      </c>
      <c r="D57" s="41" t="s">
        <v>841</v>
      </c>
      <c r="E57" s="41" t="s">
        <v>568</v>
      </c>
      <c r="F57" s="41" t="n">
        <v>2018</v>
      </c>
      <c r="G57" s="42" t="s">
        <v>842</v>
      </c>
      <c r="H57" s="0" t="n">
        <v>1</v>
      </c>
      <c r="I57" s="0" t="s">
        <v>32</v>
      </c>
      <c r="J57" s="0" t="s">
        <v>33</v>
      </c>
      <c r="K57" s="2"/>
      <c r="L57" s="0" t="n">
        <v>360</v>
      </c>
      <c r="M57" s="0" t="n">
        <v>1</v>
      </c>
      <c r="N57" s="3" t="n">
        <v>28</v>
      </c>
      <c r="O57" s="24" t="n">
        <f aca="false">N57*L57</f>
        <v>10080</v>
      </c>
      <c r="P57" s="2"/>
      <c r="Q57" s="0" t="n">
        <v>5</v>
      </c>
      <c r="R57" s="46"/>
      <c r="S57" s="46"/>
      <c r="T57" s="46"/>
      <c r="U57" s="46"/>
      <c r="V57" s="46"/>
      <c r="W57" s="46"/>
      <c r="X57" s="23"/>
      <c r="Y57" s="46"/>
      <c r="Z57" s="46"/>
      <c r="AA57" s="46"/>
      <c r="AB57" s="46"/>
      <c r="AC57" s="46"/>
      <c r="AD57" s="23"/>
      <c r="AH57" s="0"/>
      <c r="AI57" s="0"/>
      <c r="AJ57" s="0"/>
      <c r="AK57" s="0"/>
      <c r="AL57" s="0"/>
      <c r="AM57" s="0"/>
      <c r="AN57" s="0"/>
      <c r="AO57" s="0"/>
      <c r="AP57" s="0"/>
      <c r="AQ57" s="0"/>
      <c r="AR57" s="0"/>
      <c r="AS57" s="0"/>
      <c r="AT57" s="0"/>
      <c r="AU57" s="0"/>
      <c r="AV57" s="0"/>
      <c r="AW57" s="0"/>
      <c r="AX57" s="0"/>
      <c r="AY57" s="0"/>
      <c r="AZ57" s="0"/>
      <c r="BA57" s="0"/>
      <c r="BB57" s="0"/>
      <c r="BC57" s="0"/>
      <c r="BD57" s="0"/>
      <c r="BE57" s="0"/>
      <c r="BF57" s="0"/>
      <c r="BG57" s="0"/>
      <c r="BH57" s="0"/>
      <c r="BI57" s="0"/>
      <c r="BJ57" s="0"/>
      <c r="BK57" s="0"/>
      <c r="BL57" s="0"/>
      <c r="BM57" s="0"/>
      <c r="BN57" s="0"/>
      <c r="BO57" s="0"/>
      <c r="BP57" s="0"/>
      <c r="BQ57" s="0"/>
      <c r="BR57" s="0"/>
      <c r="BS57" s="0"/>
      <c r="BT57" s="0"/>
      <c r="BU57" s="0"/>
      <c r="BV57" s="0"/>
      <c r="BW57" s="0"/>
      <c r="BX57" s="0"/>
      <c r="BY57" s="0"/>
      <c r="BZ57" s="0"/>
      <c r="CA57" s="0"/>
      <c r="CB57" s="0"/>
      <c r="CC57" s="0"/>
      <c r="CD57" s="0"/>
      <c r="CE57" s="0"/>
      <c r="CF57" s="0"/>
      <c r="CG57" s="0"/>
      <c r="CH57" s="0"/>
      <c r="CI57" s="0"/>
      <c r="CJ57" s="0"/>
      <c r="CK57" s="0"/>
      <c r="CL57" s="0"/>
      <c r="CM57" s="0"/>
      <c r="CN57" s="0"/>
      <c r="CO57" s="0"/>
      <c r="CP57" s="0"/>
      <c r="CQ57" s="0"/>
      <c r="CR57" s="0"/>
      <c r="CS57" s="0"/>
      <c r="CT57" s="0"/>
      <c r="CU57" s="0"/>
      <c r="CV57" s="0"/>
      <c r="CW57" s="0"/>
      <c r="CX57" s="0"/>
      <c r="CY57" s="0"/>
      <c r="CZ57" s="0"/>
      <c r="DA57" s="0"/>
      <c r="DB57" s="0"/>
      <c r="DC57" s="0"/>
      <c r="DD57" s="0"/>
      <c r="DE57" s="0"/>
      <c r="DF57" s="0"/>
      <c r="DG57" s="0"/>
      <c r="DH57" s="0"/>
      <c r="DI57" s="0"/>
      <c r="DJ57" s="0"/>
      <c r="DK57" s="0"/>
      <c r="DL57" s="0"/>
      <c r="DM57" s="0"/>
      <c r="DN57" s="0"/>
      <c r="DO57" s="0"/>
      <c r="DP57" s="0"/>
      <c r="DQ57" s="0"/>
      <c r="DR57" s="0"/>
      <c r="DS57" s="0"/>
      <c r="DT57" s="0"/>
      <c r="DU57" s="0"/>
      <c r="DV57" s="0"/>
      <c r="DW57" s="0"/>
      <c r="DX57" s="0"/>
      <c r="DY57" s="0"/>
      <c r="DZ57" s="0"/>
      <c r="EA57" s="0"/>
      <c r="EB57" s="0"/>
      <c r="EC57" s="0"/>
      <c r="ED57" s="0"/>
      <c r="EE57" s="0"/>
      <c r="EF57" s="0"/>
      <c r="EG57" s="0"/>
      <c r="EH57" s="0"/>
      <c r="EI57" s="0"/>
      <c r="EJ57" s="0"/>
      <c r="EK57" s="0"/>
      <c r="EL57" s="0"/>
      <c r="EM57" s="0"/>
      <c r="EN57" s="0"/>
      <c r="EO57" s="0"/>
      <c r="EP57" s="0"/>
      <c r="EQ57" s="0"/>
      <c r="ER57" s="0"/>
      <c r="ES57" s="0"/>
      <c r="ET57" s="0"/>
      <c r="EU57" s="0"/>
      <c r="EV57" s="0"/>
      <c r="EW57" s="0"/>
      <c r="EX57" s="0"/>
      <c r="EY57" s="0"/>
      <c r="EZ57" s="0"/>
      <c r="FA57" s="0"/>
      <c r="FB57" s="0"/>
      <c r="FC57" s="0"/>
      <c r="FD57" s="0"/>
      <c r="FE57" s="0"/>
      <c r="FF57" s="0"/>
      <c r="FG57" s="0"/>
      <c r="FH57" s="0"/>
      <c r="FI57" s="0"/>
      <c r="FJ57" s="0"/>
      <c r="FK57" s="0"/>
      <c r="FL57" s="0"/>
      <c r="FM57" s="0"/>
      <c r="FN57" s="0"/>
      <c r="FO57" s="0"/>
      <c r="FP57" s="0"/>
      <c r="FQ57" s="0"/>
      <c r="FR57" s="0"/>
      <c r="FS57" s="0"/>
      <c r="FT57" s="0"/>
      <c r="FU57" s="0"/>
      <c r="FV57" s="0"/>
      <c r="FW57" s="0"/>
      <c r="FX57" s="0"/>
      <c r="FY57" s="0"/>
      <c r="FZ57" s="0"/>
      <c r="GA57" s="0"/>
      <c r="GB57" s="0"/>
      <c r="GC57" s="0"/>
      <c r="GD57" s="0"/>
      <c r="GE57" s="0"/>
      <c r="GF57" s="0"/>
      <c r="GG57" s="0"/>
      <c r="GH57" s="0"/>
      <c r="GI57" s="0"/>
      <c r="GJ57" s="0"/>
      <c r="GK57" s="0"/>
      <c r="GL57" s="0"/>
      <c r="GM57" s="0"/>
      <c r="GN57" s="0"/>
      <c r="GO57" s="0"/>
      <c r="GP57" s="0"/>
      <c r="GQ57" s="0"/>
      <c r="GR57" s="0"/>
      <c r="GS57" s="0"/>
      <c r="GT57" s="0"/>
      <c r="GU57" s="0"/>
      <c r="GV57" s="0"/>
      <c r="GW57" s="0"/>
      <c r="GX57" s="0"/>
      <c r="GY57" s="0"/>
      <c r="GZ57" s="0"/>
      <c r="HA57" s="0"/>
      <c r="HB57" s="0"/>
      <c r="HC57" s="0"/>
      <c r="HD57" s="0"/>
      <c r="HE57" s="0"/>
      <c r="HF57" s="0"/>
      <c r="HG57" s="0"/>
      <c r="HH57" s="0"/>
      <c r="HI57" s="0"/>
      <c r="HJ57" s="0"/>
      <c r="HK57" s="0"/>
      <c r="HL57" s="0"/>
      <c r="HM57" s="0"/>
      <c r="HN57" s="0"/>
      <c r="HO57" s="0"/>
      <c r="HP57" s="0"/>
      <c r="HQ57" s="0"/>
      <c r="HR57" s="0"/>
      <c r="HS57" s="0"/>
      <c r="HT57" s="0"/>
      <c r="HU57" s="0"/>
      <c r="HV57" s="0"/>
      <c r="HW57" s="0"/>
      <c r="HX57" s="0"/>
      <c r="HY57" s="0"/>
      <c r="HZ57" s="0"/>
      <c r="IA57" s="0"/>
      <c r="IB57" s="0"/>
      <c r="IC57" s="0"/>
      <c r="ID57" s="0"/>
      <c r="IE57" s="0"/>
      <c r="IF57" s="0"/>
      <c r="IG57" s="0"/>
      <c r="IH57" s="0"/>
      <c r="II57" s="0"/>
      <c r="IJ57" s="0"/>
      <c r="IK57" s="0"/>
      <c r="IL57" s="0"/>
      <c r="IM57" s="0"/>
      <c r="IN57" s="0"/>
      <c r="IO57" s="0"/>
      <c r="IP57" s="0"/>
      <c r="IQ57" s="0"/>
      <c r="IR57" s="0"/>
      <c r="IS57" s="0"/>
      <c r="IT57" s="0"/>
      <c r="IU57" s="0"/>
      <c r="IV57" s="0"/>
      <c r="IW57" s="0"/>
      <c r="IX57" s="0"/>
      <c r="IY57" s="0"/>
      <c r="IZ57" s="0"/>
      <c r="JA57" s="0"/>
      <c r="JB57" s="0"/>
      <c r="JC57" s="0"/>
      <c r="JD57" s="0"/>
      <c r="JE57" s="0"/>
      <c r="JF57" s="0"/>
      <c r="JG57" s="0"/>
      <c r="JH57" s="0"/>
      <c r="JI57" s="0"/>
      <c r="JJ57" s="0"/>
      <c r="JK57" s="0"/>
      <c r="JL57" s="0"/>
      <c r="JM57" s="0"/>
      <c r="JN57" s="0"/>
      <c r="JO57" s="0"/>
      <c r="JP57" s="0"/>
      <c r="JQ57" s="0"/>
      <c r="JR57" s="0"/>
      <c r="JS57" s="0"/>
      <c r="JT57" s="0"/>
      <c r="JU57" s="0"/>
      <c r="JV57" s="0"/>
      <c r="JW57" s="0"/>
      <c r="JX57" s="0"/>
      <c r="JY57" s="0"/>
      <c r="JZ57" s="0"/>
      <c r="KA57" s="0"/>
      <c r="KB57" s="0"/>
      <c r="KC57" s="0"/>
      <c r="KD57" s="0"/>
      <c r="KE57" s="0"/>
      <c r="KF57" s="0"/>
      <c r="KG57" s="0"/>
      <c r="KH57" s="0"/>
      <c r="KI57" s="0"/>
      <c r="KJ57" s="0"/>
      <c r="KK57" s="0"/>
      <c r="KL57" s="0"/>
      <c r="KM57" s="0"/>
      <c r="KN57" s="0"/>
      <c r="KO57" s="0"/>
      <c r="KP57" s="0"/>
      <c r="KQ57" s="0"/>
      <c r="KR57" s="0"/>
      <c r="KS57" s="0"/>
      <c r="KT57" s="0"/>
      <c r="KU57" s="0"/>
      <c r="KV57" s="0"/>
      <c r="KW57" s="0"/>
      <c r="KX57" s="0"/>
      <c r="KY57" s="0"/>
      <c r="KZ57" s="0"/>
      <c r="LA57" s="0"/>
      <c r="LB57" s="0"/>
      <c r="LC57" s="0"/>
      <c r="LD57" s="0"/>
      <c r="LE57" s="0"/>
      <c r="LF57" s="0"/>
      <c r="LG57" s="0"/>
      <c r="LH57" s="0"/>
      <c r="LI57" s="0"/>
      <c r="LJ57" s="0"/>
      <c r="LK57" s="0"/>
      <c r="LL57" s="0"/>
      <c r="LM57" s="0"/>
      <c r="LN57" s="0"/>
      <c r="LO57" s="0"/>
      <c r="LP57" s="0"/>
      <c r="LQ57" s="0"/>
      <c r="LR57" s="0"/>
      <c r="LS57" s="0"/>
      <c r="LT57" s="0"/>
      <c r="LU57" s="0"/>
      <c r="LV57" s="0"/>
      <c r="LW57" s="0"/>
      <c r="LX57" s="0"/>
      <c r="LY57" s="0"/>
      <c r="LZ57" s="0"/>
      <c r="MA57" s="0"/>
      <c r="MB57" s="0"/>
      <c r="MC57" s="0"/>
      <c r="MD57" s="0"/>
      <c r="ME57" s="0"/>
      <c r="MF57" s="0"/>
      <c r="MG57" s="0"/>
      <c r="MH57" s="0"/>
      <c r="MI57" s="0"/>
      <c r="MJ57" s="0"/>
      <c r="MK57" s="0"/>
      <c r="ML57" s="0"/>
      <c r="MM57" s="0"/>
      <c r="MN57" s="0"/>
      <c r="MO57" s="0"/>
      <c r="MP57" s="0"/>
      <c r="MQ57" s="0"/>
      <c r="MR57" s="0"/>
      <c r="MS57" s="0"/>
      <c r="MT57" s="0"/>
      <c r="MU57" s="0"/>
      <c r="MV57" s="0"/>
      <c r="MW57" s="0"/>
      <c r="MX57" s="0"/>
      <c r="MY57" s="0"/>
      <c r="MZ57" s="0"/>
      <c r="NA57" s="0"/>
      <c r="NB57" s="0"/>
      <c r="NC57" s="0"/>
      <c r="ND57" s="0"/>
      <c r="NE57" s="0"/>
      <c r="NF57" s="0"/>
      <c r="NG57" s="0"/>
      <c r="NH57" s="0"/>
      <c r="NI57" s="0"/>
      <c r="NJ57" s="0"/>
      <c r="NK57" s="0"/>
      <c r="NL57" s="0"/>
      <c r="NM57" s="0"/>
      <c r="NN57" s="0"/>
      <c r="NO57" s="0"/>
      <c r="NP57" s="0"/>
      <c r="NQ57" s="0"/>
      <c r="NR57" s="0"/>
      <c r="NS57" s="0"/>
      <c r="NT57" s="0"/>
      <c r="NU57" s="0"/>
      <c r="NV57" s="0"/>
      <c r="NW57" s="0"/>
      <c r="NX57" s="0"/>
      <c r="NY57" s="0"/>
      <c r="NZ57" s="0"/>
      <c r="OA57" s="0"/>
      <c r="OB57" s="0"/>
      <c r="OC57" s="0"/>
      <c r="OD57" s="0"/>
      <c r="OE57" s="0"/>
      <c r="OF57" s="0"/>
      <c r="OG57" s="0"/>
      <c r="OH57" s="0"/>
      <c r="OI57" s="0"/>
      <c r="OJ57" s="0"/>
      <c r="OK57" s="0"/>
      <c r="OL57" s="0"/>
      <c r="OM57" s="0"/>
      <c r="ON57" s="0"/>
      <c r="OO57" s="0"/>
      <c r="OP57" s="0"/>
      <c r="OQ57" s="0"/>
      <c r="OR57" s="0"/>
      <c r="OS57" s="0"/>
      <c r="OT57" s="0"/>
      <c r="OU57" s="0"/>
      <c r="OV57" s="0"/>
      <c r="OW57" s="0"/>
      <c r="OX57" s="0"/>
      <c r="OY57" s="0"/>
      <c r="OZ57" s="0"/>
      <c r="PA57" s="0"/>
      <c r="PB57" s="0"/>
      <c r="PC57" s="0"/>
      <c r="PD57" s="0"/>
      <c r="PE57" s="0"/>
      <c r="PF57" s="0"/>
      <c r="PG57" s="0"/>
      <c r="PH57" s="0"/>
      <c r="PI57" s="0"/>
      <c r="PJ57" s="0"/>
      <c r="PK57" s="0"/>
      <c r="PL57" s="0"/>
      <c r="PM57" s="0"/>
      <c r="PN57" s="0"/>
      <c r="PO57" s="0"/>
      <c r="PP57" s="0"/>
      <c r="PQ57" s="0"/>
      <c r="PR57" s="0"/>
      <c r="PS57" s="0"/>
      <c r="PT57" s="0"/>
      <c r="PU57" s="0"/>
      <c r="PV57" s="0"/>
      <c r="PW57" s="0"/>
      <c r="PX57" s="0"/>
      <c r="PY57" s="0"/>
      <c r="PZ57" s="0"/>
      <c r="QA57" s="0"/>
      <c r="QB57" s="0"/>
      <c r="QC57" s="0"/>
      <c r="QD57" s="0"/>
      <c r="QE57" s="0"/>
      <c r="QF57" s="0"/>
      <c r="QG57" s="0"/>
      <c r="QH57" s="0"/>
      <c r="QI57" s="0"/>
      <c r="QJ57" s="0"/>
      <c r="QK57" s="0"/>
      <c r="QL57" s="0"/>
      <c r="QM57" s="0"/>
      <c r="QN57" s="0"/>
      <c r="QO57" s="0"/>
      <c r="QP57" s="0"/>
      <c r="QQ57" s="0"/>
      <c r="QR57" s="0"/>
      <c r="QS57" s="0"/>
      <c r="QT57" s="0"/>
      <c r="QU57" s="0"/>
      <c r="QV57" s="0"/>
      <c r="QW57" s="0"/>
      <c r="QX57" s="0"/>
      <c r="QY57" s="0"/>
      <c r="QZ57" s="0"/>
      <c r="RA57" s="0"/>
      <c r="RB57" s="0"/>
      <c r="RC57" s="0"/>
      <c r="RD57" s="0"/>
      <c r="RE57" s="0"/>
      <c r="RF57" s="0"/>
      <c r="RG57" s="0"/>
      <c r="RH57" s="0"/>
      <c r="RI57" s="0"/>
      <c r="RJ57" s="0"/>
      <c r="RK57" s="0"/>
      <c r="RL57" s="0"/>
      <c r="RM57" s="0"/>
      <c r="RN57" s="0"/>
      <c r="RO57" s="0"/>
      <c r="RP57" s="0"/>
      <c r="RQ57" s="0"/>
      <c r="RR57" s="0"/>
      <c r="RS57" s="0"/>
      <c r="RT57" s="0"/>
      <c r="RU57" s="0"/>
      <c r="RV57" s="0"/>
      <c r="RW57" s="0"/>
      <c r="RX57" s="0"/>
      <c r="RY57" s="0"/>
      <c r="RZ57" s="0"/>
      <c r="SA57" s="0"/>
      <c r="SB57" s="0"/>
      <c r="SC57" s="0"/>
      <c r="SD57" s="0"/>
      <c r="SE57" s="0"/>
      <c r="SF57" s="0"/>
      <c r="SG57" s="0"/>
      <c r="SH57" s="0"/>
      <c r="SI57" s="0"/>
      <c r="SJ57" s="0"/>
      <c r="SK57" s="0"/>
      <c r="SL57" s="0"/>
      <c r="SM57" s="0"/>
      <c r="SN57" s="0"/>
      <c r="SO57" s="0"/>
      <c r="SP57" s="0"/>
      <c r="SQ57" s="0"/>
      <c r="SR57" s="0"/>
      <c r="SS57" s="0"/>
      <c r="ST57" s="0"/>
      <c r="SU57" s="0"/>
      <c r="SV57" s="0"/>
      <c r="SW57" s="0"/>
      <c r="SX57" s="0"/>
      <c r="SY57" s="0"/>
      <c r="SZ57" s="0"/>
      <c r="TA57" s="0"/>
      <c r="TB57" s="0"/>
      <c r="TC57" s="0"/>
      <c r="TD57" s="0"/>
      <c r="TE57" s="0"/>
      <c r="TF57" s="0"/>
      <c r="TG57" s="0"/>
      <c r="TH57" s="0"/>
      <c r="TI57" s="0"/>
      <c r="TJ57" s="0"/>
      <c r="TK57" s="0"/>
      <c r="TL57" s="0"/>
      <c r="TM57" s="0"/>
      <c r="TN57" s="0"/>
      <c r="TO57" s="0"/>
      <c r="TP57" s="0"/>
      <c r="TQ57" s="0"/>
      <c r="TR57" s="0"/>
      <c r="TS57" s="0"/>
      <c r="TT57" s="0"/>
      <c r="TU57" s="0"/>
      <c r="TV57" s="0"/>
      <c r="TW57" s="0"/>
      <c r="TX57" s="0"/>
      <c r="TY57" s="0"/>
      <c r="TZ57" s="0"/>
      <c r="UA57" s="0"/>
      <c r="UB57" s="0"/>
      <c r="UC57" s="0"/>
      <c r="UD57" s="0"/>
      <c r="UE57" s="0"/>
      <c r="UF57" s="0"/>
      <c r="UG57" s="0"/>
      <c r="UH57" s="0"/>
      <c r="UI57" s="0"/>
      <c r="UJ57" s="0"/>
      <c r="UK57" s="0"/>
      <c r="UL57" s="0"/>
      <c r="UM57" s="0"/>
      <c r="UN57" s="0"/>
      <c r="UO57" s="0"/>
      <c r="UP57" s="0"/>
      <c r="UQ57" s="0"/>
      <c r="UR57" s="0"/>
      <c r="US57" s="0"/>
      <c r="UT57" s="0"/>
      <c r="UU57" s="0"/>
      <c r="UV57" s="0"/>
      <c r="UW57" s="0"/>
      <c r="UX57" s="0"/>
      <c r="UY57" s="0"/>
      <c r="UZ57" s="0"/>
      <c r="VA57" s="0"/>
      <c r="VB57" s="0"/>
      <c r="VC57" s="0"/>
      <c r="VD57" s="0"/>
      <c r="VE57" s="0"/>
      <c r="VF57" s="0"/>
      <c r="VG57" s="0"/>
      <c r="VH57" s="0"/>
      <c r="VI57" s="0"/>
      <c r="VJ57" s="0"/>
      <c r="VK57" s="0"/>
      <c r="VL57" s="0"/>
      <c r="VM57" s="0"/>
      <c r="VN57" s="0"/>
      <c r="VO57" s="0"/>
      <c r="VP57" s="0"/>
      <c r="VQ57" s="0"/>
      <c r="VR57" s="0"/>
      <c r="VS57" s="0"/>
      <c r="VT57" s="0"/>
      <c r="VU57" s="0"/>
      <c r="VV57" s="0"/>
      <c r="VW57" s="0"/>
      <c r="VX57" s="0"/>
      <c r="VY57" s="0"/>
      <c r="VZ57" s="0"/>
      <c r="WA57" s="0"/>
      <c r="WB57" s="0"/>
      <c r="WC57" s="0"/>
      <c r="WD57" s="0"/>
      <c r="WE57" s="0"/>
      <c r="WF57" s="0"/>
      <c r="WG57" s="0"/>
      <c r="WH57" s="0"/>
      <c r="WI57" s="0"/>
      <c r="WJ57" s="0"/>
      <c r="WK57" s="0"/>
      <c r="WL57" s="0"/>
      <c r="WM57" s="0"/>
      <c r="WN57" s="0"/>
      <c r="WO57" s="0"/>
      <c r="WP57" s="0"/>
      <c r="WQ57" s="0"/>
      <c r="WR57" s="0"/>
      <c r="WS57" s="0"/>
      <c r="WT57" s="0"/>
      <c r="WU57" s="0"/>
      <c r="WV57" s="0"/>
      <c r="WW57" s="0"/>
      <c r="WX57" s="0"/>
      <c r="WY57" s="0"/>
      <c r="WZ57" s="0"/>
      <c r="XA57" s="0"/>
      <c r="XB57" s="0"/>
      <c r="XC57" s="0"/>
      <c r="XD57" s="0"/>
      <c r="XE57" s="0"/>
      <c r="XF57" s="0"/>
      <c r="XG57" s="0"/>
      <c r="XH57" s="0"/>
      <c r="XI57" s="0"/>
      <c r="XJ57" s="0"/>
      <c r="XK57" s="0"/>
      <c r="XL57" s="0"/>
      <c r="XM57" s="0"/>
      <c r="XN57" s="0"/>
      <c r="XO57" s="0"/>
      <c r="XP57" s="0"/>
      <c r="XQ57" s="0"/>
      <c r="XR57" s="0"/>
      <c r="XS57" s="0"/>
      <c r="XT57" s="0"/>
      <c r="XU57" s="0"/>
      <c r="XV57" s="0"/>
      <c r="XW57" s="0"/>
      <c r="XX57" s="0"/>
      <c r="XY57" s="0"/>
      <c r="XZ57" s="0"/>
      <c r="YA57" s="0"/>
      <c r="YB57" s="0"/>
      <c r="YC57" s="0"/>
      <c r="YD57" s="0"/>
      <c r="YE57" s="0"/>
      <c r="YF57" s="0"/>
      <c r="YG57" s="0"/>
      <c r="YH57" s="0"/>
      <c r="YI57" s="0"/>
      <c r="YJ57" s="0"/>
      <c r="YK57" s="0"/>
      <c r="YL57" s="0"/>
      <c r="YM57" s="0"/>
      <c r="YN57" s="0"/>
      <c r="YO57" s="0"/>
      <c r="YP57" s="0"/>
      <c r="YQ57" s="0"/>
      <c r="YR57" s="0"/>
      <c r="YS57" s="0"/>
      <c r="YT57" s="0"/>
      <c r="YU57" s="0"/>
      <c r="YV57" s="0"/>
      <c r="YW57" s="0"/>
      <c r="YX57" s="0"/>
      <c r="YY57" s="0"/>
      <c r="YZ57" s="0"/>
      <c r="ZA57" s="0"/>
      <c r="ZB57" s="0"/>
      <c r="ZC57" s="0"/>
      <c r="ZD57" s="0"/>
      <c r="ZE57" s="0"/>
      <c r="ZF57" s="0"/>
      <c r="ZG57" s="0"/>
      <c r="ZH57" s="0"/>
      <c r="ZI57" s="0"/>
      <c r="ZJ57" s="0"/>
      <c r="ZK57" s="0"/>
      <c r="ZL57" s="0"/>
      <c r="ZM57" s="0"/>
      <c r="ZN57" s="0"/>
      <c r="ZO57" s="0"/>
      <c r="ZP57" s="0"/>
      <c r="ZQ57" s="0"/>
      <c r="ZR57" s="0"/>
      <c r="ZS57" s="0"/>
      <c r="ZT57" s="0"/>
      <c r="ZU57" s="0"/>
      <c r="ZV57" s="0"/>
      <c r="ZW57" s="0"/>
      <c r="ZX57" s="0"/>
      <c r="ZY57" s="0"/>
      <c r="ZZ57" s="0"/>
      <c r="AAA57" s="0"/>
      <c r="AAB57" s="0"/>
      <c r="AAC57" s="0"/>
      <c r="AAD57" s="0"/>
      <c r="AAE57" s="0"/>
      <c r="AAF57" s="0"/>
      <c r="AAG57" s="0"/>
      <c r="AAH57" s="0"/>
      <c r="AAI57" s="0"/>
      <c r="AAJ57" s="0"/>
      <c r="AAK57" s="0"/>
      <c r="AAL57" s="0"/>
      <c r="AAM57" s="0"/>
      <c r="AAN57" s="0"/>
      <c r="AAO57" s="0"/>
      <c r="AAP57" s="0"/>
      <c r="AAQ57" s="0"/>
      <c r="AAR57" s="0"/>
      <c r="AAS57" s="0"/>
      <c r="AAT57" s="0"/>
      <c r="AAU57" s="0"/>
      <c r="AAV57" s="0"/>
      <c r="AAW57" s="0"/>
      <c r="AAX57" s="0"/>
      <c r="AAY57" s="0"/>
      <c r="AAZ57" s="0"/>
      <c r="ABA57" s="0"/>
      <c r="ABB57" s="0"/>
      <c r="ABC57" s="0"/>
      <c r="ABD57" s="0"/>
      <c r="ABE57" s="0"/>
      <c r="ABF57" s="0"/>
      <c r="ABG57" s="0"/>
      <c r="ABH57" s="0"/>
      <c r="ABI57" s="0"/>
      <c r="ABJ57" s="0"/>
      <c r="ABK57" s="0"/>
      <c r="ABL57" s="0"/>
      <c r="ABM57" s="0"/>
      <c r="ABN57" s="0"/>
      <c r="ABO57" s="0"/>
      <c r="ABP57" s="0"/>
      <c r="ABQ57" s="0"/>
      <c r="ABR57" s="0"/>
      <c r="ABS57" s="0"/>
      <c r="ABT57" s="0"/>
      <c r="ABU57" s="0"/>
      <c r="ABV57" s="0"/>
      <c r="ABW57" s="0"/>
      <c r="ABX57" s="0"/>
      <c r="ABY57" s="0"/>
      <c r="ABZ57" s="0"/>
      <c r="ACA57" s="0"/>
      <c r="ACB57" s="0"/>
      <c r="ACC57" s="0"/>
      <c r="ACD57" s="0"/>
      <c r="ACE57" s="0"/>
      <c r="ACF57" s="0"/>
      <c r="ACG57" s="0"/>
      <c r="ACH57" s="0"/>
      <c r="ACI57" s="0"/>
      <c r="ACJ57" s="0"/>
      <c r="ACK57" s="0"/>
      <c r="ACL57" s="0"/>
      <c r="ACM57" s="0"/>
      <c r="ACN57" s="0"/>
      <c r="ACO57" s="0"/>
      <c r="ACP57" s="0"/>
      <c r="ACQ57" s="0"/>
      <c r="ACR57" s="0"/>
      <c r="ACS57" s="0"/>
      <c r="ACT57" s="0"/>
      <c r="ACU57" s="0"/>
      <c r="ACV57" s="0"/>
      <c r="ACW57" s="0"/>
      <c r="ACX57" s="0"/>
      <c r="ACY57" s="0"/>
      <c r="ACZ57" s="0"/>
      <c r="ADA57" s="0"/>
      <c r="ADB57" s="0"/>
      <c r="ADC57" s="0"/>
      <c r="ADD57" s="0"/>
      <c r="ADE57" s="0"/>
      <c r="ADF57" s="0"/>
      <c r="ADG57" s="0"/>
      <c r="ADH57" s="0"/>
      <c r="ADI57" s="0"/>
      <c r="ADJ57" s="0"/>
      <c r="ADK57" s="0"/>
      <c r="ADL57" s="0"/>
      <c r="ADM57" s="0"/>
      <c r="ADN57" s="0"/>
      <c r="ADO57" s="0"/>
      <c r="ADP57" s="0"/>
      <c r="ADQ57" s="0"/>
      <c r="ADR57" s="0"/>
      <c r="ADS57" s="0"/>
      <c r="ADT57" s="0"/>
      <c r="ADU57" s="0"/>
      <c r="ADV57" s="0"/>
      <c r="ADW57" s="0"/>
      <c r="ADX57" s="0"/>
      <c r="ADY57" s="0"/>
      <c r="ADZ57" s="0"/>
      <c r="AEA57" s="0"/>
      <c r="AEB57" s="0"/>
      <c r="AEC57" s="0"/>
      <c r="AED57" s="0"/>
      <c r="AEE57" s="0"/>
      <c r="AEF57" s="0"/>
      <c r="AEG57" s="0"/>
      <c r="AEH57" s="0"/>
      <c r="AEI57" s="0"/>
      <c r="AEJ57" s="0"/>
      <c r="AEK57" s="0"/>
      <c r="AEL57" s="0"/>
      <c r="AEM57" s="0"/>
      <c r="AEN57" s="0"/>
      <c r="AEO57" s="0"/>
      <c r="AEP57" s="0"/>
      <c r="AEQ57" s="0"/>
      <c r="AER57" s="0"/>
      <c r="AES57" s="0"/>
      <c r="AET57" s="0"/>
      <c r="AEU57" s="0"/>
      <c r="AEV57" s="0"/>
      <c r="AEW57" s="0"/>
      <c r="AEX57" s="0"/>
      <c r="AEY57" s="0"/>
      <c r="AEZ57" s="0"/>
      <c r="AFA57" s="0"/>
      <c r="AFB57" s="0"/>
      <c r="AFC57" s="0"/>
      <c r="AFD57" s="0"/>
      <c r="AFE57" s="0"/>
      <c r="AFF57" s="0"/>
      <c r="AFG57" s="0"/>
      <c r="AFH57" s="0"/>
      <c r="AFI57" s="0"/>
      <c r="AFJ57" s="0"/>
      <c r="AFK57" s="0"/>
      <c r="AFL57" s="0"/>
      <c r="AFM57" s="0"/>
      <c r="AFN57" s="0"/>
      <c r="AFO57" s="0"/>
      <c r="AFP57" s="0"/>
      <c r="AFQ57" s="0"/>
      <c r="AFR57" s="0"/>
      <c r="AFS57" s="0"/>
      <c r="AFT57" s="0"/>
      <c r="AFU57" s="0"/>
      <c r="AFV57" s="0"/>
      <c r="AFW57" s="0"/>
      <c r="AFX57" s="0"/>
      <c r="AFY57" s="0"/>
      <c r="AFZ57" s="0"/>
      <c r="AGA57" s="0"/>
      <c r="AGB57" s="0"/>
      <c r="AGC57" s="0"/>
      <c r="AGD57" s="0"/>
      <c r="AGE57" s="0"/>
      <c r="AGF57" s="0"/>
      <c r="AGG57" s="0"/>
      <c r="AGH57" s="0"/>
      <c r="AGI57" s="0"/>
      <c r="AGJ57" s="0"/>
      <c r="AGK57" s="0"/>
      <c r="AGL57" s="0"/>
      <c r="AGM57" s="0"/>
      <c r="AGN57" s="0"/>
      <c r="AGO57" s="0"/>
      <c r="AGP57" s="0"/>
      <c r="AGQ57" s="0"/>
      <c r="AGR57" s="0"/>
      <c r="AGS57" s="0"/>
      <c r="AGT57" s="0"/>
      <c r="AGU57" s="0"/>
      <c r="AGV57" s="0"/>
      <c r="AGW57" s="0"/>
      <c r="AGX57" s="0"/>
      <c r="AGY57" s="0"/>
      <c r="AGZ57" s="0"/>
      <c r="AHA57" s="0"/>
      <c r="AHB57" s="0"/>
      <c r="AHC57" s="0"/>
      <c r="AHD57" s="0"/>
      <c r="AHE57" s="0"/>
      <c r="AHF57" s="0"/>
      <c r="AHG57" s="0"/>
      <c r="AHH57" s="0"/>
      <c r="AHI57" s="0"/>
      <c r="AHJ57" s="0"/>
      <c r="AHK57" s="0"/>
      <c r="AHL57" s="0"/>
      <c r="AHM57" s="0"/>
      <c r="AHN57" s="0"/>
      <c r="AHO57" s="0"/>
      <c r="AHP57" s="0"/>
      <c r="AHQ57" s="0"/>
      <c r="AHR57" s="0"/>
      <c r="AHS57" s="0"/>
      <c r="AHT57" s="0"/>
      <c r="AHU57" s="0"/>
      <c r="AHV57" s="0"/>
      <c r="AHW57" s="0"/>
      <c r="AHX57" s="0"/>
      <c r="AHY57" s="0"/>
      <c r="AHZ57" s="0"/>
      <c r="AIA57" s="0"/>
      <c r="AIB57" s="0"/>
      <c r="AIC57" s="0"/>
      <c r="AID57" s="0"/>
      <c r="AIE57" s="0"/>
      <c r="AIF57" s="0"/>
      <c r="AIG57" s="0"/>
      <c r="AIH57" s="0"/>
      <c r="AII57" s="0"/>
      <c r="AIJ57" s="0"/>
      <c r="AIK57" s="0"/>
      <c r="AIL57" s="0"/>
      <c r="AIM57" s="0"/>
      <c r="AIN57" s="0"/>
      <c r="AIO57" s="0"/>
      <c r="AIP57" s="0"/>
      <c r="AIQ57" s="0"/>
      <c r="AIR57" s="0"/>
      <c r="AIS57" s="0"/>
      <c r="AIT57" s="0"/>
      <c r="AIU57" s="0"/>
      <c r="AIV57" s="0"/>
      <c r="AIW57" s="0"/>
      <c r="AIX57" s="0"/>
      <c r="AIY57" s="0"/>
      <c r="AIZ57" s="0"/>
      <c r="AJA57" s="0"/>
      <c r="AJB57" s="0"/>
      <c r="AJC57" s="0"/>
      <c r="AJD57" s="0"/>
      <c r="AJE57" s="0"/>
      <c r="AJF57" s="0"/>
      <c r="AJG57" s="0"/>
      <c r="AJH57" s="0"/>
      <c r="AJI57" s="0"/>
      <c r="AJJ57" s="0"/>
      <c r="AJK57" s="0"/>
      <c r="AJL57" s="0"/>
      <c r="AJM57" s="0"/>
      <c r="AJN57" s="0"/>
      <c r="AJO57" s="0"/>
      <c r="AJP57" s="0"/>
      <c r="AJQ57" s="0"/>
      <c r="AJR57" s="0"/>
      <c r="AJS57" s="0"/>
      <c r="AJT57" s="0"/>
      <c r="AJU57" s="0"/>
      <c r="AJV57" s="0"/>
      <c r="AJW57" s="0"/>
      <c r="AJX57" s="0"/>
      <c r="AJY57" s="0"/>
      <c r="AJZ57" s="0"/>
      <c r="AKA57" s="0"/>
      <c r="AKB57" s="0"/>
      <c r="AKC57" s="0"/>
      <c r="AKD57" s="0"/>
      <c r="AKE57" s="0"/>
      <c r="AKF57" s="0"/>
      <c r="AKG57" s="0"/>
      <c r="AKH57" s="0"/>
      <c r="AKI57" s="0"/>
      <c r="AKJ57" s="0"/>
      <c r="AKK57" s="0"/>
      <c r="AKL57" s="0"/>
      <c r="AKM57" s="0"/>
      <c r="AKN57" s="0"/>
      <c r="AKO57" s="0"/>
      <c r="AKP57" s="0"/>
      <c r="AKQ57" s="0"/>
      <c r="AKR57" s="0"/>
      <c r="AKS57" s="0"/>
      <c r="AKT57" s="0"/>
      <c r="AKU57" s="0"/>
      <c r="AKV57" s="0"/>
      <c r="AKW57" s="0"/>
      <c r="AKX57" s="0"/>
      <c r="AKY57" s="0"/>
      <c r="AKZ57" s="0"/>
      <c r="ALA57" s="0"/>
      <c r="ALB57" s="0"/>
      <c r="ALC57" s="0"/>
      <c r="ALD57" s="0"/>
      <c r="ALE57" s="0"/>
      <c r="ALF57" s="0"/>
      <c r="ALG57" s="0"/>
      <c r="ALH57" s="0"/>
      <c r="ALI57" s="0"/>
      <c r="ALJ57" s="0"/>
      <c r="ALK57" s="0"/>
      <c r="ALL57" s="0"/>
      <c r="ALM57" s="0"/>
      <c r="ALN57" s="0"/>
      <c r="ALO57" s="0"/>
      <c r="ALP57" s="0"/>
      <c r="ALQ57" s="0"/>
      <c r="ALR57" s="0"/>
      <c r="ALS57" s="0"/>
      <c r="ALT57" s="0"/>
      <c r="ALU57" s="0"/>
      <c r="ALV57" s="0"/>
      <c r="ALW57" s="0"/>
      <c r="ALX57" s="0"/>
      <c r="ALY57" s="0"/>
      <c r="ALZ57" s="0"/>
      <c r="AMA57" s="0"/>
      <c r="AMB57" s="0"/>
      <c r="AMC57" s="0"/>
      <c r="AMD57" s="0"/>
      <c r="AME57" s="0"/>
      <c r="AMF57" s="0"/>
      <c r="AMG57" s="0"/>
      <c r="AMH57" s="0"/>
      <c r="AMI57" s="0"/>
      <c r="AMJ57" s="0"/>
      <c r="AMK57" s="0"/>
      <c r="AML57" s="0"/>
      <c r="AMM57" s="0"/>
      <c r="AMN57" s="0"/>
      <c r="AMO57" s="0"/>
      <c r="AMP57" s="0"/>
      <c r="AMQ57" s="0"/>
      <c r="AMR57" s="0"/>
      <c r="AMS57" s="0"/>
      <c r="AMT57" s="0"/>
      <c r="AMU57" s="0"/>
      <c r="AMV57" s="0"/>
      <c r="AMW57" s="0"/>
      <c r="AMX57" s="0"/>
      <c r="AMY57" s="0"/>
      <c r="AMZ57" s="0"/>
      <c r="ANA57" s="0"/>
      <c r="ANB57" s="0"/>
      <c r="ANC57" s="0"/>
      <c r="AND57" s="0"/>
      <c r="ANE57" s="0"/>
      <c r="ANF57" s="0"/>
      <c r="ANG57" s="0"/>
      <c r="ANH57" s="0"/>
      <c r="ANI57" s="0"/>
      <c r="ANJ57" s="0"/>
      <c r="ANK57" s="0"/>
      <c r="ANL57" s="0"/>
      <c r="ANM57" s="0"/>
      <c r="ANN57" s="0"/>
      <c r="ANO57" s="0"/>
      <c r="ANP57" s="0"/>
      <c r="ANQ57" s="0"/>
      <c r="ANR57" s="0"/>
      <c r="ANS57" s="0"/>
      <c r="ANT57" s="0"/>
      <c r="ANU57" s="0"/>
      <c r="ANV57" s="0"/>
      <c r="ANW57" s="0"/>
      <c r="ANX57" s="0"/>
      <c r="ANY57" s="0"/>
      <c r="ANZ57" s="0"/>
      <c r="AOA57" s="0"/>
      <c r="AOB57" s="0"/>
      <c r="AOC57" s="0"/>
      <c r="AOD57" s="0"/>
      <c r="AOE57" s="0"/>
      <c r="AOF57" s="0"/>
      <c r="AOG57" s="0"/>
      <c r="AOH57" s="0"/>
      <c r="AOI57" s="0"/>
      <c r="AOJ57" s="0"/>
      <c r="AOK57" s="0"/>
      <c r="AOL57" s="0"/>
      <c r="AOM57" s="0"/>
      <c r="AON57" s="0"/>
      <c r="AOO57" s="0"/>
      <c r="AOP57" s="0"/>
      <c r="AOQ57" s="0"/>
      <c r="AOR57" s="0"/>
      <c r="AOS57" s="0"/>
      <c r="AOT57" s="0"/>
      <c r="AOU57" s="0"/>
      <c r="AOV57" s="0"/>
      <c r="AOW57" s="0"/>
      <c r="AOX57" s="0"/>
      <c r="AOY57" s="0"/>
      <c r="AOZ57" s="0"/>
      <c r="APA57" s="0"/>
      <c r="APB57" s="0"/>
      <c r="APC57" s="0"/>
      <c r="APD57" s="0"/>
      <c r="APE57" s="0"/>
      <c r="APF57" s="0"/>
      <c r="APG57" s="0"/>
      <c r="APH57" s="0"/>
      <c r="API57" s="0"/>
      <c r="APJ57" s="0"/>
      <c r="APK57" s="0"/>
      <c r="APL57" s="0"/>
      <c r="APM57" s="0"/>
      <c r="APN57" s="0"/>
      <c r="APO57" s="0"/>
      <c r="APP57" s="0"/>
      <c r="APQ57" s="0"/>
      <c r="APR57" s="0"/>
      <c r="APS57" s="0"/>
      <c r="APT57" s="0"/>
      <c r="APU57" s="0"/>
      <c r="APV57" s="0"/>
      <c r="APW57" s="0"/>
      <c r="APX57" s="0"/>
      <c r="APY57" s="0"/>
      <c r="APZ57" s="0"/>
      <c r="AQA57" s="0"/>
      <c r="AQB57" s="0"/>
      <c r="AQC57" s="0"/>
      <c r="AQD57" s="0"/>
      <c r="AQE57" s="0"/>
      <c r="AQF57" s="0"/>
      <c r="AQG57" s="0"/>
      <c r="AQH57" s="0"/>
      <c r="AQI57" s="0"/>
      <c r="AQJ57" s="0"/>
      <c r="AQK57" s="0"/>
      <c r="AQL57" s="0"/>
      <c r="AQM57" s="0"/>
      <c r="AQN57" s="0"/>
      <c r="AQO57" s="0"/>
      <c r="AQP57" s="0"/>
      <c r="AQQ57" s="0"/>
      <c r="AQR57" s="0"/>
      <c r="AQS57" s="0"/>
      <c r="AQT57" s="0"/>
      <c r="AQU57" s="0"/>
      <c r="AQV57" s="0"/>
      <c r="AQW57" s="0"/>
      <c r="AQX57" s="0"/>
      <c r="AQY57" s="0"/>
      <c r="AQZ57" s="0"/>
      <c r="ARA57" s="0"/>
      <c r="ARB57" s="0"/>
      <c r="ARC57" s="0"/>
      <c r="ARD57" s="0"/>
      <c r="ARE57" s="0"/>
      <c r="ARF57" s="0"/>
      <c r="ARG57" s="0"/>
      <c r="ARH57" s="0"/>
      <c r="ARI57" s="0"/>
      <c r="ARJ57" s="0"/>
      <c r="ARK57" s="0"/>
      <c r="ARL57" s="0"/>
      <c r="ARM57" s="0"/>
      <c r="ARN57" s="0"/>
      <c r="ARO57" s="0"/>
      <c r="ARP57" s="0"/>
      <c r="ARQ57" s="0"/>
      <c r="ARR57" s="0"/>
      <c r="ARS57" s="0"/>
      <c r="ART57" s="0"/>
      <c r="ARU57" s="0"/>
      <c r="ARV57" s="0"/>
      <c r="ARW57" s="0"/>
      <c r="ARX57" s="0"/>
      <c r="ARY57" s="0"/>
      <c r="ARZ57" s="0"/>
      <c r="ASA57" s="0"/>
      <c r="ASB57" s="0"/>
      <c r="ASC57" s="0"/>
      <c r="ASD57" s="0"/>
      <c r="ASE57" s="0"/>
      <c r="ASF57" s="0"/>
      <c r="ASG57" s="0"/>
      <c r="ASH57" s="0"/>
      <c r="ASI57" s="0"/>
      <c r="ASJ57" s="0"/>
      <c r="ASK57" s="0"/>
      <c r="ASL57" s="0"/>
      <c r="ASM57" s="0"/>
      <c r="ASN57" s="0"/>
      <c r="ASO57" s="0"/>
      <c r="ASP57" s="0"/>
      <c r="ASQ57" s="0"/>
      <c r="ASR57" s="0"/>
      <c r="ASS57" s="0"/>
      <c r="AST57" s="0"/>
      <c r="ASU57" s="0"/>
      <c r="ASV57" s="0"/>
      <c r="ASW57" s="0"/>
      <c r="ASX57" s="0"/>
      <c r="ASY57" s="0"/>
      <c r="ASZ57" s="0"/>
      <c r="ATA57" s="0"/>
      <c r="ATB57" s="0"/>
      <c r="ATC57" s="0"/>
      <c r="ATD57" s="0"/>
      <c r="ATE57" s="0"/>
      <c r="ATF57" s="0"/>
      <c r="ATG57" s="0"/>
      <c r="ATH57" s="0"/>
      <c r="ATI57" s="0"/>
      <c r="ATJ57" s="0"/>
      <c r="ATK57" s="0"/>
      <c r="ATL57" s="0"/>
      <c r="ATM57" s="0"/>
      <c r="ATN57" s="0"/>
      <c r="ATO57" s="0"/>
      <c r="ATP57" s="0"/>
      <c r="ATQ57" s="0"/>
      <c r="ATR57" s="0"/>
      <c r="ATS57" s="0"/>
      <c r="ATT57" s="0"/>
      <c r="ATU57" s="0"/>
      <c r="ATV57" s="0"/>
      <c r="ATW57" s="0"/>
      <c r="ATX57" s="0"/>
      <c r="ATY57" s="0"/>
      <c r="ATZ57" s="0"/>
      <c r="AUA57" s="0"/>
      <c r="AUB57" s="0"/>
      <c r="AUC57" s="0"/>
      <c r="AUD57" s="0"/>
      <c r="AUE57" s="0"/>
      <c r="AUF57" s="0"/>
      <c r="AUG57" s="0"/>
      <c r="AUH57" s="0"/>
      <c r="AUI57" s="0"/>
      <c r="AUJ57" s="0"/>
      <c r="AUK57" s="0"/>
      <c r="AUL57" s="0"/>
      <c r="AUM57" s="0"/>
      <c r="AUN57" s="0"/>
      <c r="AUO57" s="0"/>
      <c r="AUP57" s="0"/>
      <c r="AUQ57" s="0"/>
      <c r="AUR57" s="0"/>
      <c r="AUS57" s="0"/>
      <c r="AUT57" s="0"/>
      <c r="AUU57" s="0"/>
      <c r="AUV57" s="0"/>
      <c r="AUW57" s="0"/>
      <c r="AUX57" s="0"/>
      <c r="AUY57" s="0"/>
      <c r="AUZ57" s="0"/>
      <c r="AVA57" s="0"/>
      <c r="AVB57" s="0"/>
      <c r="AVC57" s="0"/>
      <c r="AVD57" s="0"/>
      <c r="AVE57" s="0"/>
      <c r="AVF57" s="0"/>
      <c r="AVG57" s="0"/>
      <c r="AVH57" s="0"/>
      <c r="AVI57" s="0"/>
      <c r="AVJ57" s="0"/>
      <c r="AVK57" s="0"/>
      <c r="AVL57" s="0"/>
      <c r="AVM57" s="0"/>
      <c r="AVN57" s="0"/>
      <c r="AVO57" s="0"/>
      <c r="AVP57" s="0"/>
      <c r="AVQ57" s="0"/>
      <c r="AVR57" s="0"/>
      <c r="AVS57" s="0"/>
      <c r="AVT57" s="0"/>
      <c r="AVU57" s="0"/>
      <c r="AVV57" s="0"/>
      <c r="AVW57" s="0"/>
      <c r="AVX57" s="0"/>
      <c r="AVY57" s="0"/>
      <c r="AVZ57" s="0"/>
      <c r="AWA57" s="0"/>
      <c r="AWB57" s="0"/>
      <c r="AWC57" s="0"/>
      <c r="AWD57" s="0"/>
      <c r="AWE57" s="0"/>
      <c r="AWF57" s="0"/>
      <c r="AWG57" s="0"/>
      <c r="AWH57" s="0"/>
      <c r="AWI57" s="0"/>
      <c r="AWJ57" s="0"/>
      <c r="AWK57" s="0"/>
      <c r="AWL57" s="0"/>
      <c r="AWM57" s="0"/>
      <c r="AWN57" s="0"/>
      <c r="AWO57" s="0"/>
      <c r="AWP57" s="0"/>
      <c r="AWQ57" s="0"/>
      <c r="AWR57" s="0"/>
      <c r="AWS57" s="0"/>
      <c r="AWT57" s="0"/>
      <c r="AWU57" s="0"/>
      <c r="AWV57" s="0"/>
      <c r="AWW57" s="0"/>
      <c r="AWX57" s="0"/>
      <c r="AWY57" s="0"/>
      <c r="AWZ57" s="0"/>
      <c r="AXA57" s="0"/>
      <c r="AXB57" s="0"/>
      <c r="AXC57" s="0"/>
      <c r="AXD57" s="0"/>
      <c r="AXE57" s="0"/>
      <c r="AXF57" s="0"/>
      <c r="AXG57" s="0"/>
      <c r="AXH57" s="0"/>
      <c r="AXI57" s="0"/>
      <c r="AXJ57" s="0"/>
      <c r="AXK57" s="0"/>
      <c r="AXL57" s="0"/>
      <c r="AXM57" s="0"/>
      <c r="AXN57" s="0"/>
      <c r="AXO57" s="0"/>
      <c r="AXP57" s="0"/>
      <c r="AXQ57" s="0"/>
      <c r="AXR57" s="0"/>
      <c r="AXS57" s="0"/>
      <c r="AXT57" s="0"/>
      <c r="AXU57" s="0"/>
      <c r="AXV57" s="0"/>
      <c r="AXW57" s="0"/>
      <c r="AXX57" s="0"/>
      <c r="AXY57" s="0"/>
      <c r="AXZ57" s="0"/>
      <c r="AYA57" s="0"/>
      <c r="AYB57" s="0"/>
      <c r="AYC57" s="0"/>
      <c r="AYD57" s="0"/>
      <c r="AYE57" s="0"/>
      <c r="AYF57" s="0"/>
      <c r="AYG57" s="0"/>
      <c r="AYH57" s="0"/>
      <c r="AYI57" s="0"/>
      <c r="AYJ57" s="0"/>
      <c r="AYK57" s="0"/>
      <c r="AYL57" s="0"/>
      <c r="AYM57" s="0"/>
      <c r="AYN57" s="0"/>
      <c r="AYO57" s="0"/>
      <c r="AYP57" s="0"/>
      <c r="AYQ57" s="0"/>
      <c r="AYR57" s="0"/>
      <c r="AYS57" s="0"/>
      <c r="AYT57" s="0"/>
      <c r="AYU57" s="0"/>
      <c r="AYV57" s="0"/>
      <c r="AYW57" s="0"/>
      <c r="AYX57" s="0"/>
      <c r="AYY57" s="0"/>
      <c r="AYZ57" s="0"/>
      <c r="AZA57" s="0"/>
      <c r="AZB57" s="0"/>
      <c r="AZC57" s="0"/>
      <c r="AZD57" s="0"/>
      <c r="AZE57" s="0"/>
      <c r="AZF57" s="0"/>
      <c r="AZG57" s="0"/>
      <c r="AZH57" s="0"/>
      <c r="AZI57" s="0"/>
      <c r="AZJ57" s="0"/>
      <c r="AZK57" s="0"/>
      <c r="AZL57" s="0"/>
      <c r="AZM57" s="0"/>
      <c r="AZN57" s="0"/>
      <c r="AZO57" s="0"/>
      <c r="AZP57" s="0"/>
      <c r="AZQ57" s="0"/>
      <c r="AZR57" s="0"/>
      <c r="AZS57" s="0"/>
      <c r="AZT57" s="0"/>
      <c r="AZU57" s="0"/>
      <c r="AZV57" s="0"/>
      <c r="AZW57" s="0"/>
      <c r="AZX57" s="0"/>
      <c r="AZY57" s="0"/>
      <c r="AZZ57" s="0"/>
      <c r="BAA57" s="0"/>
      <c r="BAB57" s="0"/>
      <c r="BAC57" s="0"/>
      <c r="BAD57" s="0"/>
      <c r="BAE57" s="0"/>
      <c r="BAF57" s="0"/>
      <c r="BAG57" s="0"/>
      <c r="BAH57" s="0"/>
      <c r="BAI57" s="0"/>
      <c r="BAJ57" s="0"/>
      <c r="BAK57" s="0"/>
      <c r="BAL57" s="0"/>
      <c r="BAM57" s="0"/>
      <c r="BAN57" s="0"/>
      <c r="BAO57" s="0"/>
      <c r="BAP57" s="0"/>
      <c r="BAQ57" s="0"/>
      <c r="BAR57" s="0"/>
      <c r="BAS57" s="0"/>
      <c r="BAT57" s="0"/>
      <c r="BAU57" s="0"/>
      <c r="BAV57" s="0"/>
      <c r="BAW57" s="0"/>
      <c r="BAX57" s="0"/>
      <c r="BAY57" s="0"/>
      <c r="BAZ57" s="0"/>
      <c r="BBA57" s="0"/>
      <c r="BBB57" s="0"/>
      <c r="BBC57" s="0"/>
      <c r="BBD57" s="0"/>
      <c r="BBE57" s="0"/>
      <c r="BBF57" s="0"/>
      <c r="BBG57" s="0"/>
      <c r="BBH57" s="0"/>
      <c r="BBI57" s="0"/>
      <c r="BBJ57" s="0"/>
      <c r="BBK57" s="0"/>
      <c r="BBL57" s="0"/>
      <c r="BBM57" s="0"/>
      <c r="BBN57" s="0"/>
      <c r="BBO57" s="0"/>
      <c r="BBP57" s="0"/>
      <c r="BBQ57" s="0"/>
      <c r="BBR57" s="0"/>
      <c r="BBS57" s="0"/>
      <c r="BBT57" s="0"/>
      <c r="BBU57" s="0"/>
      <c r="BBV57" s="0"/>
      <c r="BBW57" s="0"/>
      <c r="BBX57" s="0"/>
      <c r="BBY57" s="0"/>
      <c r="BBZ57" s="0"/>
      <c r="BCA57" s="0"/>
      <c r="BCB57" s="0"/>
      <c r="BCC57" s="0"/>
      <c r="BCD57" s="0"/>
      <c r="BCE57" s="0"/>
      <c r="BCF57" s="0"/>
      <c r="BCG57" s="0"/>
      <c r="BCH57" s="0"/>
      <c r="BCI57" s="0"/>
      <c r="BCJ57" s="0"/>
      <c r="BCK57" s="0"/>
      <c r="BCL57" s="0"/>
      <c r="BCM57" s="0"/>
      <c r="BCN57" s="0"/>
      <c r="BCO57" s="0"/>
      <c r="BCP57" s="0"/>
      <c r="BCQ57" s="0"/>
      <c r="BCR57" s="0"/>
      <c r="BCS57" s="0"/>
      <c r="BCT57" s="0"/>
      <c r="BCU57" s="0"/>
      <c r="BCV57" s="0"/>
      <c r="BCW57" s="0"/>
      <c r="BCX57" s="0"/>
      <c r="BCY57" s="0"/>
      <c r="BCZ57" s="0"/>
      <c r="BDA57" s="0"/>
      <c r="BDB57" s="0"/>
      <c r="BDC57" s="0"/>
      <c r="BDD57" s="0"/>
      <c r="BDE57" s="0"/>
      <c r="BDF57" s="0"/>
      <c r="BDG57" s="0"/>
      <c r="BDH57" s="0"/>
      <c r="BDI57" s="0"/>
      <c r="BDJ57" s="0"/>
      <c r="BDK57" s="0"/>
      <c r="BDL57" s="0"/>
      <c r="BDM57" s="0"/>
      <c r="BDN57" s="0"/>
      <c r="BDO57" s="0"/>
      <c r="BDP57" s="0"/>
      <c r="BDQ57" s="0"/>
      <c r="BDR57" s="0"/>
      <c r="BDS57" s="0"/>
      <c r="BDT57" s="0"/>
      <c r="BDU57" s="0"/>
      <c r="BDV57" s="0"/>
      <c r="BDW57" s="0"/>
      <c r="BDX57" s="0"/>
      <c r="BDY57" s="0"/>
      <c r="BDZ57" s="0"/>
      <c r="BEA57" s="0"/>
      <c r="BEB57" s="0"/>
      <c r="BEC57" s="0"/>
      <c r="BED57" s="0"/>
      <c r="BEE57" s="0"/>
      <c r="BEF57" s="0"/>
      <c r="BEG57" s="0"/>
      <c r="BEH57" s="0"/>
      <c r="BEI57" s="0"/>
      <c r="BEJ57" s="0"/>
      <c r="BEK57" s="0"/>
      <c r="BEL57" s="0"/>
      <c r="BEM57" s="0"/>
      <c r="BEN57" s="0"/>
      <c r="BEO57" s="0"/>
      <c r="BEP57" s="0"/>
      <c r="BEQ57" s="0"/>
      <c r="BER57" s="0"/>
      <c r="BES57" s="0"/>
      <c r="BET57" s="0"/>
      <c r="BEU57" s="0"/>
      <c r="BEV57" s="0"/>
      <c r="BEW57" s="0"/>
      <c r="BEX57" s="0"/>
      <c r="BEY57" s="0"/>
      <c r="BEZ57" s="0"/>
      <c r="BFA57" s="0"/>
      <c r="BFB57" s="0"/>
      <c r="BFC57" s="0"/>
      <c r="BFD57" s="0"/>
      <c r="BFE57" s="0"/>
      <c r="BFF57" s="0"/>
      <c r="BFG57" s="0"/>
      <c r="BFH57" s="0"/>
      <c r="BFI57" s="0"/>
      <c r="BFJ57" s="0"/>
      <c r="BFK57" s="0"/>
      <c r="BFL57" s="0"/>
      <c r="BFM57" s="0"/>
      <c r="BFN57" s="0"/>
      <c r="BFO57" s="0"/>
      <c r="BFP57" s="0"/>
      <c r="BFQ57" s="0"/>
      <c r="BFR57" s="0"/>
      <c r="BFS57" s="0"/>
      <c r="BFT57" s="0"/>
      <c r="BFU57" s="0"/>
      <c r="BFV57" s="0"/>
      <c r="BFW57" s="0"/>
      <c r="BFX57" s="0"/>
      <c r="BFY57" s="0"/>
      <c r="BFZ57" s="0"/>
      <c r="BGA57" s="0"/>
      <c r="BGB57" s="0"/>
      <c r="BGC57" s="0"/>
      <c r="BGD57" s="0"/>
      <c r="BGE57" s="0"/>
      <c r="BGF57" s="0"/>
      <c r="BGG57" s="0"/>
      <c r="BGH57" s="0"/>
      <c r="BGI57" s="0"/>
      <c r="BGJ57" s="0"/>
      <c r="BGK57" s="0"/>
      <c r="BGL57" s="0"/>
      <c r="BGM57" s="0"/>
      <c r="BGN57" s="0"/>
      <c r="BGO57" s="0"/>
      <c r="BGP57" s="0"/>
      <c r="BGQ57" s="0"/>
      <c r="BGR57" s="0"/>
      <c r="BGS57" s="0"/>
      <c r="BGT57" s="0"/>
      <c r="BGU57" s="0"/>
      <c r="BGV57" s="0"/>
      <c r="BGW57" s="0"/>
      <c r="BGX57" s="0"/>
      <c r="BGY57" s="0"/>
      <c r="BGZ57" s="0"/>
      <c r="BHA57" s="0"/>
      <c r="BHB57" s="0"/>
      <c r="BHC57" s="0"/>
      <c r="BHD57" s="0"/>
      <c r="BHE57" s="0"/>
      <c r="BHF57" s="0"/>
      <c r="BHG57" s="0"/>
      <c r="BHH57" s="0"/>
      <c r="BHI57" s="0"/>
      <c r="BHJ57" s="0"/>
      <c r="BHK57" s="0"/>
      <c r="BHL57" s="0"/>
      <c r="BHM57" s="0"/>
      <c r="BHN57" s="0"/>
      <c r="BHO57" s="0"/>
      <c r="BHP57" s="0"/>
      <c r="BHQ57" s="0"/>
      <c r="BHR57" s="0"/>
      <c r="BHS57" s="0"/>
      <c r="BHT57" s="0"/>
      <c r="BHU57" s="0"/>
      <c r="BHV57" s="0"/>
      <c r="BHW57" s="0"/>
      <c r="BHX57" s="0"/>
      <c r="BHY57" s="0"/>
      <c r="BHZ57" s="0"/>
      <c r="BIA57" s="0"/>
      <c r="BIB57" s="0"/>
      <c r="BIC57" s="0"/>
      <c r="BID57" s="0"/>
      <c r="BIE57" s="0"/>
      <c r="BIF57" s="0"/>
      <c r="BIG57" s="0"/>
      <c r="BIH57" s="0"/>
      <c r="BII57" s="0"/>
      <c r="BIJ57" s="0"/>
      <c r="BIK57" s="0"/>
      <c r="BIL57" s="0"/>
      <c r="BIM57" s="0"/>
      <c r="BIN57" s="0"/>
      <c r="BIO57" s="0"/>
      <c r="BIP57" s="0"/>
      <c r="BIQ57" s="0"/>
      <c r="BIR57" s="0"/>
      <c r="BIS57" s="0"/>
      <c r="BIT57" s="0"/>
      <c r="BIU57" s="0"/>
      <c r="BIV57" s="0"/>
      <c r="BIW57" s="0"/>
      <c r="BIX57" s="0"/>
      <c r="BIY57" s="0"/>
      <c r="BIZ57" s="0"/>
      <c r="BJA57" s="0"/>
      <c r="BJB57" s="0"/>
      <c r="BJC57" s="0"/>
      <c r="BJD57" s="0"/>
      <c r="BJE57" s="0"/>
      <c r="BJF57" s="0"/>
      <c r="BJG57" s="0"/>
      <c r="BJH57" s="0"/>
      <c r="BJI57" s="0"/>
      <c r="BJJ57" s="0"/>
      <c r="BJK57" s="0"/>
      <c r="BJL57" s="0"/>
      <c r="BJM57" s="0"/>
      <c r="BJN57" s="0"/>
      <c r="BJO57" s="0"/>
      <c r="BJP57" s="0"/>
      <c r="BJQ57" s="0"/>
      <c r="BJR57" s="0"/>
      <c r="BJS57" s="0"/>
      <c r="BJT57" s="0"/>
      <c r="BJU57" s="0"/>
      <c r="BJV57" s="0"/>
      <c r="BJW57" s="0"/>
      <c r="BJX57" s="0"/>
      <c r="BJY57" s="0"/>
      <c r="BJZ57" s="0"/>
      <c r="BKA57" s="0"/>
      <c r="BKB57" s="0"/>
      <c r="BKC57" s="0"/>
      <c r="BKD57" s="0"/>
      <c r="BKE57" s="0"/>
      <c r="BKF57" s="0"/>
      <c r="BKG57" s="0"/>
      <c r="BKH57" s="0"/>
      <c r="BKI57" s="0"/>
      <c r="BKJ57" s="0"/>
      <c r="BKK57" s="0"/>
      <c r="BKL57" s="0"/>
      <c r="BKM57" s="0"/>
      <c r="BKN57" s="0"/>
      <c r="BKO57" s="0"/>
      <c r="BKP57" s="0"/>
      <c r="BKQ57" s="0"/>
      <c r="BKR57" s="0"/>
      <c r="BKS57" s="0"/>
      <c r="BKT57" s="0"/>
      <c r="BKU57" s="0"/>
      <c r="BKV57" s="0"/>
      <c r="BKW57" s="0"/>
      <c r="BKX57" s="0"/>
      <c r="BKY57" s="0"/>
      <c r="BKZ57" s="0"/>
      <c r="BLA57" s="0"/>
      <c r="BLB57" s="0"/>
      <c r="BLC57" s="0"/>
      <c r="BLD57" s="0"/>
      <c r="BLE57" s="0"/>
      <c r="BLF57" s="0"/>
      <c r="BLG57" s="0"/>
      <c r="BLH57" s="0"/>
      <c r="BLI57" s="0"/>
      <c r="BLJ57" s="0"/>
      <c r="BLK57" s="0"/>
      <c r="BLL57" s="0"/>
      <c r="BLM57" s="0"/>
      <c r="BLN57" s="0"/>
      <c r="BLO57" s="0"/>
      <c r="BLP57" s="0"/>
      <c r="BLQ57" s="0"/>
      <c r="BLR57" s="0"/>
      <c r="BLS57" s="0"/>
      <c r="BLT57" s="0"/>
      <c r="BLU57" s="0"/>
      <c r="BLV57" s="0"/>
      <c r="BLW57" s="0"/>
      <c r="BLX57" s="0"/>
      <c r="BLY57" s="0"/>
      <c r="BLZ57" s="0"/>
      <c r="BMA57" s="0"/>
      <c r="BMB57" s="0"/>
      <c r="BMC57" s="0"/>
      <c r="BMD57" s="0"/>
      <c r="BME57" s="0"/>
      <c r="BMF57" s="0"/>
      <c r="BMG57" s="0"/>
      <c r="BMH57" s="0"/>
      <c r="BMI57" s="0"/>
      <c r="BMJ57" s="0"/>
      <c r="BMK57" s="0"/>
      <c r="BML57" s="0"/>
      <c r="BMM57" s="0"/>
      <c r="BMN57" s="0"/>
      <c r="BMO57" s="0"/>
      <c r="BMP57" s="0"/>
      <c r="BMQ57" s="0"/>
      <c r="BMR57" s="0"/>
      <c r="BMS57" s="0"/>
      <c r="BMT57" s="0"/>
      <c r="BMU57" s="0"/>
      <c r="BMV57" s="0"/>
      <c r="BMW57" s="0"/>
      <c r="BMX57" s="0"/>
      <c r="BMY57" s="0"/>
      <c r="BMZ57" s="0"/>
      <c r="BNA57" s="0"/>
      <c r="BNB57" s="0"/>
      <c r="BNC57" s="0"/>
      <c r="BND57" s="0"/>
      <c r="BNE57" s="0"/>
      <c r="BNF57" s="0"/>
      <c r="BNG57" s="0"/>
      <c r="BNH57" s="0"/>
      <c r="BNI57" s="0"/>
      <c r="BNJ57" s="0"/>
      <c r="BNK57" s="0"/>
      <c r="BNL57" s="0"/>
      <c r="BNM57" s="0"/>
      <c r="BNN57" s="0"/>
      <c r="BNO57" s="0"/>
      <c r="BNP57" s="0"/>
      <c r="BNQ57" s="0"/>
      <c r="BNR57" s="0"/>
      <c r="BNS57" s="0"/>
      <c r="BNT57" s="0"/>
      <c r="BNU57" s="0"/>
      <c r="BNV57" s="0"/>
      <c r="BNW57" s="0"/>
      <c r="BNX57" s="0"/>
      <c r="BNY57" s="0"/>
      <c r="BNZ57" s="0"/>
      <c r="BOA57" s="0"/>
      <c r="BOB57" s="0"/>
      <c r="BOC57" s="0"/>
      <c r="BOD57" s="0"/>
      <c r="BOE57" s="0"/>
      <c r="BOF57" s="0"/>
      <c r="BOG57" s="0"/>
      <c r="BOH57" s="0"/>
      <c r="BOI57" s="0"/>
      <c r="BOJ57" s="0"/>
      <c r="BOK57" s="0"/>
      <c r="BOL57" s="0"/>
      <c r="BOM57" s="0"/>
      <c r="BON57" s="0"/>
      <c r="BOO57" s="0"/>
      <c r="BOP57" s="0"/>
      <c r="BOQ57" s="0"/>
      <c r="BOR57" s="0"/>
      <c r="BOS57" s="0"/>
      <c r="BOT57" s="0"/>
      <c r="BOU57" s="0"/>
      <c r="BOV57" s="0"/>
      <c r="BOW57" s="0"/>
      <c r="BOX57" s="0"/>
      <c r="BOY57" s="0"/>
      <c r="BOZ57" s="0"/>
      <c r="BPA57" s="0"/>
      <c r="BPB57" s="0"/>
      <c r="BPC57" s="0"/>
      <c r="BPD57" s="0"/>
      <c r="BPE57" s="0"/>
      <c r="BPF57" s="0"/>
      <c r="BPG57" s="0"/>
      <c r="BPH57" s="0"/>
      <c r="BPI57" s="0"/>
      <c r="BPJ57" s="0"/>
      <c r="BPK57" s="0"/>
      <c r="BPL57" s="0"/>
      <c r="BPM57" s="0"/>
      <c r="BPN57" s="0"/>
      <c r="BPO57" s="0"/>
      <c r="BPP57" s="0"/>
      <c r="BPQ57" s="0"/>
      <c r="BPR57" s="0"/>
      <c r="BPS57" s="0"/>
      <c r="BPT57" s="0"/>
      <c r="BPU57" s="0"/>
      <c r="BPV57" s="0"/>
      <c r="BPW57" s="0"/>
      <c r="BPX57" s="0"/>
      <c r="BPY57" s="0"/>
      <c r="BPZ57" s="0"/>
      <c r="BQA57" s="0"/>
      <c r="BQB57" s="0"/>
      <c r="BQC57" s="0"/>
      <c r="BQD57" s="0"/>
      <c r="BQE57" s="0"/>
      <c r="BQF57" s="0"/>
      <c r="BQG57" s="0"/>
      <c r="BQH57" s="0"/>
      <c r="BQI57" s="0"/>
      <c r="BQJ57" s="0"/>
      <c r="BQK57" s="0"/>
      <c r="BQL57" s="0"/>
      <c r="BQM57" s="0"/>
      <c r="BQN57" s="0"/>
      <c r="BQO57" s="0"/>
      <c r="BQP57" s="0"/>
      <c r="BQQ57" s="0"/>
      <c r="BQR57" s="0"/>
      <c r="BQS57" s="0"/>
      <c r="BQT57" s="0"/>
      <c r="BQU57" s="0"/>
      <c r="BQV57" s="0"/>
      <c r="BQW57" s="0"/>
      <c r="BQX57" s="0"/>
      <c r="BQY57" s="0"/>
      <c r="BQZ57" s="0"/>
      <c r="BRA57" s="0"/>
      <c r="BRB57" s="0"/>
      <c r="BRC57" s="0"/>
      <c r="BRD57" s="0"/>
      <c r="BRE57" s="0"/>
      <c r="BRF57" s="0"/>
      <c r="BRG57" s="0"/>
      <c r="BRH57" s="0"/>
      <c r="BRI57" s="0"/>
      <c r="BRJ57" s="0"/>
      <c r="BRK57" s="0"/>
      <c r="BRL57" s="0"/>
      <c r="BRM57" s="0"/>
      <c r="BRN57" s="0"/>
      <c r="BRO57" s="0"/>
      <c r="BRP57" s="0"/>
      <c r="BRQ57" s="0"/>
      <c r="BRR57" s="0"/>
      <c r="BRS57" s="0"/>
      <c r="BRT57" s="0"/>
      <c r="BRU57" s="0"/>
      <c r="BRV57" s="0"/>
      <c r="BRW57" s="0"/>
      <c r="BRX57" s="0"/>
      <c r="BRY57" s="0"/>
      <c r="BRZ57" s="0"/>
      <c r="BSA57" s="0"/>
      <c r="BSB57" s="0"/>
      <c r="BSC57" s="0"/>
      <c r="BSD57" s="0"/>
      <c r="BSE57" s="0"/>
      <c r="BSF57" s="0"/>
      <c r="BSG57" s="0"/>
      <c r="BSH57" s="0"/>
      <c r="BSI57" s="0"/>
      <c r="BSJ57" s="0"/>
      <c r="BSK57" s="0"/>
      <c r="BSL57" s="0"/>
      <c r="BSM57" s="0"/>
      <c r="BSN57" s="0"/>
      <c r="BSO57" s="0"/>
      <c r="BSP57" s="0"/>
      <c r="BSQ57" s="0"/>
      <c r="BSR57" s="0"/>
      <c r="BSS57" s="0"/>
      <c r="BST57" s="0"/>
      <c r="BSU57" s="0"/>
      <c r="BSV57" s="0"/>
      <c r="BSW57" s="0"/>
      <c r="BSX57" s="0"/>
      <c r="BSY57" s="0"/>
      <c r="BSZ57" s="0"/>
      <c r="BTA57" s="0"/>
      <c r="BTB57" s="0"/>
      <c r="BTC57" s="0"/>
      <c r="BTD57" s="0"/>
      <c r="BTE57" s="0"/>
      <c r="BTF57" s="0"/>
      <c r="BTG57" s="0"/>
      <c r="BTH57" s="0"/>
      <c r="BTI57" s="0"/>
      <c r="BTJ57" s="0"/>
      <c r="BTK57" s="0"/>
      <c r="BTL57" s="0"/>
      <c r="BTM57" s="0"/>
      <c r="BTN57" s="0"/>
      <c r="BTO57" s="0"/>
      <c r="BTP57" s="0"/>
      <c r="BTQ57" s="0"/>
      <c r="BTR57" s="0"/>
      <c r="BTS57" s="0"/>
      <c r="BTT57" s="0"/>
      <c r="BTU57" s="0"/>
      <c r="BTV57" s="0"/>
      <c r="BTW57" s="0"/>
      <c r="BTX57" s="0"/>
      <c r="BTY57" s="0"/>
      <c r="BTZ57" s="0"/>
      <c r="BUA57" s="0"/>
      <c r="BUB57" s="0"/>
      <c r="BUC57" s="0"/>
      <c r="BUD57" s="0"/>
      <c r="BUE57" s="0"/>
      <c r="BUF57" s="0"/>
      <c r="BUG57" s="0"/>
      <c r="BUH57" s="0"/>
      <c r="BUI57" s="0"/>
      <c r="BUJ57" s="0"/>
      <c r="BUK57" s="0"/>
      <c r="BUL57" s="0"/>
      <c r="BUM57" s="0"/>
      <c r="BUN57" s="0"/>
      <c r="BUO57" s="0"/>
      <c r="BUP57" s="0"/>
      <c r="BUQ57" s="0"/>
      <c r="BUR57" s="0"/>
      <c r="BUS57" s="0"/>
      <c r="BUT57" s="0"/>
      <c r="BUU57" s="0"/>
      <c r="BUV57" s="0"/>
      <c r="BUW57" s="0"/>
      <c r="BUX57" s="0"/>
      <c r="BUY57" s="0"/>
      <c r="BUZ57" s="0"/>
      <c r="BVA57" s="0"/>
      <c r="BVB57" s="0"/>
      <c r="BVC57" s="0"/>
      <c r="BVD57" s="0"/>
      <c r="BVE57" s="0"/>
      <c r="BVF57" s="0"/>
      <c r="BVG57" s="0"/>
      <c r="BVH57" s="0"/>
      <c r="BVI57" s="0"/>
      <c r="BVJ57" s="0"/>
      <c r="BVK57" s="0"/>
      <c r="BVL57" s="0"/>
      <c r="BVM57" s="0"/>
      <c r="BVN57" s="0"/>
      <c r="BVO57" s="0"/>
      <c r="BVP57" s="0"/>
      <c r="BVQ57" s="0"/>
      <c r="BVR57" s="0"/>
      <c r="BVS57" s="0"/>
      <c r="BVT57" s="0"/>
      <c r="BVU57" s="0"/>
      <c r="BVV57" s="0"/>
      <c r="BVW57" s="0"/>
      <c r="BVX57" s="0"/>
      <c r="BVY57" s="0"/>
      <c r="BVZ57" s="0"/>
      <c r="BWA57" s="0"/>
      <c r="BWB57" s="0"/>
      <c r="BWC57" s="0"/>
      <c r="BWD57" s="0"/>
      <c r="BWE57" s="0"/>
      <c r="BWF57" s="0"/>
      <c r="BWG57" s="0"/>
      <c r="BWH57" s="0"/>
      <c r="BWI57" s="0"/>
      <c r="BWJ57" s="0"/>
      <c r="BWK57" s="0"/>
      <c r="BWL57" s="0"/>
      <c r="BWM57" s="0"/>
      <c r="BWN57" s="0"/>
      <c r="BWO57" s="0"/>
      <c r="BWP57" s="0"/>
      <c r="BWQ57" s="0"/>
      <c r="BWR57" s="0"/>
      <c r="BWS57" s="0"/>
      <c r="BWT57" s="0"/>
      <c r="BWU57" s="0"/>
      <c r="BWV57" s="0"/>
      <c r="BWW57" s="0"/>
      <c r="BWX57" s="0"/>
      <c r="BWY57" s="0"/>
      <c r="BWZ57" s="0"/>
      <c r="BXA57" s="0"/>
      <c r="BXB57" s="0"/>
      <c r="BXC57" s="0"/>
      <c r="BXD57" s="0"/>
      <c r="BXE57" s="0"/>
      <c r="BXF57" s="0"/>
      <c r="BXG57" s="0"/>
      <c r="BXH57" s="0"/>
      <c r="BXI57" s="0"/>
      <c r="BXJ57" s="0"/>
      <c r="BXK57" s="0"/>
      <c r="BXL57" s="0"/>
      <c r="BXM57" s="0"/>
      <c r="BXN57" s="0"/>
      <c r="BXO57" s="0"/>
      <c r="BXP57" s="0"/>
      <c r="BXQ57" s="0"/>
      <c r="BXR57" s="0"/>
      <c r="BXS57" s="0"/>
      <c r="BXT57" s="0"/>
      <c r="BXU57" s="0"/>
      <c r="BXV57" s="0"/>
      <c r="BXW57" s="0"/>
      <c r="BXX57" s="0"/>
      <c r="BXY57" s="0"/>
      <c r="BXZ57" s="0"/>
      <c r="BYA57" s="0"/>
      <c r="BYB57" s="0"/>
      <c r="BYC57" s="0"/>
      <c r="BYD57" s="0"/>
      <c r="BYE57" s="0"/>
      <c r="BYF57" s="0"/>
      <c r="BYG57" s="0"/>
      <c r="BYH57" s="0"/>
      <c r="BYI57" s="0"/>
      <c r="BYJ57" s="0"/>
      <c r="BYK57" s="0"/>
      <c r="BYL57" s="0"/>
      <c r="BYM57" s="0"/>
      <c r="BYN57" s="0"/>
      <c r="BYO57" s="0"/>
      <c r="BYP57" s="0"/>
      <c r="BYQ57" s="0"/>
      <c r="BYR57" s="0"/>
      <c r="BYS57" s="0"/>
      <c r="BYT57" s="0"/>
      <c r="BYU57" s="0"/>
      <c r="BYV57" s="0"/>
      <c r="BYW57" s="0"/>
      <c r="BYX57" s="0"/>
      <c r="BYY57" s="0"/>
      <c r="BYZ57" s="0"/>
      <c r="BZA57" s="0"/>
      <c r="BZB57" s="0"/>
      <c r="BZC57" s="0"/>
      <c r="BZD57" s="0"/>
      <c r="BZE57" s="0"/>
      <c r="BZF57" s="0"/>
      <c r="BZG57" s="0"/>
      <c r="BZH57" s="0"/>
      <c r="BZI57" s="0"/>
      <c r="BZJ57" s="0"/>
      <c r="BZK57" s="0"/>
      <c r="BZL57" s="0"/>
      <c r="BZM57" s="0"/>
      <c r="BZN57" s="0"/>
      <c r="BZO57" s="0"/>
      <c r="BZP57" s="0"/>
      <c r="BZQ57" s="0"/>
      <c r="BZR57" s="0"/>
      <c r="BZS57" s="0"/>
      <c r="BZT57" s="0"/>
      <c r="BZU57" s="0"/>
      <c r="BZV57" s="0"/>
      <c r="BZW57" s="0"/>
      <c r="BZX57" s="0"/>
      <c r="BZY57" s="0"/>
      <c r="BZZ57" s="0"/>
      <c r="CAA57" s="0"/>
      <c r="CAB57" s="0"/>
      <c r="CAC57" s="0"/>
      <c r="CAD57" s="0"/>
      <c r="CAE57" s="0"/>
      <c r="CAF57" s="0"/>
      <c r="CAG57" s="0"/>
      <c r="CAH57" s="0"/>
      <c r="CAI57" s="0"/>
      <c r="CAJ57" s="0"/>
      <c r="CAK57" s="0"/>
      <c r="CAL57" s="0"/>
      <c r="CAM57" s="0"/>
      <c r="CAN57" s="0"/>
      <c r="CAO57" s="0"/>
      <c r="CAP57" s="0"/>
      <c r="CAQ57" s="0"/>
      <c r="CAR57" s="0"/>
      <c r="CAS57" s="0"/>
      <c r="CAT57" s="0"/>
      <c r="CAU57" s="0"/>
      <c r="CAV57" s="0"/>
      <c r="CAW57" s="0"/>
      <c r="CAX57" s="0"/>
      <c r="CAY57" s="0"/>
      <c r="CAZ57" s="0"/>
      <c r="CBA57" s="0"/>
      <c r="CBB57" s="0"/>
      <c r="CBC57" s="0"/>
      <c r="CBD57" s="0"/>
      <c r="CBE57" s="0"/>
      <c r="CBF57" s="0"/>
      <c r="CBG57" s="0"/>
      <c r="CBH57" s="0"/>
      <c r="CBI57" s="0"/>
      <c r="CBJ57" s="0"/>
      <c r="CBK57" s="0"/>
      <c r="CBL57" s="0"/>
      <c r="CBM57" s="0"/>
      <c r="CBN57" s="0"/>
      <c r="CBO57" s="0"/>
      <c r="CBP57" s="0"/>
      <c r="CBQ57" s="0"/>
      <c r="CBR57" s="0"/>
      <c r="CBS57" s="0"/>
      <c r="CBT57" s="0"/>
      <c r="CBU57" s="0"/>
      <c r="CBV57" s="0"/>
      <c r="CBW57" s="0"/>
      <c r="CBX57" s="0"/>
      <c r="CBY57" s="0"/>
      <c r="CBZ57" s="0"/>
      <c r="CCA57" s="0"/>
      <c r="CCB57" s="0"/>
      <c r="CCC57" s="0"/>
      <c r="CCD57" s="0"/>
      <c r="CCE57" s="0"/>
      <c r="CCF57" s="0"/>
      <c r="CCG57" s="0"/>
      <c r="CCH57" s="0"/>
      <c r="CCI57" s="0"/>
      <c r="CCJ57" s="0"/>
      <c r="CCK57" s="0"/>
      <c r="CCL57" s="0"/>
      <c r="CCM57" s="0"/>
      <c r="CCN57" s="0"/>
      <c r="CCO57" s="0"/>
      <c r="CCP57" s="0"/>
      <c r="CCQ57" s="0"/>
      <c r="CCR57" s="0"/>
      <c r="CCS57" s="0"/>
      <c r="CCT57" s="0"/>
      <c r="CCU57" s="0"/>
      <c r="CCV57" s="0"/>
      <c r="CCW57" s="0"/>
      <c r="CCX57" s="0"/>
      <c r="CCY57" s="0"/>
      <c r="CCZ57" s="0"/>
      <c r="CDA57" s="0"/>
      <c r="CDB57" s="0"/>
      <c r="CDC57" s="0"/>
      <c r="CDD57" s="0"/>
      <c r="CDE57" s="0"/>
      <c r="CDF57" s="0"/>
      <c r="CDG57" s="0"/>
      <c r="CDH57" s="0"/>
      <c r="CDI57" s="0"/>
      <c r="CDJ57" s="0"/>
      <c r="CDK57" s="0"/>
      <c r="CDL57" s="0"/>
      <c r="CDM57" s="0"/>
      <c r="CDN57" s="0"/>
      <c r="CDO57" s="0"/>
      <c r="CDP57" s="0"/>
      <c r="CDQ57" s="0"/>
      <c r="CDR57" s="0"/>
      <c r="CDS57" s="0"/>
      <c r="CDT57" s="0"/>
      <c r="CDU57" s="0"/>
      <c r="CDV57" s="0"/>
      <c r="CDW57" s="0"/>
      <c r="CDX57" s="0"/>
      <c r="CDY57" s="0"/>
      <c r="CDZ57" s="0"/>
      <c r="CEA57" s="0"/>
      <c r="CEB57" s="0"/>
      <c r="CEC57" s="0"/>
      <c r="CED57" s="0"/>
      <c r="CEE57" s="0"/>
      <c r="CEF57" s="0"/>
      <c r="CEG57" s="0"/>
      <c r="CEH57" s="0"/>
      <c r="CEI57" s="0"/>
      <c r="CEJ57" s="0"/>
      <c r="CEK57" s="0"/>
      <c r="CEL57" s="0"/>
      <c r="CEM57" s="0"/>
      <c r="CEN57" s="0"/>
      <c r="CEO57" s="0"/>
      <c r="CEP57" s="0"/>
      <c r="CEQ57" s="0"/>
      <c r="CER57" s="0"/>
      <c r="CES57" s="0"/>
      <c r="CET57" s="0"/>
      <c r="CEU57" s="0"/>
      <c r="CEV57" s="0"/>
      <c r="CEW57" s="0"/>
      <c r="CEX57" s="0"/>
      <c r="CEY57" s="0"/>
      <c r="CEZ57" s="0"/>
      <c r="CFA57" s="0"/>
      <c r="CFB57" s="0"/>
      <c r="CFC57" s="0"/>
      <c r="CFD57" s="0"/>
      <c r="CFE57" s="0"/>
      <c r="CFF57" s="0"/>
      <c r="CFG57" s="0"/>
      <c r="CFH57" s="0"/>
      <c r="CFI57" s="0"/>
      <c r="CFJ57" s="0"/>
      <c r="CFK57" s="0"/>
      <c r="CFL57" s="0"/>
      <c r="CFM57" s="0"/>
      <c r="CFN57" s="0"/>
      <c r="CFO57" s="0"/>
      <c r="CFP57" s="0"/>
      <c r="CFQ57" s="0"/>
      <c r="CFR57" s="0"/>
      <c r="CFS57" s="0"/>
      <c r="CFT57" s="0"/>
      <c r="CFU57" s="0"/>
      <c r="CFV57" s="0"/>
      <c r="CFW57" s="0"/>
      <c r="CFX57" s="0"/>
      <c r="CFY57" s="0"/>
      <c r="CFZ57" s="0"/>
      <c r="CGA57" s="0"/>
      <c r="CGB57" s="0"/>
      <c r="CGC57" s="0"/>
      <c r="CGD57" s="0"/>
      <c r="CGE57" s="0"/>
      <c r="CGF57" s="0"/>
      <c r="CGG57" s="0"/>
      <c r="CGH57" s="0"/>
      <c r="CGI57" s="0"/>
      <c r="CGJ57" s="0"/>
      <c r="CGK57" s="0"/>
      <c r="CGL57" s="0"/>
      <c r="CGM57" s="0"/>
      <c r="CGN57" s="0"/>
      <c r="CGO57" s="0"/>
      <c r="CGP57" s="0"/>
      <c r="CGQ57" s="0"/>
      <c r="CGR57" s="0"/>
      <c r="CGS57" s="0"/>
      <c r="CGT57" s="0"/>
      <c r="CGU57" s="0"/>
      <c r="CGV57" s="0"/>
      <c r="CGW57" s="0"/>
      <c r="CGX57" s="0"/>
      <c r="CGY57" s="0"/>
      <c r="CGZ57" s="0"/>
      <c r="CHA57" s="0"/>
      <c r="CHB57" s="0"/>
      <c r="CHC57" s="0"/>
      <c r="CHD57" s="0"/>
      <c r="CHE57" s="0"/>
      <c r="CHF57" s="0"/>
      <c r="CHG57" s="0"/>
      <c r="CHH57" s="0"/>
      <c r="CHI57" s="0"/>
      <c r="CHJ57" s="0"/>
      <c r="CHK57" s="0"/>
      <c r="CHL57" s="0"/>
      <c r="CHM57" s="0"/>
      <c r="CHN57" s="0"/>
      <c r="CHO57" s="0"/>
      <c r="CHP57" s="0"/>
      <c r="CHQ57" s="0"/>
      <c r="CHR57" s="0"/>
      <c r="CHS57" s="0"/>
      <c r="CHT57" s="0"/>
      <c r="CHU57" s="0"/>
      <c r="CHV57" s="0"/>
      <c r="CHW57" s="0"/>
      <c r="CHX57" s="0"/>
      <c r="CHY57" s="0"/>
      <c r="CHZ57" s="0"/>
      <c r="CIA57" s="0"/>
      <c r="CIB57" s="0"/>
      <c r="CIC57" s="0"/>
      <c r="CID57" s="0"/>
      <c r="CIE57" s="0"/>
      <c r="CIF57" s="0"/>
      <c r="CIG57" s="0"/>
      <c r="CIH57" s="0"/>
      <c r="CII57" s="0"/>
      <c r="CIJ57" s="0"/>
      <c r="CIK57" s="0"/>
      <c r="CIL57" s="0"/>
      <c r="CIM57" s="0"/>
      <c r="CIN57" s="0"/>
      <c r="CIO57" s="0"/>
      <c r="CIP57" s="0"/>
      <c r="CIQ57" s="0"/>
      <c r="CIR57" s="0"/>
      <c r="CIS57" s="0"/>
      <c r="CIT57" s="0"/>
      <c r="CIU57" s="0"/>
      <c r="CIV57" s="0"/>
      <c r="CIW57" s="0"/>
      <c r="CIX57" s="0"/>
      <c r="CIY57" s="0"/>
      <c r="CIZ57" s="0"/>
      <c r="CJA57" s="0"/>
      <c r="CJB57" s="0"/>
      <c r="CJC57" s="0"/>
      <c r="CJD57" s="0"/>
      <c r="CJE57" s="0"/>
      <c r="CJF57" s="0"/>
      <c r="CJG57" s="0"/>
      <c r="CJH57" s="0"/>
      <c r="CJI57" s="0"/>
      <c r="CJJ57" s="0"/>
      <c r="CJK57" s="0"/>
      <c r="CJL57" s="0"/>
      <c r="CJM57" s="0"/>
      <c r="CJN57" s="0"/>
      <c r="CJO57" s="0"/>
      <c r="CJP57" s="0"/>
      <c r="CJQ57" s="0"/>
      <c r="CJR57" s="0"/>
      <c r="CJS57" s="0"/>
      <c r="CJT57" s="0"/>
      <c r="CJU57" s="0"/>
      <c r="CJV57" s="0"/>
      <c r="CJW57" s="0"/>
      <c r="CJX57" s="0"/>
      <c r="CJY57" s="0"/>
      <c r="CJZ57" s="0"/>
      <c r="CKA57" s="0"/>
      <c r="CKB57" s="0"/>
      <c r="CKC57" s="0"/>
      <c r="CKD57" s="0"/>
      <c r="CKE57" s="0"/>
      <c r="CKF57" s="0"/>
      <c r="CKG57" s="0"/>
      <c r="CKH57" s="0"/>
      <c r="CKI57" s="0"/>
      <c r="CKJ57" s="0"/>
      <c r="CKK57" s="0"/>
      <c r="CKL57" s="0"/>
      <c r="CKM57" s="0"/>
      <c r="CKN57" s="0"/>
      <c r="CKO57" s="0"/>
      <c r="CKP57" s="0"/>
      <c r="CKQ57" s="0"/>
      <c r="CKR57" s="0"/>
      <c r="CKS57" s="0"/>
      <c r="CKT57" s="0"/>
      <c r="CKU57" s="0"/>
      <c r="CKV57" s="0"/>
      <c r="CKW57" s="0"/>
      <c r="CKX57" s="0"/>
      <c r="CKY57" s="0"/>
      <c r="CKZ57" s="0"/>
      <c r="CLA57" s="0"/>
      <c r="CLB57" s="0"/>
      <c r="CLC57" s="0"/>
      <c r="CLD57" s="0"/>
      <c r="CLE57" s="0"/>
      <c r="CLF57" s="0"/>
      <c r="CLG57" s="0"/>
      <c r="CLH57" s="0"/>
      <c r="CLI57" s="0"/>
      <c r="CLJ57" s="0"/>
      <c r="CLK57" s="0"/>
      <c r="CLL57" s="0"/>
      <c r="CLM57" s="0"/>
      <c r="CLN57" s="0"/>
      <c r="CLO57" s="0"/>
      <c r="CLP57" s="0"/>
      <c r="CLQ57" s="0"/>
      <c r="CLR57" s="0"/>
      <c r="CLS57" s="0"/>
      <c r="CLT57" s="0"/>
      <c r="CLU57" s="0"/>
      <c r="CLV57" s="0"/>
      <c r="CLW57" s="0"/>
      <c r="CLX57" s="0"/>
      <c r="CLY57" s="0"/>
      <c r="CLZ57" s="0"/>
      <c r="CMA57" s="0"/>
      <c r="CMB57" s="0"/>
      <c r="CMC57" s="0"/>
      <c r="CMD57" s="0"/>
      <c r="CME57" s="0"/>
      <c r="CMF57" s="0"/>
      <c r="CMG57" s="0"/>
      <c r="CMH57" s="0"/>
      <c r="CMI57" s="0"/>
      <c r="CMJ57" s="0"/>
      <c r="CMK57" s="0"/>
      <c r="CML57" s="0"/>
      <c r="CMM57" s="0"/>
      <c r="CMN57" s="0"/>
      <c r="CMO57" s="0"/>
      <c r="CMP57" s="0"/>
      <c r="CMQ57" s="0"/>
      <c r="CMR57" s="0"/>
      <c r="CMS57" s="0"/>
      <c r="CMT57" s="0"/>
      <c r="CMU57" s="0"/>
      <c r="CMV57" s="0"/>
      <c r="CMW57" s="0"/>
      <c r="CMX57" s="0"/>
      <c r="CMY57" s="0"/>
      <c r="CMZ57" s="0"/>
      <c r="CNA57" s="0"/>
      <c r="CNB57" s="0"/>
      <c r="CNC57" s="0"/>
      <c r="CND57" s="0"/>
      <c r="CNE57" s="0"/>
      <c r="CNF57" s="0"/>
      <c r="CNG57" s="0"/>
      <c r="CNH57" s="0"/>
      <c r="CNI57" s="0"/>
      <c r="CNJ57" s="0"/>
      <c r="CNK57" s="0"/>
      <c r="CNL57" s="0"/>
      <c r="CNM57" s="0"/>
      <c r="CNN57" s="0"/>
      <c r="CNO57" s="0"/>
      <c r="CNP57" s="0"/>
      <c r="CNQ57" s="0"/>
      <c r="CNR57" s="0"/>
      <c r="CNS57" s="0"/>
      <c r="CNT57" s="0"/>
      <c r="CNU57" s="0"/>
      <c r="CNV57" s="0"/>
      <c r="CNW57" s="0"/>
      <c r="CNX57" s="0"/>
      <c r="CNY57" s="0"/>
      <c r="CNZ57" s="0"/>
      <c r="COA57" s="0"/>
      <c r="COB57" s="0"/>
      <c r="COC57" s="0"/>
      <c r="COD57" s="0"/>
      <c r="COE57" s="0"/>
      <c r="COF57" s="0"/>
      <c r="COG57" s="0"/>
      <c r="COH57" s="0"/>
      <c r="COI57" s="0"/>
      <c r="COJ57" s="0"/>
      <c r="COK57" s="0"/>
      <c r="COL57" s="0"/>
      <c r="COM57" s="0"/>
      <c r="CON57" s="0"/>
      <c r="COO57" s="0"/>
      <c r="COP57" s="0"/>
      <c r="COQ57" s="0"/>
      <c r="COR57" s="0"/>
      <c r="COS57" s="0"/>
      <c r="COT57" s="0"/>
      <c r="COU57" s="0"/>
      <c r="COV57" s="0"/>
      <c r="COW57" s="0"/>
      <c r="COX57" s="0"/>
      <c r="COY57" s="0"/>
      <c r="COZ57" s="0"/>
      <c r="CPA57" s="0"/>
      <c r="CPB57" s="0"/>
      <c r="CPC57" s="0"/>
      <c r="CPD57" s="0"/>
      <c r="CPE57" s="0"/>
      <c r="CPF57" s="0"/>
      <c r="CPG57" s="0"/>
      <c r="CPH57" s="0"/>
      <c r="CPI57" s="0"/>
      <c r="CPJ57" s="0"/>
      <c r="CPK57" s="0"/>
      <c r="CPL57" s="0"/>
      <c r="CPM57" s="0"/>
      <c r="CPN57" s="0"/>
      <c r="CPO57" s="0"/>
      <c r="CPP57" s="0"/>
      <c r="CPQ57" s="0"/>
      <c r="CPR57" s="0"/>
      <c r="CPS57" s="0"/>
      <c r="CPT57" s="0"/>
      <c r="CPU57" s="0"/>
      <c r="CPV57" s="0"/>
      <c r="CPW57" s="0"/>
      <c r="CPX57" s="0"/>
      <c r="CPY57" s="0"/>
      <c r="CPZ57" s="0"/>
      <c r="CQA57" s="0"/>
      <c r="CQB57" s="0"/>
      <c r="CQC57" s="0"/>
      <c r="CQD57" s="0"/>
      <c r="CQE57" s="0"/>
      <c r="CQF57" s="0"/>
      <c r="CQG57" s="0"/>
      <c r="CQH57" s="0"/>
      <c r="CQI57" s="0"/>
      <c r="CQJ57" s="0"/>
      <c r="CQK57" s="0"/>
      <c r="CQL57" s="0"/>
      <c r="CQM57" s="0"/>
      <c r="CQN57" s="0"/>
      <c r="CQO57" s="0"/>
      <c r="CQP57" s="0"/>
      <c r="CQQ57" s="0"/>
      <c r="CQR57" s="0"/>
      <c r="CQS57" s="0"/>
      <c r="CQT57" s="0"/>
      <c r="CQU57" s="0"/>
      <c r="CQV57" s="0"/>
      <c r="CQW57" s="0"/>
      <c r="CQX57" s="0"/>
      <c r="CQY57" s="0"/>
      <c r="CQZ57" s="0"/>
      <c r="CRA57" s="0"/>
      <c r="CRB57" s="0"/>
      <c r="CRC57" s="0"/>
      <c r="CRD57" s="0"/>
      <c r="CRE57" s="0"/>
      <c r="CRF57" s="0"/>
      <c r="CRG57" s="0"/>
      <c r="CRH57" s="0"/>
      <c r="CRI57" s="0"/>
      <c r="CRJ57" s="0"/>
      <c r="CRK57" s="0"/>
      <c r="CRL57" s="0"/>
      <c r="CRM57" s="0"/>
      <c r="CRN57" s="0"/>
      <c r="CRO57" s="0"/>
      <c r="CRP57" s="0"/>
      <c r="CRQ57" s="0"/>
      <c r="CRR57" s="0"/>
      <c r="CRS57" s="0"/>
      <c r="CRT57" s="0"/>
      <c r="CRU57" s="0"/>
      <c r="CRV57" s="0"/>
      <c r="CRW57" s="0"/>
      <c r="CRX57" s="0"/>
      <c r="CRY57" s="0"/>
      <c r="CRZ57" s="0"/>
      <c r="CSA57" s="0"/>
      <c r="CSB57" s="0"/>
      <c r="CSC57" s="0"/>
      <c r="CSD57" s="0"/>
      <c r="CSE57" s="0"/>
      <c r="CSF57" s="0"/>
      <c r="CSG57" s="0"/>
      <c r="CSH57" s="0"/>
      <c r="CSI57" s="0"/>
      <c r="CSJ57" s="0"/>
      <c r="CSK57" s="0"/>
      <c r="CSL57" s="0"/>
      <c r="CSM57" s="0"/>
      <c r="CSN57" s="0"/>
      <c r="CSO57" s="0"/>
      <c r="CSP57" s="0"/>
      <c r="CSQ57" s="0"/>
      <c r="CSR57" s="0"/>
      <c r="CSS57" s="0"/>
      <c r="CST57" s="0"/>
      <c r="CSU57" s="0"/>
      <c r="CSV57" s="0"/>
      <c r="CSW57" s="0"/>
      <c r="CSX57" s="0"/>
      <c r="CSY57" s="0"/>
      <c r="CSZ57" s="0"/>
      <c r="CTA57" s="0"/>
      <c r="CTB57" s="0"/>
      <c r="CTC57" s="0"/>
      <c r="CTD57" s="0"/>
      <c r="CTE57" s="0"/>
      <c r="CTF57" s="0"/>
      <c r="CTG57" s="0"/>
      <c r="CTH57" s="0"/>
      <c r="CTI57" s="0"/>
      <c r="CTJ57" s="0"/>
      <c r="CTK57" s="0"/>
      <c r="CTL57" s="0"/>
      <c r="CTM57" s="0"/>
      <c r="CTN57" s="0"/>
      <c r="CTO57" s="0"/>
      <c r="CTP57" s="0"/>
      <c r="CTQ57" s="0"/>
      <c r="CTR57" s="0"/>
      <c r="CTS57" s="0"/>
      <c r="CTT57" s="0"/>
      <c r="CTU57" s="0"/>
      <c r="CTV57" s="0"/>
      <c r="CTW57" s="0"/>
      <c r="CTX57" s="0"/>
      <c r="CTY57" s="0"/>
      <c r="CTZ57" s="0"/>
      <c r="CUA57" s="0"/>
      <c r="CUB57" s="0"/>
      <c r="CUC57" s="0"/>
      <c r="CUD57" s="0"/>
      <c r="CUE57" s="0"/>
      <c r="CUF57" s="0"/>
      <c r="CUG57" s="0"/>
      <c r="CUH57" s="0"/>
      <c r="CUI57" s="0"/>
      <c r="CUJ57" s="0"/>
      <c r="CUK57" s="0"/>
      <c r="CUL57" s="0"/>
      <c r="CUM57" s="0"/>
      <c r="CUN57" s="0"/>
      <c r="CUO57" s="0"/>
      <c r="CUP57" s="0"/>
      <c r="CUQ57" s="0"/>
      <c r="CUR57" s="0"/>
      <c r="CUS57" s="0"/>
      <c r="CUT57" s="0"/>
      <c r="CUU57" s="0"/>
      <c r="CUV57" s="0"/>
      <c r="CUW57" s="0"/>
      <c r="CUX57" s="0"/>
      <c r="CUY57" s="0"/>
      <c r="CUZ57" s="0"/>
      <c r="CVA57" s="0"/>
      <c r="CVB57" s="0"/>
      <c r="CVC57" s="0"/>
      <c r="CVD57" s="0"/>
      <c r="CVE57" s="0"/>
      <c r="CVF57" s="0"/>
      <c r="CVG57" s="0"/>
      <c r="CVH57" s="0"/>
      <c r="CVI57" s="0"/>
      <c r="CVJ57" s="0"/>
      <c r="CVK57" s="0"/>
      <c r="CVL57" s="0"/>
      <c r="CVM57" s="0"/>
      <c r="CVN57" s="0"/>
      <c r="CVO57" s="0"/>
      <c r="CVP57" s="0"/>
      <c r="CVQ57" s="0"/>
      <c r="CVR57" s="0"/>
      <c r="CVS57" s="0"/>
      <c r="CVT57" s="0"/>
      <c r="CVU57" s="0"/>
      <c r="CVV57" s="0"/>
      <c r="CVW57" s="0"/>
      <c r="CVX57" s="0"/>
      <c r="CVY57" s="0"/>
      <c r="CVZ57" s="0"/>
      <c r="CWA57" s="0"/>
      <c r="CWB57" s="0"/>
      <c r="CWC57" s="0"/>
      <c r="CWD57" s="0"/>
      <c r="CWE57" s="0"/>
      <c r="CWF57" s="0"/>
      <c r="CWG57" s="0"/>
      <c r="CWH57" s="0"/>
      <c r="CWI57" s="0"/>
      <c r="CWJ57" s="0"/>
      <c r="CWK57" s="0"/>
      <c r="CWL57" s="0"/>
      <c r="CWM57" s="0"/>
      <c r="CWN57" s="0"/>
      <c r="CWO57" s="0"/>
      <c r="CWP57" s="0"/>
      <c r="CWQ57" s="0"/>
      <c r="CWR57" s="0"/>
      <c r="CWS57" s="0"/>
      <c r="CWT57" s="0"/>
      <c r="CWU57" s="0"/>
      <c r="CWV57" s="0"/>
      <c r="CWW57" s="0"/>
      <c r="CWX57" s="0"/>
      <c r="CWY57" s="0"/>
      <c r="CWZ57" s="0"/>
      <c r="CXA57" s="0"/>
      <c r="CXB57" s="0"/>
      <c r="CXC57" s="0"/>
      <c r="CXD57" s="0"/>
      <c r="CXE57" s="0"/>
      <c r="CXF57" s="0"/>
      <c r="CXG57" s="0"/>
      <c r="CXH57" s="0"/>
      <c r="CXI57" s="0"/>
      <c r="CXJ57" s="0"/>
      <c r="CXK57" s="0"/>
      <c r="CXL57" s="0"/>
      <c r="CXM57" s="0"/>
      <c r="CXN57" s="0"/>
      <c r="CXO57" s="0"/>
      <c r="CXP57" s="0"/>
      <c r="CXQ57" s="0"/>
      <c r="CXR57" s="0"/>
      <c r="CXS57" s="0"/>
      <c r="CXT57" s="0"/>
      <c r="CXU57" s="0"/>
      <c r="CXV57" s="0"/>
      <c r="CXW57" s="0"/>
      <c r="CXX57" s="0"/>
      <c r="CXY57" s="0"/>
      <c r="CXZ57" s="0"/>
      <c r="CYA57" s="0"/>
      <c r="CYB57" s="0"/>
      <c r="CYC57" s="0"/>
      <c r="CYD57" s="0"/>
      <c r="CYE57" s="0"/>
      <c r="CYF57" s="0"/>
      <c r="CYG57" s="0"/>
      <c r="CYH57" s="0"/>
      <c r="CYI57" s="0"/>
      <c r="CYJ57" s="0"/>
      <c r="CYK57" s="0"/>
      <c r="CYL57" s="0"/>
      <c r="CYM57" s="0"/>
      <c r="CYN57" s="0"/>
      <c r="CYO57" s="0"/>
      <c r="CYP57" s="0"/>
      <c r="CYQ57" s="0"/>
      <c r="CYR57" s="0"/>
      <c r="CYS57" s="0"/>
      <c r="CYT57" s="0"/>
      <c r="CYU57" s="0"/>
      <c r="CYV57" s="0"/>
      <c r="CYW57" s="0"/>
      <c r="CYX57" s="0"/>
      <c r="CYY57" s="0"/>
      <c r="CYZ57" s="0"/>
      <c r="CZA57" s="0"/>
      <c r="CZB57" s="0"/>
      <c r="CZC57" s="0"/>
      <c r="CZD57" s="0"/>
      <c r="CZE57" s="0"/>
      <c r="CZF57" s="0"/>
      <c r="CZG57" s="0"/>
      <c r="CZH57" s="0"/>
      <c r="CZI57" s="0"/>
      <c r="CZJ57" s="0"/>
      <c r="CZK57" s="0"/>
      <c r="CZL57" s="0"/>
      <c r="CZM57" s="0"/>
      <c r="CZN57" s="0"/>
      <c r="CZO57" s="0"/>
      <c r="CZP57" s="0"/>
      <c r="CZQ57" s="0"/>
      <c r="CZR57" s="0"/>
      <c r="CZS57" s="0"/>
      <c r="CZT57" s="0"/>
      <c r="CZU57" s="0"/>
      <c r="CZV57" s="0"/>
      <c r="CZW57" s="0"/>
      <c r="CZX57" s="0"/>
      <c r="CZY57" s="0"/>
      <c r="CZZ57" s="0"/>
      <c r="DAA57" s="0"/>
      <c r="DAB57" s="0"/>
      <c r="DAC57" s="0"/>
      <c r="DAD57" s="0"/>
      <c r="DAE57" s="0"/>
      <c r="DAF57" s="0"/>
      <c r="DAG57" s="0"/>
      <c r="DAH57" s="0"/>
      <c r="DAI57" s="0"/>
      <c r="DAJ57" s="0"/>
      <c r="DAK57" s="0"/>
      <c r="DAL57" s="0"/>
      <c r="DAM57" s="0"/>
      <c r="DAN57" s="0"/>
      <c r="DAO57" s="0"/>
      <c r="DAP57" s="0"/>
      <c r="DAQ57" s="0"/>
      <c r="DAR57" s="0"/>
      <c r="DAS57" s="0"/>
      <c r="DAT57" s="0"/>
      <c r="DAU57" s="0"/>
      <c r="DAV57" s="0"/>
      <c r="DAW57" s="0"/>
      <c r="DAX57" s="0"/>
      <c r="DAY57" s="0"/>
      <c r="DAZ57" s="0"/>
      <c r="DBA57" s="0"/>
      <c r="DBB57" s="0"/>
      <c r="DBC57" s="0"/>
      <c r="DBD57" s="0"/>
      <c r="DBE57" s="0"/>
      <c r="DBF57" s="0"/>
      <c r="DBG57" s="0"/>
      <c r="DBH57" s="0"/>
      <c r="DBI57" s="0"/>
      <c r="DBJ57" s="0"/>
      <c r="DBK57" s="0"/>
      <c r="DBL57" s="0"/>
      <c r="DBM57" s="0"/>
      <c r="DBN57" s="0"/>
      <c r="DBO57" s="0"/>
      <c r="DBP57" s="0"/>
      <c r="DBQ57" s="0"/>
      <c r="DBR57" s="0"/>
      <c r="DBS57" s="0"/>
      <c r="DBT57" s="0"/>
      <c r="DBU57" s="0"/>
      <c r="DBV57" s="0"/>
      <c r="DBW57" s="0"/>
      <c r="DBX57" s="0"/>
      <c r="DBY57" s="0"/>
      <c r="DBZ57" s="0"/>
      <c r="DCA57" s="0"/>
      <c r="DCB57" s="0"/>
      <c r="DCC57" s="0"/>
      <c r="DCD57" s="0"/>
      <c r="DCE57" s="0"/>
      <c r="DCF57" s="0"/>
      <c r="DCG57" s="0"/>
      <c r="DCH57" s="0"/>
      <c r="DCI57" s="0"/>
      <c r="DCJ57" s="0"/>
      <c r="DCK57" s="0"/>
      <c r="DCL57" s="0"/>
      <c r="DCM57" s="0"/>
      <c r="DCN57" s="0"/>
      <c r="DCO57" s="0"/>
      <c r="DCP57" s="0"/>
      <c r="DCQ57" s="0"/>
      <c r="DCR57" s="0"/>
      <c r="DCS57" s="0"/>
      <c r="DCT57" s="0"/>
      <c r="DCU57" s="0"/>
      <c r="DCV57" s="0"/>
      <c r="DCW57" s="0"/>
      <c r="DCX57" s="0"/>
      <c r="DCY57" s="0"/>
      <c r="DCZ57" s="0"/>
      <c r="DDA57" s="0"/>
      <c r="DDB57" s="0"/>
      <c r="DDC57" s="0"/>
      <c r="DDD57" s="0"/>
      <c r="DDE57" s="0"/>
      <c r="DDF57" s="0"/>
      <c r="DDG57" s="0"/>
      <c r="DDH57" s="0"/>
      <c r="DDI57" s="0"/>
      <c r="DDJ57" s="0"/>
      <c r="DDK57" s="0"/>
      <c r="DDL57" s="0"/>
      <c r="DDM57" s="0"/>
      <c r="DDN57" s="0"/>
      <c r="DDO57" s="0"/>
      <c r="DDP57" s="0"/>
      <c r="DDQ57" s="0"/>
      <c r="DDR57" s="0"/>
      <c r="DDS57" s="0"/>
      <c r="DDT57" s="0"/>
      <c r="DDU57" s="0"/>
      <c r="DDV57" s="0"/>
      <c r="DDW57" s="0"/>
      <c r="DDX57" s="0"/>
      <c r="DDY57" s="0"/>
      <c r="DDZ57" s="0"/>
      <c r="DEA57" s="0"/>
      <c r="DEB57" s="0"/>
      <c r="DEC57" s="0"/>
      <c r="DED57" s="0"/>
      <c r="DEE57" s="0"/>
      <c r="DEF57" s="0"/>
      <c r="DEG57" s="0"/>
      <c r="DEH57" s="0"/>
      <c r="DEI57" s="0"/>
      <c r="DEJ57" s="0"/>
      <c r="DEK57" s="0"/>
      <c r="DEL57" s="0"/>
      <c r="DEM57" s="0"/>
      <c r="DEN57" s="0"/>
      <c r="DEO57" s="0"/>
      <c r="DEP57" s="0"/>
      <c r="DEQ57" s="0"/>
      <c r="DER57" s="0"/>
      <c r="DES57" s="0"/>
      <c r="DET57" s="0"/>
      <c r="DEU57" s="0"/>
      <c r="DEV57" s="0"/>
      <c r="DEW57" s="0"/>
      <c r="DEX57" s="0"/>
      <c r="DEY57" s="0"/>
      <c r="DEZ57" s="0"/>
      <c r="DFA57" s="0"/>
      <c r="DFB57" s="0"/>
      <c r="DFC57" s="0"/>
      <c r="DFD57" s="0"/>
      <c r="DFE57" s="0"/>
      <c r="DFF57" s="0"/>
      <c r="DFG57" s="0"/>
      <c r="DFH57" s="0"/>
      <c r="DFI57" s="0"/>
      <c r="DFJ57" s="0"/>
      <c r="DFK57" s="0"/>
      <c r="DFL57" s="0"/>
      <c r="DFM57" s="0"/>
      <c r="DFN57" s="0"/>
      <c r="DFO57" s="0"/>
      <c r="DFP57" s="0"/>
      <c r="DFQ57" s="0"/>
      <c r="DFR57" s="0"/>
      <c r="DFS57" s="0"/>
      <c r="DFT57" s="0"/>
      <c r="DFU57" s="0"/>
      <c r="DFV57" s="0"/>
      <c r="DFW57" s="0"/>
      <c r="DFX57" s="0"/>
      <c r="DFY57" s="0"/>
      <c r="DFZ57" s="0"/>
      <c r="DGA57" s="0"/>
      <c r="DGB57" s="0"/>
      <c r="DGC57" s="0"/>
      <c r="DGD57" s="0"/>
      <c r="DGE57" s="0"/>
      <c r="DGF57" s="0"/>
      <c r="DGG57" s="0"/>
      <c r="DGH57" s="0"/>
      <c r="DGI57" s="0"/>
      <c r="DGJ57" s="0"/>
      <c r="DGK57" s="0"/>
      <c r="DGL57" s="0"/>
      <c r="DGM57" s="0"/>
      <c r="DGN57" s="0"/>
      <c r="DGO57" s="0"/>
      <c r="DGP57" s="0"/>
      <c r="DGQ57" s="0"/>
      <c r="DGR57" s="0"/>
      <c r="DGS57" s="0"/>
      <c r="DGT57" s="0"/>
      <c r="DGU57" s="0"/>
      <c r="DGV57" s="0"/>
      <c r="DGW57" s="0"/>
      <c r="DGX57" s="0"/>
      <c r="DGY57" s="0"/>
      <c r="DGZ57" s="0"/>
      <c r="DHA57" s="0"/>
      <c r="DHB57" s="0"/>
      <c r="DHC57" s="0"/>
      <c r="DHD57" s="0"/>
      <c r="DHE57" s="0"/>
      <c r="DHF57" s="0"/>
      <c r="DHG57" s="0"/>
      <c r="DHH57" s="0"/>
      <c r="DHI57" s="0"/>
      <c r="DHJ57" s="0"/>
      <c r="DHK57" s="0"/>
      <c r="DHL57" s="0"/>
      <c r="DHM57" s="0"/>
      <c r="DHN57" s="0"/>
      <c r="DHO57" s="0"/>
      <c r="DHP57" s="0"/>
      <c r="DHQ57" s="0"/>
      <c r="DHR57" s="0"/>
      <c r="DHS57" s="0"/>
      <c r="DHT57" s="0"/>
      <c r="DHU57" s="0"/>
      <c r="DHV57" s="0"/>
      <c r="DHW57" s="0"/>
      <c r="DHX57" s="0"/>
      <c r="DHY57" s="0"/>
      <c r="DHZ57" s="0"/>
      <c r="DIA57" s="0"/>
      <c r="DIB57" s="0"/>
      <c r="DIC57" s="0"/>
      <c r="DID57" s="0"/>
      <c r="DIE57" s="0"/>
      <c r="DIF57" s="0"/>
      <c r="DIG57" s="0"/>
      <c r="DIH57" s="0"/>
      <c r="DII57" s="0"/>
      <c r="DIJ57" s="0"/>
      <c r="DIK57" s="0"/>
      <c r="DIL57" s="0"/>
      <c r="DIM57" s="0"/>
      <c r="DIN57" s="0"/>
      <c r="DIO57" s="0"/>
      <c r="DIP57" s="0"/>
      <c r="DIQ57" s="0"/>
      <c r="DIR57" s="0"/>
      <c r="DIS57" s="0"/>
      <c r="DIT57" s="0"/>
      <c r="DIU57" s="0"/>
      <c r="DIV57" s="0"/>
      <c r="DIW57" s="0"/>
      <c r="DIX57" s="0"/>
      <c r="DIY57" s="0"/>
      <c r="DIZ57" s="0"/>
      <c r="DJA57" s="0"/>
      <c r="DJB57" s="0"/>
      <c r="DJC57" s="0"/>
      <c r="DJD57" s="0"/>
      <c r="DJE57" s="0"/>
      <c r="DJF57" s="0"/>
      <c r="DJG57" s="0"/>
      <c r="DJH57" s="0"/>
      <c r="DJI57" s="0"/>
      <c r="DJJ57" s="0"/>
      <c r="DJK57" s="0"/>
      <c r="DJL57" s="0"/>
      <c r="DJM57" s="0"/>
      <c r="DJN57" s="0"/>
      <c r="DJO57" s="0"/>
      <c r="DJP57" s="0"/>
      <c r="DJQ57" s="0"/>
      <c r="DJR57" s="0"/>
      <c r="DJS57" s="0"/>
      <c r="DJT57" s="0"/>
      <c r="DJU57" s="0"/>
      <c r="DJV57" s="0"/>
      <c r="DJW57" s="0"/>
      <c r="DJX57" s="0"/>
      <c r="DJY57" s="0"/>
      <c r="DJZ57" s="0"/>
      <c r="DKA57" s="0"/>
      <c r="DKB57" s="0"/>
      <c r="DKC57" s="0"/>
      <c r="DKD57" s="0"/>
      <c r="DKE57" s="0"/>
      <c r="DKF57" s="0"/>
      <c r="DKG57" s="0"/>
      <c r="DKH57" s="0"/>
      <c r="DKI57" s="0"/>
      <c r="DKJ57" s="0"/>
      <c r="DKK57" s="0"/>
      <c r="DKL57" s="0"/>
      <c r="DKM57" s="0"/>
      <c r="DKN57" s="0"/>
      <c r="DKO57" s="0"/>
      <c r="DKP57" s="0"/>
      <c r="DKQ57" s="0"/>
      <c r="DKR57" s="0"/>
      <c r="DKS57" s="0"/>
      <c r="DKT57" s="0"/>
      <c r="DKU57" s="0"/>
      <c r="DKV57" s="0"/>
      <c r="DKW57" s="0"/>
      <c r="DKX57" s="0"/>
      <c r="DKY57" s="0"/>
      <c r="DKZ57" s="0"/>
      <c r="DLA57" s="0"/>
      <c r="DLB57" s="0"/>
      <c r="DLC57" s="0"/>
      <c r="DLD57" s="0"/>
      <c r="DLE57" s="0"/>
      <c r="DLF57" s="0"/>
      <c r="DLG57" s="0"/>
      <c r="DLH57" s="0"/>
      <c r="DLI57" s="0"/>
      <c r="DLJ57" s="0"/>
      <c r="DLK57" s="0"/>
      <c r="DLL57" s="0"/>
      <c r="DLM57" s="0"/>
      <c r="DLN57" s="0"/>
      <c r="DLO57" s="0"/>
      <c r="DLP57" s="0"/>
      <c r="DLQ57" s="0"/>
      <c r="DLR57" s="0"/>
      <c r="DLS57" s="0"/>
      <c r="DLT57" s="0"/>
      <c r="DLU57" s="0"/>
      <c r="DLV57" s="0"/>
      <c r="DLW57" s="0"/>
      <c r="DLX57" s="0"/>
      <c r="DLY57" s="0"/>
      <c r="DLZ57" s="0"/>
      <c r="DMA57" s="0"/>
      <c r="DMB57" s="0"/>
      <c r="DMC57" s="0"/>
      <c r="DMD57" s="0"/>
      <c r="DME57" s="0"/>
      <c r="DMF57" s="0"/>
      <c r="DMG57" s="0"/>
      <c r="DMH57" s="0"/>
      <c r="DMI57" s="0"/>
      <c r="DMJ57" s="0"/>
      <c r="DMK57" s="0"/>
      <c r="DML57" s="0"/>
      <c r="DMM57" s="0"/>
      <c r="DMN57" s="0"/>
      <c r="DMO57" s="0"/>
      <c r="DMP57" s="0"/>
      <c r="DMQ57" s="0"/>
      <c r="DMR57" s="0"/>
      <c r="DMS57" s="0"/>
      <c r="DMT57" s="0"/>
      <c r="DMU57" s="0"/>
      <c r="DMV57" s="0"/>
      <c r="DMW57" s="0"/>
      <c r="DMX57" s="0"/>
      <c r="DMY57" s="0"/>
      <c r="DMZ57" s="0"/>
      <c r="DNA57" s="0"/>
      <c r="DNB57" s="0"/>
      <c r="DNC57" s="0"/>
      <c r="DND57" s="0"/>
      <c r="DNE57" s="0"/>
      <c r="DNF57" s="0"/>
      <c r="DNG57" s="0"/>
      <c r="DNH57" s="0"/>
      <c r="DNI57" s="0"/>
      <c r="DNJ57" s="0"/>
      <c r="DNK57" s="0"/>
      <c r="DNL57" s="0"/>
      <c r="DNM57" s="0"/>
      <c r="DNN57" s="0"/>
      <c r="DNO57" s="0"/>
      <c r="DNP57" s="0"/>
      <c r="DNQ57" s="0"/>
      <c r="DNR57" s="0"/>
      <c r="DNS57" s="0"/>
      <c r="DNT57" s="0"/>
      <c r="DNU57" s="0"/>
      <c r="DNV57" s="0"/>
      <c r="DNW57" s="0"/>
      <c r="DNX57" s="0"/>
      <c r="DNY57" s="0"/>
      <c r="DNZ57" s="0"/>
      <c r="DOA57" s="0"/>
      <c r="DOB57" s="0"/>
      <c r="DOC57" s="0"/>
      <c r="DOD57" s="0"/>
      <c r="DOE57" s="0"/>
      <c r="DOF57" s="0"/>
      <c r="DOG57" s="0"/>
      <c r="DOH57" s="0"/>
      <c r="DOI57" s="0"/>
      <c r="DOJ57" s="0"/>
      <c r="DOK57" s="0"/>
      <c r="DOL57" s="0"/>
      <c r="DOM57" s="0"/>
      <c r="DON57" s="0"/>
      <c r="DOO57" s="0"/>
      <c r="DOP57" s="0"/>
      <c r="DOQ57" s="0"/>
      <c r="DOR57" s="0"/>
      <c r="DOS57" s="0"/>
      <c r="DOT57" s="0"/>
      <c r="DOU57" s="0"/>
      <c r="DOV57" s="0"/>
      <c r="DOW57" s="0"/>
      <c r="DOX57" s="0"/>
      <c r="DOY57" s="0"/>
      <c r="DOZ57" s="0"/>
      <c r="DPA57" s="0"/>
      <c r="DPB57" s="0"/>
      <c r="DPC57" s="0"/>
      <c r="DPD57" s="0"/>
      <c r="DPE57" s="0"/>
      <c r="DPF57" s="0"/>
      <c r="DPG57" s="0"/>
      <c r="DPH57" s="0"/>
      <c r="DPI57" s="0"/>
      <c r="DPJ57" s="0"/>
      <c r="DPK57" s="0"/>
      <c r="DPL57" s="0"/>
      <c r="DPM57" s="0"/>
      <c r="DPN57" s="0"/>
      <c r="DPO57" s="0"/>
      <c r="DPP57" s="0"/>
      <c r="DPQ57" s="0"/>
      <c r="DPR57" s="0"/>
      <c r="DPS57" s="0"/>
      <c r="DPT57" s="0"/>
      <c r="DPU57" s="0"/>
      <c r="DPV57" s="0"/>
      <c r="DPW57" s="0"/>
      <c r="DPX57" s="0"/>
      <c r="DPY57" s="0"/>
      <c r="DPZ57" s="0"/>
      <c r="DQA57" s="0"/>
      <c r="DQB57" s="0"/>
      <c r="DQC57" s="0"/>
      <c r="DQD57" s="0"/>
      <c r="DQE57" s="0"/>
      <c r="DQF57" s="0"/>
      <c r="DQG57" s="0"/>
      <c r="DQH57" s="0"/>
      <c r="DQI57" s="0"/>
      <c r="DQJ57" s="0"/>
      <c r="DQK57" s="0"/>
      <c r="DQL57" s="0"/>
      <c r="DQM57" s="0"/>
      <c r="DQN57" s="0"/>
      <c r="DQO57" s="0"/>
      <c r="DQP57" s="0"/>
      <c r="DQQ57" s="0"/>
      <c r="DQR57" s="0"/>
      <c r="DQS57" s="0"/>
      <c r="DQT57" s="0"/>
      <c r="DQU57" s="0"/>
      <c r="DQV57" s="0"/>
      <c r="DQW57" s="0"/>
      <c r="DQX57" s="0"/>
      <c r="DQY57" s="0"/>
      <c r="DQZ57" s="0"/>
      <c r="DRA57" s="0"/>
      <c r="DRB57" s="0"/>
      <c r="DRC57" s="0"/>
      <c r="DRD57" s="0"/>
      <c r="DRE57" s="0"/>
      <c r="DRF57" s="0"/>
      <c r="DRG57" s="0"/>
      <c r="DRH57" s="0"/>
      <c r="DRI57" s="0"/>
      <c r="DRJ57" s="0"/>
      <c r="DRK57" s="0"/>
      <c r="DRL57" s="0"/>
      <c r="DRM57" s="0"/>
      <c r="DRN57" s="0"/>
      <c r="DRO57" s="0"/>
      <c r="DRP57" s="0"/>
      <c r="DRQ57" s="0"/>
      <c r="DRR57" s="0"/>
      <c r="DRS57" s="0"/>
      <c r="DRT57" s="0"/>
      <c r="DRU57" s="0"/>
      <c r="DRV57" s="0"/>
      <c r="DRW57" s="0"/>
      <c r="DRX57" s="0"/>
      <c r="DRY57" s="0"/>
      <c r="DRZ57" s="0"/>
      <c r="DSA57" s="0"/>
      <c r="DSB57" s="0"/>
      <c r="DSC57" s="0"/>
      <c r="DSD57" s="0"/>
      <c r="DSE57" s="0"/>
      <c r="DSF57" s="0"/>
      <c r="DSG57" s="0"/>
      <c r="DSH57" s="0"/>
      <c r="DSI57" s="0"/>
      <c r="DSJ57" s="0"/>
      <c r="DSK57" s="0"/>
      <c r="DSL57" s="0"/>
      <c r="DSM57" s="0"/>
      <c r="DSN57" s="0"/>
      <c r="DSO57" s="0"/>
      <c r="DSP57" s="0"/>
      <c r="DSQ57" s="0"/>
      <c r="DSR57" s="0"/>
      <c r="DSS57" s="0"/>
      <c r="DST57" s="0"/>
      <c r="DSU57" s="0"/>
      <c r="DSV57" s="0"/>
      <c r="DSW57" s="0"/>
      <c r="DSX57" s="0"/>
      <c r="DSY57" s="0"/>
      <c r="DSZ57" s="0"/>
      <c r="DTA57" s="0"/>
      <c r="DTB57" s="0"/>
      <c r="DTC57" s="0"/>
      <c r="DTD57" s="0"/>
      <c r="DTE57" s="0"/>
      <c r="DTF57" s="0"/>
      <c r="DTG57" s="0"/>
      <c r="DTH57" s="0"/>
      <c r="DTI57" s="0"/>
      <c r="DTJ57" s="0"/>
      <c r="DTK57" s="0"/>
      <c r="DTL57" s="0"/>
      <c r="DTM57" s="0"/>
      <c r="DTN57" s="0"/>
      <c r="DTO57" s="0"/>
      <c r="DTP57" s="0"/>
      <c r="DTQ57" s="0"/>
      <c r="DTR57" s="0"/>
      <c r="DTS57" s="0"/>
      <c r="DTT57" s="0"/>
      <c r="DTU57" s="0"/>
      <c r="DTV57" s="0"/>
      <c r="DTW57" s="0"/>
      <c r="DTX57" s="0"/>
      <c r="DTY57" s="0"/>
      <c r="DTZ57" s="0"/>
      <c r="DUA57" s="0"/>
      <c r="DUB57" s="0"/>
      <c r="DUC57" s="0"/>
      <c r="DUD57" s="0"/>
      <c r="DUE57" s="0"/>
      <c r="DUF57" s="0"/>
      <c r="DUG57" s="0"/>
      <c r="DUH57" s="0"/>
      <c r="DUI57" s="0"/>
      <c r="DUJ57" s="0"/>
      <c r="DUK57" s="0"/>
      <c r="DUL57" s="0"/>
      <c r="DUM57" s="0"/>
      <c r="DUN57" s="0"/>
      <c r="DUO57" s="0"/>
      <c r="DUP57" s="0"/>
      <c r="DUQ57" s="0"/>
      <c r="DUR57" s="0"/>
      <c r="DUS57" s="0"/>
      <c r="DUT57" s="0"/>
      <c r="DUU57" s="0"/>
      <c r="DUV57" s="0"/>
      <c r="DUW57" s="0"/>
      <c r="DUX57" s="0"/>
      <c r="DUY57" s="0"/>
      <c r="DUZ57" s="0"/>
      <c r="DVA57" s="0"/>
      <c r="DVB57" s="0"/>
      <c r="DVC57" s="0"/>
      <c r="DVD57" s="0"/>
      <c r="DVE57" s="0"/>
      <c r="DVF57" s="0"/>
      <c r="DVG57" s="0"/>
      <c r="DVH57" s="0"/>
      <c r="DVI57" s="0"/>
      <c r="DVJ57" s="0"/>
      <c r="DVK57" s="0"/>
      <c r="DVL57" s="0"/>
      <c r="DVM57" s="0"/>
      <c r="DVN57" s="0"/>
      <c r="DVO57" s="0"/>
      <c r="DVP57" s="0"/>
      <c r="DVQ57" s="0"/>
      <c r="DVR57" s="0"/>
      <c r="DVS57" s="0"/>
      <c r="DVT57" s="0"/>
      <c r="DVU57" s="0"/>
      <c r="DVV57" s="0"/>
      <c r="DVW57" s="0"/>
      <c r="DVX57" s="0"/>
      <c r="DVY57" s="0"/>
      <c r="DVZ57" s="0"/>
      <c r="DWA57" s="0"/>
      <c r="DWB57" s="0"/>
      <c r="DWC57" s="0"/>
      <c r="DWD57" s="0"/>
      <c r="DWE57" s="0"/>
      <c r="DWF57" s="0"/>
      <c r="DWG57" s="0"/>
      <c r="DWH57" s="0"/>
      <c r="DWI57" s="0"/>
      <c r="DWJ57" s="0"/>
      <c r="DWK57" s="0"/>
      <c r="DWL57" s="0"/>
      <c r="DWM57" s="0"/>
      <c r="DWN57" s="0"/>
      <c r="DWO57" s="0"/>
      <c r="DWP57" s="0"/>
      <c r="DWQ57" s="0"/>
      <c r="DWR57" s="0"/>
      <c r="DWS57" s="0"/>
      <c r="DWT57" s="0"/>
      <c r="DWU57" s="0"/>
      <c r="DWV57" s="0"/>
      <c r="DWW57" s="0"/>
      <c r="DWX57" s="0"/>
      <c r="DWY57" s="0"/>
      <c r="DWZ57" s="0"/>
      <c r="DXA57" s="0"/>
      <c r="DXB57" s="0"/>
      <c r="DXC57" s="0"/>
      <c r="DXD57" s="0"/>
      <c r="DXE57" s="0"/>
      <c r="DXF57" s="0"/>
      <c r="DXG57" s="0"/>
      <c r="DXH57" s="0"/>
      <c r="DXI57" s="0"/>
      <c r="DXJ57" s="0"/>
      <c r="DXK57" s="0"/>
      <c r="DXL57" s="0"/>
      <c r="DXM57" s="0"/>
      <c r="DXN57" s="0"/>
      <c r="DXO57" s="0"/>
      <c r="DXP57" s="0"/>
      <c r="DXQ57" s="0"/>
      <c r="DXR57" s="0"/>
      <c r="DXS57" s="0"/>
      <c r="DXT57" s="0"/>
      <c r="DXU57" s="0"/>
      <c r="DXV57" s="0"/>
      <c r="DXW57" s="0"/>
      <c r="DXX57" s="0"/>
      <c r="DXY57" s="0"/>
      <c r="DXZ57" s="0"/>
      <c r="DYA57" s="0"/>
      <c r="DYB57" s="0"/>
      <c r="DYC57" s="0"/>
      <c r="DYD57" s="0"/>
      <c r="DYE57" s="0"/>
      <c r="DYF57" s="0"/>
      <c r="DYG57" s="0"/>
      <c r="DYH57" s="0"/>
      <c r="DYI57" s="0"/>
      <c r="DYJ57" s="0"/>
      <c r="DYK57" s="0"/>
      <c r="DYL57" s="0"/>
      <c r="DYM57" s="0"/>
      <c r="DYN57" s="0"/>
      <c r="DYO57" s="0"/>
      <c r="DYP57" s="0"/>
      <c r="DYQ57" s="0"/>
      <c r="DYR57" s="0"/>
      <c r="DYS57" s="0"/>
      <c r="DYT57" s="0"/>
      <c r="DYU57" s="0"/>
      <c r="DYV57" s="0"/>
      <c r="DYW57" s="0"/>
      <c r="DYX57" s="0"/>
      <c r="DYY57" s="0"/>
      <c r="DYZ57" s="0"/>
      <c r="DZA57" s="0"/>
      <c r="DZB57" s="0"/>
      <c r="DZC57" s="0"/>
      <c r="DZD57" s="0"/>
      <c r="DZE57" s="0"/>
      <c r="DZF57" s="0"/>
      <c r="DZG57" s="0"/>
      <c r="DZH57" s="0"/>
      <c r="DZI57" s="0"/>
      <c r="DZJ57" s="0"/>
      <c r="DZK57" s="0"/>
      <c r="DZL57" s="0"/>
      <c r="DZM57" s="0"/>
      <c r="DZN57" s="0"/>
      <c r="DZO57" s="0"/>
      <c r="DZP57" s="0"/>
      <c r="DZQ57" s="0"/>
      <c r="DZR57" s="0"/>
      <c r="DZS57" s="0"/>
      <c r="DZT57" s="0"/>
      <c r="DZU57" s="0"/>
      <c r="DZV57" s="0"/>
      <c r="DZW57" s="0"/>
      <c r="DZX57" s="0"/>
      <c r="DZY57" s="0"/>
      <c r="DZZ57" s="0"/>
      <c r="EAA57" s="0"/>
      <c r="EAB57" s="0"/>
      <c r="EAC57" s="0"/>
      <c r="EAD57" s="0"/>
      <c r="EAE57" s="0"/>
      <c r="EAF57" s="0"/>
      <c r="EAG57" s="0"/>
      <c r="EAH57" s="0"/>
      <c r="EAI57" s="0"/>
      <c r="EAJ57" s="0"/>
      <c r="EAK57" s="0"/>
      <c r="EAL57" s="0"/>
      <c r="EAM57" s="0"/>
      <c r="EAN57" s="0"/>
      <c r="EAO57" s="0"/>
      <c r="EAP57" s="0"/>
      <c r="EAQ57" s="0"/>
      <c r="EAR57" s="0"/>
      <c r="EAS57" s="0"/>
      <c r="EAT57" s="0"/>
      <c r="EAU57" s="0"/>
      <c r="EAV57" s="0"/>
      <c r="EAW57" s="0"/>
      <c r="EAX57" s="0"/>
      <c r="EAY57" s="0"/>
      <c r="EAZ57" s="0"/>
      <c r="EBA57" s="0"/>
      <c r="EBB57" s="0"/>
      <c r="EBC57" s="0"/>
      <c r="EBD57" s="0"/>
      <c r="EBE57" s="0"/>
      <c r="EBF57" s="0"/>
      <c r="EBG57" s="0"/>
      <c r="EBH57" s="0"/>
      <c r="EBI57" s="0"/>
      <c r="EBJ57" s="0"/>
      <c r="EBK57" s="0"/>
      <c r="EBL57" s="0"/>
      <c r="EBM57" s="0"/>
      <c r="EBN57" s="0"/>
      <c r="EBO57" s="0"/>
      <c r="EBP57" s="0"/>
      <c r="EBQ57" s="0"/>
      <c r="EBR57" s="0"/>
      <c r="EBS57" s="0"/>
      <c r="EBT57" s="0"/>
      <c r="EBU57" s="0"/>
      <c r="EBV57" s="0"/>
      <c r="EBW57" s="0"/>
      <c r="EBX57" s="0"/>
      <c r="EBY57" s="0"/>
      <c r="EBZ57" s="0"/>
      <c r="ECA57" s="0"/>
      <c r="ECB57" s="0"/>
      <c r="ECC57" s="0"/>
      <c r="ECD57" s="0"/>
      <c r="ECE57" s="0"/>
      <c r="ECF57" s="0"/>
      <c r="ECG57" s="0"/>
      <c r="ECH57" s="0"/>
      <c r="ECI57" s="0"/>
      <c r="ECJ57" s="0"/>
      <c r="ECK57" s="0"/>
      <c r="ECL57" s="0"/>
      <c r="ECM57" s="0"/>
      <c r="ECN57" s="0"/>
      <c r="ECO57" s="0"/>
      <c r="ECP57" s="0"/>
      <c r="ECQ57" s="0"/>
      <c r="ECR57" s="0"/>
      <c r="ECS57" s="0"/>
      <c r="ECT57" s="0"/>
      <c r="ECU57" s="0"/>
      <c r="ECV57" s="0"/>
      <c r="ECW57" s="0"/>
      <c r="ECX57" s="0"/>
      <c r="ECY57" s="0"/>
      <c r="ECZ57" s="0"/>
      <c r="EDA57" s="0"/>
      <c r="EDB57" s="0"/>
      <c r="EDC57" s="0"/>
      <c r="EDD57" s="0"/>
      <c r="EDE57" s="0"/>
      <c r="EDF57" s="0"/>
      <c r="EDG57" s="0"/>
      <c r="EDH57" s="0"/>
      <c r="EDI57" s="0"/>
      <c r="EDJ57" s="0"/>
      <c r="EDK57" s="0"/>
      <c r="EDL57" s="0"/>
      <c r="EDM57" s="0"/>
      <c r="EDN57" s="0"/>
      <c r="EDO57" s="0"/>
      <c r="EDP57" s="0"/>
      <c r="EDQ57" s="0"/>
      <c r="EDR57" s="0"/>
      <c r="EDS57" s="0"/>
      <c r="EDT57" s="0"/>
      <c r="EDU57" s="0"/>
      <c r="EDV57" s="0"/>
      <c r="EDW57" s="0"/>
      <c r="EDX57" s="0"/>
      <c r="EDY57" s="0"/>
      <c r="EDZ57" s="0"/>
      <c r="EEA57" s="0"/>
      <c r="EEB57" s="0"/>
      <c r="EEC57" s="0"/>
      <c r="EED57" s="0"/>
      <c r="EEE57" s="0"/>
      <c r="EEF57" s="0"/>
      <c r="EEG57" s="0"/>
      <c r="EEH57" s="0"/>
      <c r="EEI57" s="0"/>
      <c r="EEJ57" s="0"/>
      <c r="EEK57" s="0"/>
      <c r="EEL57" s="0"/>
      <c r="EEM57" s="0"/>
      <c r="EEN57" s="0"/>
      <c r="EEO57" s="0"/>
      <c r="EEP57" s="0"/>
      <c r="EEQ57" s="0"/>
      <c r="EER57" s="0"/>
      <c r="EES57" s="0"/>
      <c r="EET57" s="0"/>
      <c r="EEU57" s="0"/>
      <c r="EEV57" s="0"/>
      <c r="EEW57" s="0"/>
      <c r="EEX57" s="0"/>
      <c r="EEY57" s="0"/>
      <c r="EEZ57" s="0"/>
      <c r="EFA57" s="0"/>
      <c r="EFB57" s="0"/>
      <c r="EFC57" s="0"/>
      <c r="EFD57" s="0"/>
      <c r="EFE57" s="0"/>
      <c r="EFF57" s="0"/>
      <c r="EFG57" s="0"/>
      <c r="EFH57" s="0"/>
      <c r="EFI57" s="0"/>
      <c r="EFJ57" s="0"/>
      <c r="EFK57" s="0"/>
      <c r="EFL57" s="0"/>
      <c r="EFM57" s="0"/>
      <c r="EFN57" s="0"/>
      <c r="EFO57" s="0"/>
      <c r="EFP57" s="0"/>
      <c r="EFQ57" s="0"/>
      <c r="EFR57" s="0"/>
      <c r="EFS57" s="0"/>
      <c r="EFT57" s="0"/>
      <c r="EFU57" s="0"/>
      <c r="EFV57" s="0"/>
      <c r="EFW57" s="0"/>
      <c r="EFX57" s="0"/>
      <c r="EFY57" s="0"/>
      <c r="EFZ57" s="0"/>
      <c r="EGA57" s="0"/>
      <c r="EGB57" s="0"/>
      <c r="EGC57" s="0"/>
      <c r="EGD57" s="0"/>
      <c r="EGE57" s="0"/>
      <c r="EGF57" s="0"/>
      <c r="EGG57" s="0"/>
      <c r="EGH57" s="0"/>
      <c r="EGI57" s="0"/>
      <c r="EGJ57" s="0"/>
      <c r="EGK57" s="0"/>
      <c r="EGL57" s="0"/>
      <c r="EGM57" s="0"/>
      <c r="EGN57" s="0"/>
      <c r="EGO57" s="0"/>
      <c r="EGP57" s="0"/>
      <c r="EGQ57" s="0"/>
      <c r="EGR57" s="0"/>
      <c r="EGS57" s="0"/>
      <c r="EGT57" s="0"/>
      <c r="EGU57" s="0"/>
      <c r="EGV57" s="0"/>
      <c r="EGW57" s="0"/>
      <c r="EGX57" s="0"/>
      <c r="EGY57" s="0"/>
      <c r="EGZ57" s="0"/>
      <c r="EHA57" s="0"/>
      <c r="EHB57" s="0"/>
      <c r="EHC57" s="0"/>
      <c r="EHD57" s="0"/>
      <c r="EHE57" s="0"/>
      <c r="EHF57" s="0"/>
      <c r="EHG57" s="0"/>
      <c r="EHH57" s="0"/>
      <c r="EHI57" s="0"/>
      <c r="EHJ57" s="0"/>
      <c r="EHK57" s="0"/>
      <c r="EHL57" s="0"/>
      <c r="EHM57" s="0"/>
      <c r="EHN57" s="0"/>
      <c r="EHO57" s="0"/>
      <c r="EHP57" s="0"/>
      <c r="EHQ57" s="0"/>
      <c r="EHR57" s="0"/>
      <c r="EHS57" s="0"/>
      <c r="EHT57" s="0"/>
      <c r="EHU57" s="0"/>
      <c r="EHV57" s="0"/>
      <c r="EHW57" s="0"/>
      <c r="EHX57" s="0"/>
      <c r="EHY57" s="0"/>
      <c r="EHZ57" s="0"/>
      <c r="EIA57" s="0"/>
      <c r="EIB57" s="0"/>
      <c r="EIC57" s="0"/>
      <c r="EID57" s="0"/>
      <c r="EIE57" s="0"/>
      <c r="EIF57" s="0"/>
      <c r="EIG57" s="0"/>
      <c r="EIH57" s="0"/>
      <c r="EII57" s="0"/>
      <c r="EIJ57" s="0"/>
      <c r="EIK57" s="0"/>
      <c r="EIL57" s="0"/>
      <c r="EIM57" s="0"/>
      <c r="EIN57" s="0"/>
      <c r="EIO57" s="0"/>
      <c r="EIP57" s="0"/>
      <c r="EIQ57" s="0"/>
      <c r="EIR57" s="0"/>
      <c r="EIS57" s="0"/>
      <c r="EIT57" s="0"/>
      <c r="EIU57" s="0"/>
      <c r="EIV57" s="0"/>
      <c r="EIW57" s="0"/>
      <c r="EIX57" s="0"/>
      <c r="EIY57" s="0"/>
      <c r="EIZ57" s="0"/>
      <c r="EJA57" s="0"/>
      <c r="EJB57" s="0"/>
      <c r="EJC57" s="0"/>
      <c r="EJD57" s="0"/>
      <c r="EJE57" s="0"/>
      <c r="EJF57" s="0"/>
      <c r="EJG57" s="0"/>
      <c r="EJH57" s="0"/>
      <c r="EJI57" s="0"/>
      <c r="EJJ57" s="0"/>
      <c r="EJK57" s="0"/>
      <c r="EJL57" s="0"/>
      <c r="EJM57" s="0"/>
      <c r="EJN57" s="0"/>
      <c r="EJO57" s="0"/>
      <c r="EJP57" s="0"/>
      <c r="EJQ57" s="0"/>
      <c r="EJR57" s="0"/>
      <c r="EJS57" s="0"/>
      <c r="EJT57" s="0"/>
      <c r="EJU57" s="0"/>
      <c r="EJV57" s="0"/>
      <c r="EJW57" s="0"/>
      <c r="EJX57" s="0"/>
      <c r="EJY57" s="0"/>
      <c r="EJZ57" s="0"/>
      <c r="EKA57" s="0"/>
      <c r="EKB57" s="0"/>
      <c r="EKC57" s="0"/>
      <c r="EKD57" s="0"/>
      <c r="EKE57" s="0"/>
      <c r="EKF57" s="0"/>
      <c r="EKG57" s="0"/>
      <c r="EKH57" s="0"/>
      <c r="EKI57" s="0"/>
      <c r="EKJ57" s="0"/>
      <c r="EKK57" s="0"/>
      <c r="EKL57" s="0"/>
      <c r="EKM57" s="0"/>
      <c r="EKN57" s="0"/>
      <c r="EKO57" s="0"/>
      <c r="EKP57" s="0"/>
      <c r="EKQ57" s="0"/>
      <c r="EKR57" s="0"/>
      <c r="EKS57" s="0"/>
      <c r="EKT57" s="0"/>
      <c r="EKU57" s="0"/>
      <c r="EKV57" s="0"/>
      <c r="EKW57" s="0"/>
      <c r="EKX57" s="0"/>
      <c r="EKY57" s="0"/>
      <c r="EKZ57" s="0"/>
      <c r="ELA57" s="0"/>
      <c r="ELB57" s="0"/>
      <c r="ELC57" s="0"/>
      <c r="ELD57" s="0"/>
      <c r="ELE57" s="0"/>
      <c r="ELF57" s="0"/>
      <c r="ELG57" s="0"/>
      <c r="ELH57" s="0"/>
      <c r="ELI57" s="0"/>
      <c r="ELJ57" s="0"/>
      <c r="ELK57" s="0"/>
      <c r="ELL57" s="0"/>
      <c r="ELM57" s="0"/>
      <c r="ELN57" s="0"/>
      <c r="ELO57" s="0"/>
      <c r="ELP57" s="0"/>
      <c r="ELQ57" s="0"/>
      <c r="ELR57" s="0"/>
      <c r="ELS57" s="0"/>
      <c r="ELT57" s="0"/>
      <c r="ELU57" s="0"/>
      <c r="ELV57" s="0"/>
      <c r="ELW57" s="0"/>
      <c r="ELX57" s="0"/>
      <c r="ELY57" s="0"/>
      <c r="ELZ57" s="0"/>
      <c r="EMA57" s="0"/>
      <c r="EMB57" s="0"/>
      <c r="EMC57" s="0"/>
      <c r="EMD57" s="0"/>
      <c r="EME57" s="0"/>
      <c r="EMF57" s="0"/>
      <c r="EMG57" s="0"/>
      <c r="EMH57" s="0"/>
      <c r="EMI57" s="0"/>
      <c r="EMJ57" s="0"/>
      <c r="EMK57" s="0"/>
      <c r="EML57" s="0"/>
      <c r="EMM57" s="0"/>
      <c r="EMN57" s="0"/>
      <c r="EMO57" s="0"/>
      <c r="EMP57" s="0"/>
      <c r="EMQ57" s="0"/>
      <c r="EMR57" s="0"/>
      <c r="EMS57" s="0"/>
      <c r="EMT57" s="0"/>
      <c r="EMU57" s="0"/>
      <c r="EMV57" s="0"/>
      <c r="EMW57" s="0"/>
      <c r="EMX57" s="0"/>
      <c r="EMY57" s="0"/>
      <c r="EMZ57" s="0"/>
      <c r="ENA57" s="0"/>
      <c r="ENB57" s="0"/>
      <c r="ENC57" s="0"/>
      <c r="END57" s="0"/>
      <c r="ENE57" s="0"/>
      <c r="ENF57" s="0"/>
      <c r="ENG57" s="0"/>
      <c r="ENH57" s="0"/>
      <c r="ENI57" s="0"/>
      <c r="ENJ57" s="0"/>
      <c r="ENK57" s="0"/>
      <c r="ENL57" s="0"/>
      <c r="ENM57" s="0"/>
      <c r="ENN57" s="0"/>
      <c r="ENO57" s="0"/>
      <c r="ENP57" s="0"/>
      <c r="ENQ57" s="0"/>
      <c r="ENR57" s="0"/>
      <c r="ENS57" s="0"/>
      <c r="ENT57" s="0"/>
      <c r="ENU57" s="0"/>
      <c r="ENV57" s="0"/>
      <c r="ENW57" s="0"/>
      <c r="ENX57" s="0"/>
      <c r="ENY57" s="0"/>
      <c r="ENZ57" s="0"/>
      <c r="EOA57" s="0"/>
      <c r="EOB57" s="0"/>
      <c r="EOC57" s="0"/>
      <c r="EOD57" s="0"/>
      <c r="EOE57" s="0"/>
      <c r="EOF57" s="0"/>
      <c r="EOG57" s="0"/>
      <c r="EOH57" s="0"/>
      <c r="EOI57" s="0"/>
      <c r="EOJ57" s="0"/>
      <c r="EOK57" s="0"/>
      <c r="EOL57" s="0"/>
      <c r="EOM57" s="0"/>
      <c r="EON57" s="0"/>
      <c r="EOO57" s="0"/>
      <c r="EOP57" s="0"/>
      <c r="EOQ57" s="0"/>
      <c r="EOR57" s="0"/>
      <c r="EOS57" s="0"/>
      <c r="EOT57" s="0"/>
      <c r="EOU57" s="0"/>
      <c r="EOV57" s="0"/>
      <c r="EOW57" s="0"/>
      <c r="EOX57" s="0"/>
      <c r="EOY57" s="0"/>
      <c r="EOZ57" s="0"/>
      <c r="EPA57" s="0"/>
      <c r="EPB57" s="0"/>
      <c r="EPC57" s="0"/>
      <c r="EPD57" s="0"/>
      <c r="EPE57" s="0"/>
      <c r="EPF57" s="0"/>
      <c r="EPG57" s="0"/>
      <c r="EPH57" s="0"/>
      <c r="EPI57" s="0"/>
      <c r="EPJ57" s="0"/>
      <c r="EPK57" s="0"/>
      <c r="EPL57" s="0"/>
      <c r="EPM57" s="0"/>
      <c r="EPN57" s="0"/>
      <c r="EPO57" s="0"/>
      <c r="EPP57" s="0"/>
      <c r="EPQ57" s="0"/>
      <c r="EPR57" s="0"/>
      <c r="EPS57" s="0"/>
      <c r="EPT57" s="0"/>
      <c r="EPU57" s="0"/>
      <c r="EPV57" s="0"/>
      <c r="EPW57" s="0"/>
      <c r="EPX57" s="0"/>
      <c r="EPY57" s="0"/>
      <c r="EPZ57" s="0"/>
      <c r="EQA57" s="0"/>
      <c r="EQB57" s="0"/>
      <c r="EQC57" s="0"/>
      <c r="EQD57" s="0"/>
      <c r="EQE57" s="0"/>
      <c r="EQF57" s="0"/>
      <c r="EQG57" s="0"/>
      <c r="EQH57" s="0"/>
      <c r="EQI57" s="0"/>
      <c r="EQJ57" s="0"/>
      <c r="EQK57" s="0"/>
      <c r="EQL57" s="0"/>
      <c r="EQM57" s="0"/>
      <c r="EQN57" s="0"/>
      <c r="EQO57" s="0"/>
      <c r="EQP57" s="0"/>
      <c r="EQQ57" s="0"/>
      <c r="EQR57" s="0"/>
      <c r="EQS57" s="0"/>
      <c r="EQT57" s="0"/>
      <c r="EQU57" s="0"/>
      <c r="EQV57" s="0"/>
      <c r="EQW57" s="0"/>
      <c r="EQX57" s="0"/>
      <c r="EQY57" s="0"/>
      <c r="EQZ57" s="0"/>
      <c r="ERA57" s="0"/>
      <c r="ERB57" s="0"/>
      <c r="ERC57" s="0"/>
      <c r="ERD57" s="0"/>
      <c r="ERE57" s="0"/>
      <c r="ERF57" s="0"/>
      <c r="ERG57" s="0"/>
      <c r="ERH57" s="0"/>
      <c r="ERI57" s="0"/>
      <c r="ERJ57" s="0"/>
      <c r="ERK57" s="0"/>
      <c r="ERL57" s="0"/>
      <c r="ERM57" s="0"/>
      <c r="ERN57" s="0"/>
      <c r="ERO57" s="0"/>
      <c r="ERP57" s="0"/>
      <c r="ERQ57" s="0"/>
      <c r="ERR57" s="0"/>
      <c r="ERS57" s="0"/>
      <c r="ERT57" s="0"/>
      <c r="ERU57" s="0"/>
      <c r="ERV57" s="0"/>
      <c r="ERW57" s="0"/>
      <c r="ERX57" s="0"/>
      <c r="ERY57" s="0"/>
      <c r="ERZ57" s="0"/>
      <c r="ESA57" s="0"/>
      <c r="ESB57" s="0"/>
      <c r="ESC57" s="0"/>
      <c r="ESD57" s="0"/>
      <c r="ESE57" s="0"/>
      <c r="ESF57" s="0"/>
      <c r="ESG57" s="0"/>
      <c r="ESH57" s="0"/>
      <c r="ESI57" s="0"/>
      <c r="ESJ57" s="0"/>
      <c r="ESK57" s="0"/>
      <c r="ESL57" s="0"/>
      <c r="ESM57" s="0"/>
      <c r="ESN57" s="0"/>
      <c r="ESO57" s="0"/>
      <c r="ESP57" s="0"/>
      <c r="ESQ57" s="0"/>
      <c r="ESR57" s="0"/>
      <c r="ESS57" s="0"/>
      <c r="EST57" s="0"/>
      <c r="ESU57" s="0"/>
      <c r="ESV57" s="0"/>
      <c r="ESW57" s="0"/>
      <c r="ESX57" s="0"/>
      <c r="ESY57" s="0"/>
      <c r="ESZ57" s="0"/>
      <c r="ETA57" s="0"/>
      <c r="ETB57" s="0"/>
      <c r="ETC57" s="0"/>
      <c r="ETD57" s="0"/>
      <c r="ETE57" s="0"/>
      <c r="ETF57" s="0"/>
      <c r="ETG57" s="0"/>
      <c r="ETH57" s="0"/>
      <c r="ETI57" s="0"/>
      <c r="ETJ57" s="0"/>
      <c r="ETK57" s="0"/>
      <c r="ETL57" s="0"/>
      <c r="ETM57" s="0"/>
      <c r="ETN57" s="0"/>
      <c r="ETO57" s="0"/>
      <c r="ETP57" s="0"/>
      <c r="ETQ57" s="0"/>
      <c r="ETR57" s="0"/>
      <c r="ETS57" s="0"/>
      <c r="ETT57" s="0"/>
      <c r="ETU57" s="0"/>
      <c r="ETV57" s="0"/>
      <c r="ETW57" s="0"/>
      <c r="ETX57" s="0"/>
      <c r="ETY57" s="0"/>
      <c r="ETZ57" s="0"/>
      <c r="EUA57" s="0"/>
      <c r="EUB57" s="0"/>
      <c r="EUC57" s="0"/>
      <c r="EUD57" s="0"/>
      <c r="EUE57" s="0"/>
      <c r="EUF57" s="0"/>
      <c r="EUG57" s="0"/>
      <c r="EUH57" s="0"/>
      <c r="EUI57" s="0"/>
      <c r="EUJ57" s="0"/>
      <c r="EUK57" s="0"/>
      <c r="EUL57" s="0"/>
      <c r="EUM57" s="0"/>
      <c r="EUN57" s="0"/>
      <c r="EUO57" s="0"/>
      <c r="EUP57" s="0"/>
      <c r="EUQ57" s="0"/>
      <c r="EUR57" s="0"/>
      <c r="EUS57" s="0"/>
      <c r="EUT57" s="0"/>
      <c r="EUU57" s="0"/>
      <c r="EUV57" s="0"/>
      <c r="EUW57" s="0"/>
      <c r="EUX57" s="0"/>
      <c r="EUY57" s="0"/>
      <c r="EUZ57" s="0"/>
      <c r="EVA57" s="0"/>
      <c r="EVB57" s="0"/>
      <c r="EVC57" s="0"/>
      <c r="EVD57" s="0"/>
      <c r="EVE57" s="0"/>
      <c r="EVF57" s="0"/>
      <c r="EVG57" s="0"/>
      <c r="EVH57" s="0"/>
      <c r="EVI57" s="0"/>
      <c r="EVJ57" s="0"/>
      <c r="EVK57" s="0"/>
      <c r="EVL57" s="0"/>
      <c r="EVM57" s="0"/>
      <c r="EVN57" s="0"/>
      <c r="EVO57" s="0"/>
      <c r="EVP57" s="0"/>
      <c r="EVQ57" s="0"/>
      <c r="EVR57" s="0"/>
      <c r="EVS57" s="0"/>
      <c r="EVT57" s="0"/>
      <c r="EVU57" s="0"/>
      <c r="EVV57" s="0"/>
      <c r="EVW57" s="0"/>
      <c r="EVX57" s="0"/>
      <c r="EVY57" s="0"/>
      <c r="EVZ57" s="0"/>
      <c r="EWA57" s="0"/>
      <c r="EWB57" s="0"/>
      <c r="EWC57" s="0"/>
      <c r="EWD57" s="0"/>
      <c r="EWE57" s="0"/>
      <c r="EWF57" s="0"/>
      <c r="EWG57" s="0"/>
      <c r="EWH57" s="0"/>
      <c r="EWI57" s="0"/>
      <c r="EWJ57" s="0"/>
      <c r="EWK57" s="0"/>
      <c r="EWL57" s="0"/>
      <c r="EWM57" s="0"/>
      <c r="EWN57" s="0"/>
      <c r="EWO57" s="0"/>
      <c r="EWP57" s="0"/>
      <c r="EWQ57" s="0"/>
      <c r="EWR57" s="0"/>
      <c r="EWS57" s="0"/>
      <c r="EWT57" s="0"/>
      <c r="EWU57" s="0"/>
      <c r="EWV57" s="0"/>
      <c r="EWW57" s="0"/>
      <c r="EWX57" s="0"/>
      <c r="EWY57" s="0"/>
      <c r="EWZ57" s="0"/>
      <c r="EXA57" s="0"/>
      <c r="EXB57" s="0"/>
      <c r="EXC57" s="0"/>
      <c r="EXD57" s="0"/>
      <c r="EXE57" s="0"/>
      <c r="EXF57" s="0"/>
      <c r="EXG57" s="0"/>
      <c r="EXH57" s="0"/>
      <c r="EXI57" s="0"/>
      <c r="EXJ57" s="0"/>
      <c r="EXK57" s="0"/>
      <c r="EXL57" s="0"/>
      <c r="EXM57" s="0"/>
      <c r="EXN57" s="0"/>
      <c r="EXO57" s="0"/>
      <c r="EXP57" s="0"/>
      <c r="EXQ57" s="0"/>
      <c r="EXR57" s="0"/>
      <c r="EXS57" s="0"/>
      <c r="EXT57" s="0"/>
      <c r="EXU57" s="0"/>
      <c r="EXV57" s="0"/>
      <c r="EXW57" s="0"/>
      <c r="EXX57" s="0"/>
      <c r="EXY57" s="0"/>
      <c r="EXZ57" s="0"/>
      <c r="EYA57" s="0"/>
      <c r="EYB57" s="0"/>
      <c r="EYC57" s="0"/>
      <c r="EYD57" s="0"/>
      <c r="EYE57" s="0"/>
      <c r="EYF57" s="0"/>
      <c r="EYG57" s="0"/>
      <c r="EYH57" s="0"/>
      <c r="EYI57" s="0"/>
      <c r="EYJ57" s="0"/>
      <c r="EYK57" s="0"/>
      <c r="EYL57" s="0"/>
      <c r="EYM57" s="0"/>
      <c r="EYN57" s="0"/>
      <c r="EYO57" s="0"/>
      <c r="EYP57" s="0"/>
      <c r="EYQ57" s="0"/>
      <c r="EYR57" s="0"/>
      <c r="EYS57" s="0"/>
      <c r="EYT57" s="0"/>
      <c r="EYU57" s="0"/>
      <c r="EYV57" s="0"/>
      <c r="EYW57" s="0"/>
      <c r="EYX57" s="0"/>
      <c r="EYY57" s="0"/>
      <c r="EYZ57" s="0"/>
      <c r="EZA57" s="0"/>
      <c r="EZB57" s="0"/>
      <c r="EZC57" s="0"/>
      <c r="EZD57" s="0"/>
      <c r="EZE57" s="0"/>
      <c r="EZF57" s="0"/>
      <c r="EZG57" s="0"/>
      <c r="EZH57" s="0"/>
      <c r="EZI57" s="0"/>
      <c r="EZJ57" s="0"/>
      <c r="EZK57" s="0"/>
      <c r="EZL57" s="0"/>
      <c r="EZM57" s="0"/>
      <c r="EZN57" s="0"/>
      <c r="EZO57" s="0"/>
      <c r="EZP57" s="0"/>
      <c r="EZQ57" s="0"/>
      <c r="EZR57" s="0"/>
      <c r="EZS57" s="0"/>
      <c r="EZT57" s="0"/>
      <c r="EZU57" s="0"/>
      <c r="EZV57" s="0"/>
      <c r="EZW57" s="0"/>
      <c r="EZX57" s="0"/>
      <c r="EZY57" s="0"/>
      <c r="EZZ57" s="0"/>
      <c r="FAA57" s="0"/>
      <c r="FAB57" s="0"/>
      <c r="FAC57" s="0"/>
      <c r="FAD57" s="0"/>
      <c r="FAE57" s="0"/>
      <c r="FAF57" s="0"/>
      <c r="FAG57" s="0"/>
      <c r="FAH57" s="0"/>
      <c r="FAI57" s="0"/>
      <c r="FAJ57" s="0"/>
      <c r="FAK57" s="0"/>
      <c r="FAL57" s="0"/>
      <c r="FAM57" s="0"/>
      <c r="FAN57" s="0"/>
      <c r="FAO57" s="0"/>
      <c r="FAP57" s="0"/>
      <c r="FAQ57" s="0"/>
      <c r="FAR57" s="0"/>
      <c r="FAS57" s="0"/>
      <c r="FAT57" s="0"/>
      <c r="FAU57" s="0"/>
      <c r="FAV57" s="0"/>
      <c r="FAW57" s="0"/>
      <c r="FAX57" s="0"/>
      <c r="FAY57" s="0"/>
      <c r="FAZ57" s="0"/>
      <c r="FBA57" s="0"/>
      <c r="FBB57" s="0"/>
      <c r="FBC57" s="0"/>
      <c r="FBD57" s="0"/>
      <c r="FBE57" s="0"/>
      <c r="FBF57" s="0"/>
      <c r="FBG57" s="0"/>
      <c r="FBH57" s="0"/>
      <c r="FBI57" s="0"/>
      <c r="FBJ57" s="0"/>
      <c r="FBK57" s="0"/>
      <c r="FBL57" s="0"/>
      <c r="FBM57" s="0"/>
      <c r="FBN57" s="0"/>
      <c r="FBO57" s="0"/>
      <c r="FBP57" s="0"/>
      <c r="FBQ57" s="0"/>
      <c r="FBR57" s="0"/>
      <c r="FBS57" s="0"/>
      <c r="FBT57" s="0"/>
      <c r="FBU57" s="0"/>
      <c r="FBV57" s="0"/>
      <c r="FBW57" s="0"/>
      <c r="FBX57" s="0"/>
      <c r="FBY57" s="0"/>
      <c r="FBZ57" s="0"/>
      <c r="FCA57" s="0"/>
      <c r="FCB57" s="0"/>
      <c r="FCC57" s="0"/>
      <c r="FCD57" s="0"/>
      <c r="FCE57" s="0"/>
      <c r="FCF57" s="0"/>
      <c r="FCG57" s="0"/>
      <c r="FCH57" s="0"/>
      <c r="FCI57" s="0"/>
      <c r="FCJ57" s="0"/>
      <c r="FCK57" s="0"/>
      <c r="FCL57" s="0"/>
      <c r="FCM57" s="0"/>
      <c r="FCN57" s="0"/>
      <c r="FCO57" s="0"/>
      <c r="FCP57" s="0"/>
      <c r="FCQ57" s="0"/>
      <c r="FCR57" s="0"/>
      <c r="FCS57" s="0"/>
      <c r="FCT57" s="0"/>
      <c r="FCU57" s="0"/>
      <c r="FCV57" s="0"/>
      <c r="FCW57" s="0"/>
      <c r="FCX57" s="0"/>
      <c r="FCY57" s="0"/>
      <c r="FCZ57" s="0"/>
      <c r="FDA57" s="0"/>
      <c r="FDB57" s="0"/>
      <c r="FDC57" s="0"/>
      <c r="FDD57" s="0"/>
      <c r="FDE57" s="0"/>
      <c r="FDF57" s="0"/>
      <c r="FDG57" s="0"/>
      <c r="FDH57" s="0"/>
      <c r="FDI57" s="0"/>
      <c r="FDJ57" s="0"/>
      <c r="FDK57" s="0"/>
      <c r="FDL57" s="0"/>
      <c r="FDM57" s="0"/>
      <c r="FDN57" s="0"/>
      <c r="FDO57" s="0"/>
      <c r="FDP57" s="0"/>
      <c r="FDQ57" s="0"/>
      <c r="FDR57" s="0"/>
      <c r="FDS57" s="0"/>
      <c r="FDT57" s="0"/>
      <c r="FDU57" s="0"/>
      <c r="FDV57" s="0"/>
      <c r="FDW57" s="0"/>
      <c r="FDX57" s="0"/>
      <c r="FDY57" s="0"/>
      <c r="FDZ57" s="0"/>
      <c r="FEA57" s="0"/>
      <c r="FEB57" s="0"/>
      <c r="FEC57" s="0"/>
      <c r="FED57" s="0"/>
      <c r="FEE57" s="0"/>
      <c r="FEF57" s="0"/>
      <c r="FEG57" s="0"/>
      <c r="FEH57" s="0"/>
      <c r="FEI57" s="0"/>
      <c r="FEJ57" s="0"/>
      <c r="FEK57" s="0"/>
      <c r="FEL57" s="0"/>
      <c r="FEM57" s="0"/>
      <c r="FEN57" s="0"/>
      <c r="FEO57" s="0"/>
      <c r="FEP57" s="0"/>
      <c r="FEQ57" s="0"/>
      <c r="FER57" s="0"/>
      <c r="FES57" s="0"/>
      <c r="FET57" s="0"/>
      <c r="FEU57" s="0"/>
      <c r="FEV57" s="0"/>
      <c r="FEW57" s="0"/>
      <c r="FEX57" s="0"/>
      <c r="FEY57" s="0"/>
      <c r="FEZ57" s="0"/>
      <c r="FFA57" s="0"/>
      <c r="FFB57" s="0"/>
      <c r="FFC57" s="0"/>
      <c r="FFD57" s="0"/>
      <c r="FFE57" s="0"/>
      <c r="FFF57" s="0"/>
      <c r="FFG57" s="0"/>
      <c r="FFH57" s="0"/>
      <c r="FFI57" s="0"/>
      <c r="FFJ57" s="0"/>
      <c r="FFK57" s="0"/>
      <c r="FFL57" s="0"/>
      <c r="FFM57" s="0"/>
      <c r="FFN57" s="0"/>
      <c r="FFO57" s="0"/>
      <c r="FFP57" s="0"/>
      <c r="FFQ57" s="0"/>
      <c r="FFR57" s="0"/>
      <c r="FFS57" s="0"/>
      <c r="FFT57" s="0"/>
      <c r="FFU57" s="0"/>
      <c r="FFV57" s="0"/>
      <c r="FFW57" s="0"/>
      <c r="FFX57" s="0"/>
      <c r="FFY57" s="0"/>
      <c r="FFZ57" s="0"/>
      <c r="FGA57" s="0"/>
      <c r="FGB57" s="0"/>
      <c r="FGC57" s="0"/>
      <c r="FGD57" s="0"/>
      <c r="FGE57" s="0"/>
      <c r="FGF57" s="0"/>
      <c r="FGG57" s="0"/>
      <c r="FGH57" s="0"/>
      <c r="FGI57" s="0"/>
      <c r="FGJ57" s="0"/>
      <c r="FGK57" s="0"/>
      <c r="FGL57" s="0"/>
      <c r="FGM57" s="0"/>
      <c r="FGN57" s="0"/>
      <c r="FGO57" s="0"/>
      <c r="FGP57" s="0"/>
      <c r="FGQ57" s="0"/>
      <c r="FGR57" s="0"/>
      <c r="FGS57" s="0"/>
      <c r="FGT57" s="0"/>
      <c r="FGU57" s="0"/>
      <c r="FGV57" s="0"/>
      <c r="FGW57" s="0"/>
      <c r="FGX57" s="0"/>
      <c r="FGY57" s="0"/>
      <c r="FGZ57" s="0"/>
      <c r="FHA57" s="0"/>
      <c r="FHB57" s="0"/>
      <c r="FHC57" s="0"/>
      <c r="FHD57" s="0"/>
      <c r="FHE57" s="0"/>
      <c r="FHF57" s="0"/>
      <c r="FHG57" s="0"/>
      <c r="FHH57" s="0"/>
      <c r="FHI57" s="0"/>
      <c r="FHJ57" s="0"/>
      <c r="FHK57" s="0"/>
      <c r="FHL57" s="0"/>
      <c r="FHM57" s="0"/>
      <c r="FHN57" s="0"/>
      <c r="FHO57" s="0"/>
      <c r="FHP57" s="0"/>
      <c r="FHQ57" s="0"/>
      <c r="FHR57" s="0"/>
      <c r="FHS57" s="0"/>
      <c r="FHT57" s="0"/>
      <c r="FHU57" s="0"/>
      <c r="FHV57" s="0"/>
      <c r="FHW57" s="0"/>
      <c r="FHX57" s="0"/>
      <c r="FHY57" s="0"/>
      <c r="FHZ57" s="0"/>
      <c r="FIA57" s="0"/>
      <c r="FIB57" s="0"/>
      <c r="FIC57" s="0"/>
      <c r="FID57" s="0"/>
      <c r="FIE57" s="0"/>
      <c r="FIF57" s="0"/>
      <c r="FIG57" s="0"/>
      <c r="FIH57" s="0"/>
      <c r="FII57" s="0"/>
      <c r="FIJ57" s="0"/>
      <c r="FIK57" s="0"/>
      <c r="FIL57" s="0"/>
      <c r="FIM57" s="0"/>
      <c r="FIN57" s="0"/>
      <c r="FIO57" s="0"/>
      <c r="FIP57" s="0"/>
      <c r="FIQ57" s="0"/>
      <c r="FIR57" s="0"/>
      <c r="FIS57" s="0"/>
      <c r="FIT57" s="0"/>
      <c r="FIU57" s="0"/>
      <c r="FIV57" s="0"/>
      <c r="FIW57" s="0"/>
      <c r="FIX57" s="0"/>
      <c r="FIY57" s="0"/>
      <c r="FIZ57" s="0"/>
      <c r="FJA57" s="0"/>
      <c r="FJB57" s="0"/>
      <c r="FJC57" s="0"/>
      <c r="FJD57" s="0"/>
      <c r="FJE57" s="0"/>
      <c r="FJF57" s="0"/>
      <c r="FJG57" s="0"/>
      <c r="FJH57" s="0"/>
      <c r="FJI57" s="0"/>
      <c r="FJJ57" s="0"/>
      <c r="FJK57" s="0"/>
      <c r="FJL57" s="0"/>
      <c r="FJM57" s="0"/>
      <c r="FJN57" s="0"/>
      <c r="FJO57" s="0"/>
      <c r="FJP57" s="0"/>
      <c r="FJQ57" s="0"/>
      <c r="FJR57" s="0"/>
      <c r="FJS57" s="0"/>
      <c r="FJT57" s="0"/>
      <c r="FJU57" s="0"/>
      <c r="FJV57" s="0"/>
      <c r="FJW57" s="0"/>
      <c r="FJX57" s="0"/>
      <c r="FJY57" s="0"/>
      <c r="FJZ57" s="0"/>
      <c r="FKA57" s="0"/>
      <c r="FKB57" s="0"/>
      <c r="FKC57" s="0"/>
      <c r="FKD57" s="0"/>
      <c r="FKE57" s="0"/>
      <c r="FKF57" s="0"/>
      <c r="FKG57" s="0"/>
      <c r="FKH57" s="0"/>
      <c r="FKI57" s="0"/>
      <c r="FKJ57" s="0"/>
      <c r="FKK57" s="0"/>
      <c r="FKL57" s="0"/>
      <c r="FKM57" s="0"/>
      <c r="FKN57" s="0"/>
      <c r="FKO57" s="0"/>
      <c r="FKP57" s="0"/>
      <c r="FKQ57" s="0"/>
      <c r="FKR57" s="0"/>
      <c r="FKS57" s="0"/>
      <c r="FKT57" s="0"/>
      <c r="FKU57" s="0"/>
      <c r="FKV57" s="0"/>
      <c r="FKW57" s="0"/>
      <c r="FKX57" s="0"/>
      <c r="FKY57" s="0"/>
      <c r="FKZ57" s="0"/>
      <c r="FLA57" s="0"/>
      <c r="FLB57" s="0"/>
      <c r="FLC57" s="0"/>
      <c r="FLD57" s="0"/>
      <c r="FLE57" s="0"/>
      <c r="FLF57" s="0"/>
      <c r="FLG57" s="0"/>
      <c r="FLH57" s="0"/>
      <c r="FLI57" s="0"/>
      <c r="FLJ57" s="0"/>
      <c r="FLK57" s="0"/>
      <c r="FLL57" s="0"/>
      <c r="FLM57" s="0"/>
      <c r="FLN57" s="0"/>
      <c r="FLO57" s="0"/>
      <c r="FLP57" s="0"/>
      <c r="FLQ57" s="0"/>
      <c r="FLR57" s="0"/>
      <c r="FLS57" s="0"/>
      <c r="FLT57" s="0"/>
      <c r="FLU57" s="0"/>
      <c r="FLV57" s="0"/>
      <c r="FLW57" s="0"/>
      <c r="FLX57" s="0"/>
      <c r="FLY57" s="0"/>
      <c r="FLZ57" s="0"/>
      <c r="FMA57" s="0"/>
      <c r="FMB57" s="0"/>
      <c r="FMC57" s="0"/>
      <c r="FMD57" s="0"/>
      <c r="FME57" s="0"/>
      <c r="FMF57" s="0"/>
      <c r="FMG57" s="0"/>
      <c r="FMH57" s="0"/>
      <c r="FMI57" s="0"/>
      <c r="FMJ57" s="0"/>
      <c r="FMK57" s="0"/>
      <c r="FML57" s="0"/>
      <c r="FMM57" s="0"/>
      <c r="FMN57" s="0"/>
      <c r="FMO57" s="0"/>
      <c r="FMP57" s="0"/>
      <c r="FMQ57" s="0"/>
      <c r="FMR57" s="0"/>
      <c r="FMS57" s="0"/>
      <c r="FMT57" s="0"/>
      <c r="FMU57" s="0"/>
      <c r="FMV57" s="0"/>
      <c r="FMW57" s="0"/>
      <c r="FMX57" s="0"/>
      <c r="FMY57" s="0"/>
      <c r="FMZ57" s="0"/>
      <c r="FNA57" s="0"/>
      <c r="FNB57" s="0"/>
      <c r="FNC57" s="0"/>
      <c r="FND57" s="0"/>
      <c r="FNE57" s="0"/>
      <c r="FNF57" s="0"/>
      <c r="FNG57" s="0"/>
      <c r="FNH57" s="0"/>
      <c r="FNI57" s="0"/>
      <c r="FNJ57" s="0"/>
      <c r="FNK57" s="0"/>
      <c r="FNL57" s="0"/>
      <c r="FNM57" s="0"/>
      <c r="FNN57" s="0"/>
      <c r="FNO57" s="0"/>
      <c r="FNP57" s="0"/>
      <c r="FNQ57" s="0"/>
      <c r="FNR57" s="0"/>
      <c r="FNS57" s="0"/>
      <c r="FNT57" s="0"/>
      <c r="FNU57" s="0"/>
      <c r="FNV57" s="0"/>
      <c r="FNW57" s="0"/>
      <c r="FNX57" s="0"/>
      <c r="FNY57" s="0"/>
      <c r="FNZ57" s="0"/>
      <c r="FOA57" s="0"/>
      <c r="FOB57" s="0"/>
      <c r="FOC57" s="0"/>
      <c r="FOD57" s="0"/>
      <c r="FOE57" s="0"/>
      <c r="FOF57" s="0"/>
      <c r="FOG57" s="0"/>
      <c r="FOH57" s="0"/>
      <c r="FOI57" s="0"/>
      <c r="FOJ57" s="0"/>
      <c r="FOK57" s="0"/>
      <c r="FOL57" s="0"/>
      <c r="FOM57" s="0"/>
      <c r="FON57" s="0"/>
      <c r="FOO57" s="0"/>
      <c r="FOP57" s="0"/>
      <c r="FOQ57" s="0"/>
      <c r="FOR57" s="0"/>
      <c r="FOS57" s="0"/>
      <c r="FOT57" s="0"/>
      <c r="FOU57" s="0"/>
      <c r="FOV57" s="0"/>
      <c r="FOW57" s="0"/>
      <c r="FOX57" s="0"/>
      <c r="FOY57" s="0"/>
      <c r="FOZ57" s="0"/>
      <c r="FPA57" s="0"/>
      <c r="FPB57" s="0"/>
      <c r="FPC57" s="0"/>
      <c r="FPD57" s="0"/>
      <c r="FPE57" s="0"/>
      <c r="FPF57" s="0"/>
      <c r="FPG57" s="0"/>
      <c r="FPH57" s="0"/>
      <c r="FPI57" s="0"/>
      <c r="FPJ57" s="0"/>
      <c r="FPK57" s="0"/>
      <c r="FPL57" s="0"/>
      <c r="FPM57" s="0"/>
      <c r="FPN57" s="0"/>
      <c r="FPO57" s="0"/>
      <c r="FPP57" s="0"/>
      <c r="FPQ57" s="0"/>
      <c r="FPR57" s="0"/>
      <c r="FPS57" s="0"/>
      <c r="FPT57" s="0"/>
      <c r="FPU57" s="0"/>
      <c r="FPV57" s="0"/>
      <c r="FPW57" s="0"/>
      <c r="FPX57" s="0"/>
      <c r="FPY57" s="0"/>
      <c r="FPZ57" s="0"/>
      <c r="FQA57" s="0"/>
      <c r="FQB57" s="0"/>
      <c r="FQC57" s="0"/>
      <c r="FQD57" s="0"/>
      <c r="FQE57" s="0"/>
      <c r="FQF57" s="0"/>
      <c r="FQG57" s="0"/>
      <c r="FQH57" s="0"/>
      <c r="FQI57" s="0"/>
      <c r="FQJ57" s="0"/>
      <c r="FQK57" s="0"/>
      <c r="FQL57" s="0"/>
      <c r="FQM57" s="0"/>
      <c r="FQN57" s="0"/>
      <c r="FQO57" s="0"/>
      <c r="FQP57" s="0"/>
      <c r="FQQ57" s="0"/>
      <c r="FQR57" s="0"/>
      <c r="FQS57" s="0"/>
      <c r="FQT57" s="0"/>
      <c r="FQU57" s="0"/>
      <c r="FQV57" s="0"/>
      <c r="FQW57" s="0"/>
      <c r="FQX57" s="0"/>
      <c r="FQY57" s="0"/>
      <c r="FQZ57" s="0"/>
      <c r="FRA57" s="0"/>
      <c r="FRB57" s="0"/>
      <c r="FRC57" s="0"/>
      <c r="FRD57" s="0"/>
      <c r="FRE57" s="0"/>
      <c r="FRF57" s="0"/>
      <c r="FRG57" s="0"/>
      <c r="FRH57" s="0"/>
      <c r="FRI57" s="0"/>
      <c r="FRJ57" s="0"/>
      <c r="FRK57" s="0"/>
      <c r="FRL57" s="0"/>
      <c r="FRM57" s="0"/>
      <c r="FRN57" s="0"/>
      <c r="FRO57" s="0"/>
      <c r="FRP57" s="0"/>
      <c r="FRQ57" s="0"/>
      <c r="FRR57" s="0"/>
      <c r="FRS57" s="0"/>
      <c r="FRT57" s="0"/>
      <c r="FRU57" s="0"/>
      <c r="FRV57" s="0"/>
      <c r="FRW57" s="0"/>
      <c r="FRX57" s="0"/>
      <c r="FRY57" s="0"/>
      <c r="FRZ57" s="0"/>
      <c r="FSA57" s="0"/>
      <c r="FSB57" s="0"/>
      <c r="FSC57" s="0"/>
      <c r="FSD57" s="0"/>
      <c r="FSE57" s="0"/>
      <c r="FSF57" s="0"/>
      <c r="FSG57" s="0"/>
      <c r="FSH57" s="0"/>
      <c r="FSI57" s="0"/>
      <c r="FSJ57" s="0"/>
      <c r="FSK57" s="0"/>
      <c r="FSL57" s="0"/>
      <c r="FSM57" s="0"/>
      <c r="FSN57" s="0"/>
      <c r="FSO57" s="0"/>
      <c r="FSP57" s="0"/>
      <c r="FSQ57" s="0"/>
      <c r="FSR57" s="0"/>
      <c r="FSS57" s="0"/>
      <c r="FST57" s="0"/>
      <c r="FSU57" s="0"/>
      <c r="FSV57" s="0"/>
      <c r="FSW57" s="0"/>
      <c r="FSX57" s="0"/>
      <c r="FSY57" s="0"/>
      <c r="FSZ57" s="0"/>
      <c r="FTA57" s="0"/>
      <c r="FTB57" s="0"/>
      <c r="FTC57" s="0"/>
      <c r="FTD57" s="0"/>
      <c r="FTE57" s="0"/>
      <c r="FTF57" s="0"/>
      <c r="FTG57" s="0"/>
      <c r="FTH57" s="0"/>
      <c r="FTI57" s="0"/>
      <c r="FTJ57" s="0"/>
      <c r="FTK57" s="0"/>
      <c r="FTL57" s="0"/>
      <c r="FTM57" s="0"/>
      <c r="FTN57" s="0"/>
      <c r="FTO57" s="0"/>
      <c r="FTP57" s="0"/>
      <c r="FTQ57" s="0"/>
      <c r="FTR57" s="0"/>
      <c r="FTS57" s="0"/>
      <c r="FTT57" s="0"/>
      <c r="FTU57" s="0"/>
      <c r="FTV57" s="0"/>
      <c r="FTW57" s="0"/>
      <c r="FTX57" s="0"/>
      <c r="FTY57" s="0"/>
      <c r="FTZ57" s="0"/>
      <c r="FUA57" s="0"/>
      <c r="FUB57" s="0"/>
      <c r="FUC57" s="0"/>
      <c r="FUD57" s="0"/>
      <c r="FUE57" s="0"/>
      <c r="FUF57" s="0"/>
      <c r="FUG57" s="0"/>
      <c r="FUH57" s="0"/>
      <c r="FUI57" s="0"/>
      <c r="FUJ57" s="0"/>
      <c r="FUK57" s="0"/>
      <c r="FUL57" s="0"/>
      <c r="FUM57" s="0"/>
      <c r="FUN57" s="0"/>
      <c r="FUO57" s="0"/>
      <c r="FUP57" s="0"/>
      <c r="FUQ57" s="0"/>
      <c r="FUR57" s="0"/>
      <c r="FUS57" s="0"/>
      <c r="FUT57" s="0"/>
      <c r="FUU57" s="0"/>
      <c r="FUV57" s="0"/>
      <c r="FUW57" s="0"/>
      <c r="FUX57" s="0"/>
      <c r="FUY57" s="0"/>
      <c r="FUZ57" s="0"/>
      <c r="FVA57" s="0"/>
      <c r="FVB57" s="0"/>
      <c r="FVC57" s="0"/>
      <c r="FVD57" s="0"/>
      <c r="FVE57" s="0"/>
      <c r="FVF57" s="0"/>
      <c r="FVG57" s="0"/>
      <c r="FVH57" s="0"/>
      <c r="FVI57" s="0"/>
      <c r="FVJ57" s="0"/>
      <c r="FVK57" s="0"/>
      <c r="FVL57" s="0"/>
      <c r="FVM57" s="0"/>
      <c r="FVN57" s="0"/>
      <c r="FVO57" s="0"/>
      <c r="FVP57" s="0"/>
      <c r="FVQ57" s="0"/>
      <c r="FVR57" s="0"/>
      <c r="FVS57" s="0"/>
      <c r="FVT57" s="0"/>
      <c r="FVU57" s="0"/>
      <c r="FVV57" s="0"/>
      <c r="FVW57" s="0"/>
      <c r="FVX57" s="0"/>
      <c r="FVY57" s="0"/>
      <c r="FVZ57" s="0"/>
      <c r="FWA57" s="0"/>
      <c r="FWB57" s="0"/>
      <c r="FWC57" s="0"/>
      <c r="FWD57" s="0"/>
      <c r="FWE57" s="0"/>
      <c r="FWF57" s="0"/>
      <c r="FWG57" s="0"/>
      <c r="FWH57" s="0"/>
      <c r="FWI57" s="0"/>
      <c r="FWJ57" s="0"/>
      <c r="FWK57" s="0"/>
      <c r="FWL57" s="0"/>
      <c r="FWM57" s="0"/>
      <c r="FWN57" s="0"/>
      <c r="FWO57" s="0"/>
      <c r="FWP57" s="0"/>
      <c r="FWQ57" s="0"/>
      <c r="FWR57" s="0"/>
      <c r="FWS57" s="0"/>
      <c r="FWT57" s="0"/>
      <c r="FWU57" s="0"/>
      <c r="FWV57" s="0"/>
      <c r="FWW57" s="0"/>
      <c r="FWX57" s="0"/>
      <c r="FWY57" s="0"/>
      <c r="FWZ57" s="0"/>
      <c r="FXA57" s="0"/>
      <c r="FXB57" s="0"/>
      <c r="FXC57" s="0"/>
      <c r="FXD57" s="0"/>
      <c r="FXE57" s="0"/>
      <c r="FXF57" s="0"/>
      <c r="FXG57" s="0"/>
      <c r="FXH57" s="0"/>
      <c r="FXI57" s="0"/>
      <c r="FXJ57" s="0"/>
      <c r="FXK57" s="0"/>
      <c r="FXL57" s="0"/>
      <c r="FXM57" s="0"/>
      <c r="FXN57" s="0"/>
      <c r="FXO57" s="0"/>
      <c r="FXP57" s="0"/>
      <c r="FXQ57" s="0"/>
      <c r="FXR57" s="0"/>
      <c r="FXS57" s="0"/>
      <c r="FXT57" s="0"/>
      <c r="FXU57" s="0"/>
      <c r="FXV57" s="0"/>
      <c r="FXW57" s="0"/>
      <c r="FXX57" s="0"/>
      <c r="FXY57" s="0"/>
      <c r="FXZ57" s="0"/>
      <c r="FYA57" s="0"/>
      <c r="FYB57" s="0"/>
      <c r="FYC57" s="0"/>
      <c r="FYD57" s="0"/>
      <c r="FYE57" s="0"/>
      <c r="FYF57" s="0"/>
      <c r="FYG57" s="0"/>
      <c r="FYH57" s="0"/>
      <c r="FYI57" s="0"/>
      <c r="FYJ57" s="0"/>
      <c r="FYK57" s="0"/>
      <c r="FYL57" s="0"/>
      <c r="FYM57" s="0"/>
      <c r="FYN57" s="0"/>
      <c r="FYO57" s="0"/>
      <c r="FYP57" s="0"/>
      <c r="FYQ57" s="0"/>
      <c r="FYR57" s="0"/>
      <c r="FYS57" s="0"/>
      <c r="FYT57" s="0"/>
      <c r="FYU57" s="0"/>
      <c r="FYV57" s="0"/>
      <c r="FYW57" s="0"/>
      <c r="FYX57" s="0"/>
      <c r="FYY57" s="0"/>
      <c r="FYZ57" s="0"/>
      <c r="FZA57" s="0"/>
      <c r="FZB57" s="0"/>
      <c r="FZC57" s="0"/>
      <c r="FZD57" s="0"/>
      <c r="FZE57" s="0"/>
      <c r="FZF57" s="0"/>
      <c r="FZG57" s="0"/>
      <c r="FZH57" s="0"/>
      <c r="FZI57" s="0"/>
      <c r="FZJ57" s="0"/>
      <c r="FZK57" s="0"/>
      <c r="FZL57" s="0"/>
      <c r="FZM57" s="0"/>
      <c r="FZN57" s="0"/>
      <c r="FZO57" s="0"/>
      <c r="FZP57" s="0"/>
      <c r="FZQ57" s="0"/>
      <c r="FZR57" s="0"/>
      <c r="FZS57" s="0"/>
      <c r="FZT57" s="0"/>
      <c r="FZU57" s="0"/>
      <c r="FZV57" s="0"/>
      <c r="FZW57" s="0"/>
      <c r="FZX57" s="0"/>
      <c r="FZY57" s="0"/>
      <c r="FZZ57" s="0"/>
      <c r="GAA57" s="0"/>
      <c r="GAB57" s="0"/>
      <c r="GAC57" s="0"/>
      <c r="GAD57" s="0"/>
      <c r="GAE57" s="0"/>
      <c r="GAF57" s="0"/>
      <c r="GAG57" s="0"/>
      <c r="GAH57" s="0"/>
      <c r="GAI57" s="0"/>
      <c r="GAJ57" s="0"/>
      <c r="GAK57" s="0"/>
      <c r="GAL57" s="0"/>
      <c r="GAM57" s="0"/>
      <c r="GAN57" s="0"/>
      <c r="GAO57" s="0"/>
      <c r="GAP57" s="0"/>
      <c r="GAQ57" s="0"/>
      <c r="GAR57" s="0"/>
      <c r="GAS57" s="0"/>
      <c r="GAT57" s="0"/>
      <c r="GAU57" s="0"/>
      <c r="GAV57" s="0"/>
      <c r="GAW57" s="0"/>
      <c r="GAX57" s="0"/>
      <c r="GAY57" s="0"/>
      <c r="GAZ57" s="0"/>
      <c r="GBA57" s="0"/>
      <c r="GBB57" s="0"/>
      <c r="GBC57" s="0"/>
      <c r="GBD57" s="0"/>
      <c r="GBE57" s="0"/>
      <c r="GBF57" s="0"/>
      <c r="GBG57" s="0"/>
      <c r="GBH57" s="0"/>
      <c r="GBI57" s="0"/>
      <c r="GBJ57" s="0"/>
      <c r="GBK57" s="0"/>
      <c r="GBL57" s="0"/>
      <c r="GBM57" s="0"/>
      <c r="GBN57" s="0"/>
      <c r="GBO57" s="0"/>
      <c r="GBP57" s="0"/>
      <c r="GBQ57" s="0"/>
      <c r="GBR57" s="0"/>
      <c r="GBS57" s="0"/>
      <c r="GBT57" s="0"/>
      <c r="GBU57" s="0"/>
      <c r="GBV57" s="0"/>
      <c r="GBW57" s="0"/>
      <c r="GBX57" s="0"/>
      <c r="GBY57" s="0"/>
      <c r="GBZ57" s="0"/>
      <c r="GCA57" s="0"/>
      <c r="GCB57" s="0"/>
      <c r="GCC57" s="0"/>
      <c r="GCD57" s="0"/>
      <c r="GCE57" s="0"/>
      <c r="GCF57" s="0"/>
      <c r="GCG57" s="0"/>
      <c r="GCH57" s="0"/>
      <c r="GCI57" s="0"/>
      <c r="GCJ57" s="0"/>
      <c r="GCK57" s="0"/>
      <c r="GCL57" s="0"/>
      <c r="GCM57" s="0"/>
      <c r="GCN57" s="0"/>
      <c r="GCO57" s="0"/>
      <c r="GCP57" s="0"/>
      <c r="GCQ57" s="0"/>
      <c r="GCR57" s="0"/>
      <c r="GCS57" s="0"/>
      <c r="GCT57" s="0"/>
      <c r="GCU57" s="0"/>
      <c r="GCV57" s="0"/>
      <c r="GCW57" s="0"/>
      <c r="GCX57" s="0"/>
      <c r="GCY57" s="0"/>
      <c r="GCZ57" s="0"/>
      <c r="GDA57" s="0"/>
      <c r="GDB57" s="0"/>
      <c r="GDC57" s="0"/>
      <c r="GDD57" s="0"/>
      <c r="GDE57" s="0"/>
      <c r="GDF57" s="0"/>
      <c r="GDG57" s="0"/>
      <c r="GDH57" s="0"/>
      <c r="GDI57" s="0"/>
      <c r="GDJ57" s="0"/>
      <c r="GDK57" s="0"/>
      <c r="GDL57" s="0"/>
      <c r="GDM57" s="0"/>
      <c r="GDN57" s="0"/>
      <c r="GDO57" s="0"/>
      <c r="GDP57" s="0"/>
      <c r="GDQ57" s="0"/>
      <c r="GDR57" s="0"/>
      <c r="GDS57" s="0"/>
      <c r="GDT57" s="0"/>
      <c r="GDU57" s="0"/>
      <c r="GDV57" s="0"/>
      <c r="GDW57" s="0"/>
      <c r="GDX57" s="0"/>
      <c r="GDY57" s="0"/>
      <c r="GDZ57" s="0"/>
      <c r="GEA57" s="0"/>
      <c r="GEB57" s="0"/>
      <c r="GEC57" s="0"/>
      <c r="GED57" s="0"/>
      <c r="GEE57" s="0"/>
      <c r="GEF57" s="0"/>
      <c r="GEG57" s="0"/>
      <c r="GEH57" s="0"/>
      <c r="GEI57" s="0"/>
      <c r="GEJ57" s="0"/>
      <c r="GEK57" s="0"/>
      <c r="GEL57" s="0"/>
      <c r="GEM57" s="0"/>
      <c r="GEN57" s="0"/>
      <c r="GEO57" s="0"/>
      <c r="GEP57" s="0"/>
      <c r="GEQ57" s="0"/>
      <c r="GER57" s="0"/>
      <c r="GES57" s="0"/>
      <c r="GET57" s="0"/>
      <c r="GEU57" s="0"/>
      <c r="GEV57" s="0"/>
      <c r="GEW57" s="0"/>
      <c r="GEX57" s="0"/>
      <c r="GEY57" s="0"/>
      <c r="GEZ57" s="0"/>
      <c r="GFA57" s="0"/>
      <c r="GFB57" s="0"/>
      <c r="GFC57" s="0"/>
      <c r="GFD57" s="0"/>
      <c r="GFE57" s="0"/>
      <c r="GFF57" s="0"/>
      <c r="GFG57" s="0"/>
      <c r="GFH57" s="0"/>
      <c r="GFI57" s="0"/>
      <c r="GFJ57" s="0"/>
      <c r="GFK57" s="0"/>
      <c r="GFL57" s="0"/>
      <c r="GFM57" s="0"/>
      <c r="GFN57" s="0"/>
      <c r="GFO57" s="0"/>
      <c r="GFP57" s="0"/>
      <c r="GFQ57" s="0"/>
      <c r="GFR57" s="0"/>
      <c r="GFS57" s="0"/>
      <c r="GFT57" s="0"/>
      <c r="GFU57" s="0"/>
      <c r="GFV57" s="0"/>
      <c r="GFW57" s="0"/>
      <c r="GFX57" s="0"/>
      <c r="GFY57" s="0"/>
      <c r="GFZ57" s="0"/>
      <c r="GGA57" s="0"/>
      <c r="GGB57" s="0"/>
      <c r="GGC57" s="0"/>
      <c r="GGD57" s="0"/>
      <c r="GGE57" s="0"/>
      <c r="GGF57" s="0"/>
      <c r="GGG57" s="0"/>
      <c r="GGH57" s="0"/>
      <c r="GGI57" s="0"/>
      <c r="GGJ57" s="0"/>
      <c r="GGK57" s="0"/>
      <c r="GGL57" s="0"/>
      <c r="GGM57" s="0"/>
      <c r="GGN57" s="0"/>
      <c r="GGO57" s="0"/>
      <c r="GGP57" s="0"/>
      <c r="GGQ57" s="0"/>
      <c r="GGR57" s="0"/>
      <c r="GGS57" s="0"/>
      <c r="GGT57" s="0"/>
      <c r="GGU57" s="0"/>
      <c r="GGV57" s="0"/>
      <c r="GGW57" s="0"/>
      <c r="GGX57" s="0"/>
      <c r="GGY57" s="0"/>
      <c r="GGZ57" s="0"/>
      <c r="GHA57" s="0"/>
      <c r="GHB57" s="0"/>
      <c r="GHC57" s="0"/>
      <c r="GHD57" s="0"/>
      <c r="GHE57" s="0"/>
      <c r="GHF57" s="0"/>
      <c r="GHG57" s="0"/>
      <c r="GHH57" s="0"/>
      <c r="GHI57" s="0"/>
      <c r="GHJ57" s="0"/>
      <c r="GHK57" s="0"/>
      <c r="GHL57" s="0"/>
      <c r="GHM57" s="0"/>
      <c r="GHN57" s="0"/>
      <c r="GHO57" s="0"/>
      <c r="GHP57" s="0"/>
      <c r="GHQ57" s="0"/>
      <c r="GHR57" s="0"/>
      <c r="GHS57" s="0"/>
      <c r="GHT57" s="0"/>
      <c r="GHU57" s="0"/>
      <c r="GHV57" s="0"/>
      <c r="GHW57" s="0"/>
      <c r="GHX57" s="0"/>
      <c r="GHY57" s="0"/>
      <c r="GHZ57" s="0"/>
      <c r="GIA57" s="0"/>
      <c r="GIB57" s="0"/>
      <c r="GIC57" s="0"/>
      <c r="GID57" s="0"/>
      <c r="GIE57" s="0"/>
      <c r="GIF57" s="0"/>
      <c r="GIG57" s="0"/>
      <c r="GIH57" s="0"/>
      <c r="GII57" s="0"/>
      <c r="GIJ57" s="0"/>
      <c r="GIK57" s="0"/>
      <c r="GIL57" s="0"/>
      <c r="GIM57" s="0"/>
      <c r="GIN57" s="0"/>
      <c r="GIO57" s="0"/>
      <c r="GIP57" s="0"/>
      <c r="GIQ57" s="0"/>
      <c r="GIR57" s="0"/>
      <c r="GIS57" s="0"/>
      <c r="GIT57" s="0"/>
      <c r="GIU57" s="0"/>
      <c r="GIV57" s="0"/>
      <c r="GIW57" s="0"/>
      <c r="GIX57" s="0"/>
      <c r="GIY57" s="0"/>
      <c r="GIZ57" s="0"/>
      <c r="GJA57" s="0"/>
      <c r="GJB57" s="0"/>
      <c r="GJC57" s="0"/>
      <c r="GJD57" s="0"/>
      <c r="GJE57" s="0"/>
      <c r="GJF57" s="0"/>
      <c r="GJG57" s="0"/>
      <c r="GJH57" s="0"/>
      <c r="GJI57" s="0"/>
      <c r="GJJ57" s="0"/>
      <c r="GJK57" s="0"/>
      <c r="GJL57" s="0"/>
      <c r="GJM57" s="0"/>
      <c r="GJN57" s="0"/>
      <c r="GJO57" s="0"/>
      <c r="GJP57" s="0"/>
      <c r="GJQ57" s="0"/>
      <c r="GJR57" s="0"/>
      <c r="GJS57" s="0"/>
      <c r="GJT57" s="0"/>
      <c r="GJU57" s="0"/>
      <c r="GJV57" s="0"/>
      <c r="GJW57" s="0"/>
      <c r="GJX57" s="0"/>
      <c r="GJY57" s="0"/>
      <c r="GJZ57" s="0"/>
      <c r="GKA57" s="0"/>
      <c r="GKB57" s="0"/>
      <c r="GKC57" s="0"/>
      <c r="GKD57" s="0"/>
      <c r="GKE57" s="0"/>
      <c r="GKF57" s="0"/>
      <c r="GKG57" s="0"/>
      <c r="GKH57" s="0"/>
      <c r="GKI57" s="0"/>
      <c r="GKJ57" s="0"/>
      <c r="GKK57" s="0"/>
      <c r="GKL57" s="0"/>
      <c r="GKM57" s="0"/>
      <c r="GKN57" s="0"/>
      <c r="GKO57" s="0"/>
      <c r="GKP57" s="0"/>
      <c r="GKQ57" s="0"/>
      <c r="GKR57" s="0"/>
      <c r="GKS57" s="0"/>
      <c r="GKT57" s="0"/>
      <c r="GKU57" s="0"/>
      <c r="GKV57" s="0"/>
      <c r="GKW57" s="0"/>
      <c r="GKX57" s="0"/>
      <c r="GKY57" s="0"/>
      <c r="GKZ57" s="0"/>
      <c r="GLA57" s="0"/>
      <c r="GLB57" s="0"/>
      <c r="GLC57" s="0"/>
      <c r="GLD57" s="0"/>
      <c r="GLE57" s="0"/>
      <c r="GLF57" s="0"/>
      <c r="GLG57" s="0"/>
      <c r="GLH57" s="0"/>
      <c r="GLI57" s="0"/>
      <c r="GLJ57" s="0"/>
      <c r="GLK57" s="0"/>
      <c r="GLL57" s="0"/>
      <c r="GLM57" s="0"/>
      <c r="GLN57" s="0"/>
      <c r="GLO57" s="0"/>
      <c r="GLP57" s="0"/>
      <c r="GLQ57" s="0"/>
      <c r="GLR57" s="0"/>
      <c r="GLS57" s="0"/>
      <c r="GLT57" s="0"/>
      <c r="GLU57" s="0"/>
      <c r="GLV57" s="0"/>
      <c r="GLW57" s="0"/>
      <c r="GLX57" s="0"/>
      <c r="GLY57" s="0"/>
      <c r="GLZ57" s="0"/>
      <c r="GMA57" s="0"/>
      <c r="GMB57" s="0"/>
      <c r="GMC57" s="0"/>
      <c r="GMD57" s="0"/>
      <c r="GME57" s="0"/>
      <c r="GMF57" s="0"/>
      <c r="GMG57" s="0"/>
      <c r="GMH57" s="0"/>
      <c r="GMI57" s="0"/>
      <c r="GMJ57" s="0"/>
      <c r="GMK57" s="0"/>
      <c r="GML57" s="0"/>
      <c r="GMM57" s="0"/>
      <c r="GMN57" s="0"/>
      <c r="GMO57" s="0"/>
      <c r="GMP57" s="0"/>
      <c r="GMQ57" s="0"/>
      <c r="GMR57" s="0"/>
      <c r="GMS57" s="0"/>
      <c r="GMT57" s="0"/>
      <c r="GMU57" s="0"/>
      <c r="GMV57" s="0"/>
      <c r="GMW57" s="0"/>
      <c r="GMX57" s="0"/>
      <c r="GMY57" s="0"/>
      <c r="GMZ57" s="0"/>
      <c r="GNA57" s="0"/>
      <c r="GNB57" s="0"/>
      <c r="GNC57" s="0"/>
      <c r="GND57" s="0"/>
      <c r="GNE57" s="0"/>
      <c r="GNF57" s="0"/>
      <c r="GNG57" s="0"/>
      <c r="GNH57" s="0"/>
      <c r="GNI57" s="0"/>
      <c r="GNJ57" s="0"/>
      <c r="GNK57" s="0"/>
      <c r="GNL57" s="0"/>
      <c r="GNM57" s="0"/>
      <c r="GNN57" s="0"/>
      <c r="GNO57" s="0"/>
      <c r="GNP57" s="0"/>
      <c r="GNQ57" s="0"/>
      <c r="GNR57" s="0"/>
      <c r="GNS57" s="0"/>
      <c r="GNT57" s="0"/>
      <c r="GNU57" s="0"/>
      <c r="GNV57" s="0"/>
      <c r="GNW57" s="0"/>
      <c r="GNX57" s="0"/>
      <c r="GNY57" s="0"/>
      <c r="GNZ57" s="0"/>
      <c r="GOA57" s="0"/>
      <c r="GOB57" s="0"/>
      <c r="GOC57" s="0"/>
      <c r="GOD57" s="0"/>
      <c r="GOE57" s="0"/>
      <c r="GOF57" s="0"/>
      <c r="GOG57" s="0"/>
      <c r="GOH57" s="0"/>
      <c r="GOI57" s="0"/>
      <c r="GOJ57" s="0"/>
      <c r="GOK57" s="0"/>
      <c r="GOL57" s="0"/>
      <c r="GOM57" s="0"/>
      <c r="GON57" s="0"/>
      <c r="GOO57" s="0"/>
      <c r="GOP57" s="0"/>
      <c r="GOQ57" s="0"/>
      <c r="GOR57" s="0"/>
      <c r="GOS57" s="0"/>
      <c r="GOT57" s="0"/>
      <c r="GOU57" s="0"/>
      <c r="GOV57" s="0"/>
      <c r="GOW57" s="0"/>
      <c r="GOX57" s="0"/>
      <c r="GOY57" s="0"/>
      <c r="GOZ57" s="0"/>
      <c r="GPA57" s="0"/>
      <c r="GPB57" s="0"/>
      <c r="GPC57" s="0"/>
      <c r="GPD57" s="0"/>
      <c r="GPE57" s="0"/>
      <c r="GPF57" s="0"/>
      <c r="GPG57" s="0"/>
      <c r="GPH57" s="0"/>
      <c r="GPI57" s="0"/>
      <c r="GPJ57" s="0"/>
      <c r="GPK57" s="0"/>
      <c r="GPL57" s="0"/>
      <c r="GPM57" s="0"/>
      <c r="GPN57" s="0"/>
      <c r="GPO57" s="0"/>
      <c r="GPP57" s="0"/>
      <c r="GPQ57" s="0"/>
      <c r="GPR57" s="0"/>
      <c r="GPS57" s="0"/>
      <c r="GPT57" s="0"/>
      <c r="GPU57" s="0"/>
      <c r="GPV57" s="0"/>
      <c r="GPW57" s="0"/>
      <c r="GPX57" s="0"/>
      <c r="GPY57" s="0"/>
      <c r="GPZ57" s="0"/>
      <c r="GQA57" s="0"/>
      <c r="GQB57" s="0"/>
      <c r="GQC57" s="0"/>
      <c r="GQD57" s="0"/>
      <c r="GQE57" s="0"/>
      <c r="GQF57" s="0"/>
      <c r="GQG57" s="0"/>
      <c r="GQH57" s="0"/>
      <c r="GQI57" s="0"/>
      <c r="GQJ57" s="0"/>
      <c r="GQK57" s="0"/>
      <c r="GQL57" s="0"/>
      <c r="GQM57" s="0"/>
      <c r="GQN57" s="0"/>
      <c r="GQO57" s="0"/>
      <c r="GQP57" s="0"/>
      <c r="GQQ57" s="0"/>
      <c r="GQR57" s="0"/>
      <c r="GQS57" s="0"/>
      <c r="GQT57" s="0"/>
      <c r="GQU57" s="0"/>
      <c r="GQV57" s="0"/>
      <c r="GQW57" s="0"/>
      <c r="GQX57" s="0"/>
      <c r="GQY57" s="0"/>
      <c r="GQZ57" s="0"/>
      <c r="GRA57" s="0"/>
      <c r="GRB57" s="0"/>
      <c r="GRC57" s="0"/>
      <c r="GRD57" s="0"/>
      <c r="GRE57" s="0"/>
      <c r="GRF57" s="0"/>
      <c r="GRG57" s="0"/>
      <c r="GRH57" s="0"/>
      <c r="GRI57" s="0"/>
      <c r="GRJ57" s="0"/>
      <c r="GRK57" s="0"/>
      <c r="GRL57" s="0"/>
      <c r="GRM57" s="0"/>
      <c r="GRN57" s="0"/>
      <c r="GRO57" s="0"/>
      <c r="GRP57" s="0"/>
      <c r="GRQ57" s="0"/>
      <c r="GRR57" s="0"/>
      <c r="GRS57" s="0"/>
      <c r="GRT57" s="0"/>
      <c r="GRU57" s="0"/>
      <c r="GRV57" s="0"/>
      <c r="GRW57" s="0"/>
      <c r="GRX57" s="0"/>
      <c r="GRY57" s="0"/>
      <c r="GRZ57" s="0"/>
      <c r="GSA57" s="0"/>
      <c r="GSB57" s="0"/>
      <c r="GSC57" s="0"/>
      <c r="GSD57" s="0"/>
      <c r="GSE57" s="0"/>
      <c r="GSF57" s="0"/>
      <c r="GSG57" s="0"/>
      <c r="GSH57" s="0"/>
      <c r="GSI57" s="0"/>
      <c r="GSJ57" s="0"/>
      <c r="GSK57" s="0"/>
      <c r="GSL57" s="0"/>
      <c r="GSM57" s="0"/>
      <c r="GSN57" s="0"/>
      <c r="GSO57" s="0"/>
      <c r="GSP57" s="0"/>
      <c r="GSQ57" s="0"/>
      <c r="GSR57" s="0"/>
      <c r="GSS57" s="0"/>
      <c r="GST57" s="0"/>
      <c r="GSU57" s="0"/>
      <c r="GSV57" s="0"/>
      <c r="GSW57" s="0"/>
      <c r="GSX57" s="0"/>
      <c r="GSY57" s="0"/>
      <c r="GSZ57" s="0"/>
      <c r="GTA57" s="0"/>
      <c r="GTB57" s="0"/>
      <c r="GTC57" s="0"/>
      <c r="GTD57" s="0"/>
      <c r="GTE57" s="0"/>
      <c r="GTF57" s="0"/>
      <c r="GTG57" s="0"/>
      <c r="GTH57" s="0"/>
      <c r="GTI57" s="0"/>
      <c r="GTJ57" s="0"/>
      <c r="GTK57" s="0"/>
      <c r="GTL57" s="0"/>
      <c r="GTM57" s="0"/>
      <c r="GTN57" s="0"/>
      <c r="GTO57" s="0"/>
      <c r="GTP57" s="0"/>
      <c r="GTQ57" s="0"/>
      <c r="GTR57" s="0"/>
      <c r="GTS57" s="0"/>
      <c r="GTT57" s="0"/>
      <c r="GTU57" s="0"/>
      <c r="GTV57" s="0"/>
      <c r="GTW57" s="0"/>
      <c r="GTX57" s="0"/>
      <c r="GTY57" s="0"/>
      <c r="GTZ57" s="0"/>
      <c r="GUA57" s="0"/>
      <c r="GUB57" s="0"/>
      <c r="GUC57" s="0"/>
      <c r="GUD57" s="0"/>
      <c r="GUE57" s="0"/>
      <c r="GUF57" s="0"/>
      <c r="GUG57" s="0"/>
      <c r="GUH57" s="0"/>
      <c r="GUI57" s="0"/>
      <c r="GUJ57" s="0"/>
      <c r="GUK57" s="0"/>
      <c r="GUL57" s="0"/>
      <c r="GUM57" s="0"/>
      <c r="GUN57" s="0"/>
      <c r="GUO57" s="0"/>
      <c r="GUP57" s="0"/>
      <c r="GUQ57" s="0"/>
      <c r="GUR57" s="0"/>
      <c r="GUS57" s="0"/>
      <c r="GUT57" s="0"/>
      <c r="GUU57" s="0"/>
      <c r="GUV57" s="0"/>
      <c r="GUW57" s="0"/>
      <c r="GUX57" s="0"/>
      <c r="GUY57" s="0"/>
      <c r="GUZ57" s="0"/>
      <c r="GVA57" s="0"/>
      <c r="GVB57" s="0"/>
      <c r="GVC57" s="0"/>
      <c r="GVD57" s="0"/>
      <c r="GVE57" s="0"/>
      <c r="GVF57" s="0"/>
      <c r="GVG57" s="0"/>
      <c r="GVH57" s="0"/>
      <c r="GVI57" s="0"/>
      <c r="GVJ57" s="0"/>
      <c r="GVK57" s="0"/>
      <c r="GVL57" s="0"/>
      <c r="GVM57" s="0"/>
      <c r="GVN57" s="0"/>
      <c r="GVO57" s="0"/>
      <c r="GVP57" s="0"/>
      <c r="GVQ57" s="0"/>
      <c r="GVR57" s="0"/>
      <c r="GVS57" s="0"/>
      <c r="GVT57" s="0"/>
      <c r="GVU57" s="0"/>
      <c r="GVV57" s="0"/>
      <c r="GVW57" s="0"/>
      <c r="GVX57" s="0"/>
      <c r="GVY57" s="0"/>
      <c r="GVZ57" s="0"/>
      <c r="GWA57" s="0"/>
      <c r="GWB57" s="0"/>
      <c r="GWC57" s="0"/>
      <c r="GWD57" s="0"/>
      <c r="GWE57" s="0"/>
      <c r="GWF57" s="0"/>
      <c r="GWG57" s="0"/>
      <c r="GWH57" s="0"/>
      <c r="GWI57" s="0"/>
      <c r="GWJ57" s="0"/>
      <c r="GWK57" s="0"/>
      <c r="GWL57" s="0"/>
      <c r="GWM57" s="0"/>
      <c r="GWN57" s="0"/>
      <c r="GWO57" s="0"/>
      <c r="GWP57" s="0"/>
      <c r="GWQ57" s="0"/>
      <c r="GWR57" s="0"/>
      <c r="GWS57" s="0"/>
      <c r="GWT57" s="0"/>
      <c r="GWU57" s="0"/>
      <c r="GWV57" s="0"/>
      <c r="GWW57" s="0"/>
      <c r="GWX57" s="0"/>
      <c r="GWY57" s="0"/>
      <c r="GWZ57" s="0"/>
      <c r="GXA57" s="0"/>
      <c r="GXB57" s="0"/>
      <c r="GXC57" s="0"/>
      <c r="GXD57" s="0"/>
      <c r="GXE57" s="0"/>
      <c r="GXF57" s="0"/>
      <c r="GXG57" s="0"/>
      <c r="GXH57" s="0"/>
      <c r="GXI57" s="0"/>
      <c r="GXJ57" s="0"/>
      <c r="GXK57" s="0"/>
      <c r="GXL57" s="0"/>
      <c r="GXM57" s="0"/>
      <c r="GXN57" s="0"/>
      <c r="GXO57" s="0"/>
      <c r="GXP57" s="0"/>
      <c r="GXQ57" s="0"/>
      <c r="GXR57" s="0"/>
      <c r="GXS57" s="0"/>
      <c r="GXT57" s="0"/>
      <c r="GXU57" s="0"/>
      <c r="GXV57" s="0"/>
      <c r="GXW57" s="0"/>
      <c r="GXX57" s="0"/>
      <c r="GXY57" s="0"/>
      <c r="GXZ57" s="0"/>
      <c r="GYA57" s="0"/>
      <c r="GYB57" s="0"/>
      <c r="GYC57" s="0"/>
      <c r="GYD57" s="0"/>
      <c r="GYE57" s="0"/>
      <c r="GYF57" s="0"/>
      <c r="GYG57" s="0"/>
      <c r="GYH57" s="0"/>
      <c r="GYI57" s="0"/>
      <c r="GYJ57" s="0"/>
      <c r="GYK57" s="0"/>
      <c r="GYL57" s="0"/>
      <c r="GYM57" s="0"/>
      <c r="GYN57" s="0"/>
      <c r="GYO57" s="0"/>
      <c r="GYP57" s="0"/>
      <c r="GYQ57" s="0"/>
      <c r="GYR57" s="0"/>
      <c r="GYS57" s="0"/>
      <c r="GYT57" s="0"/>
      <c r="GYU57" s="0"/>
      <c r="GYV57" s="0"/>
      <c r="GYW57" s="0"/>
      <c r="GYX57" s="0"/>
      <c r="GYY57" s="0"/>
      <c r="GYZ57" s="0"/>
      <c r="GZA57" s="0"/>
      <c r="GZB57" s="0"/>
      <c r="GZC57" s="0"/>
      <c r="GZD57" s="0"/>
      <c r="GZE57" s="0"/>
      <c r="GZF57" s="0"/>
      <c r="GZG57" s="0"/>
      <c r="GZH57" s="0"/>
      <c r="GZI57" s="0"/>
      <c r="GZJ57" s="0"/>
      <c r="GZK57" s="0"/>
      <c r="GZL57" s="0"/>
      <c r="GZM57" s="0"/>
      <c r="GZN57" s="0"/>
      <c r="GZO57" s="0"/>
      <c r="GZP57" s="0"/>
      <c r="GZQ57" s="0"/>
      <c r="GZR57" s="0"/>
      <c r="GZS57" s="0"/>
      <c r="GZT57" s="0"/>
      <c r="GZU57" s="0"/>
      <c r="GZV57" s="0"/>
      <c r="GZW57" s="0"/>
      <c r="GZX57" s="0"/>
      <c r="GZY57" s="0"/>
      <c r="GZZ57" s="0"/>
      <c r="HAA57" s="0"/>
      <c r="HAB57" s="0"/>
      <c r="HAC57" s="0"/>
      <c r="HAD57" s="0"/>
      <c r="HAE57" s="0"/>
      <c r="HAF57" s="0"/>
      <c r="HAG57" s="0"/>
      <c r="HAH57" s="0"/>
      <c r="HAI57" s="0"/>
      <c r="HAJ57" s="0"/>
      <c r="HAK57" s="0"/>
      <c r="HAL57" s="0"/>
      <c r="HAM57" s="0"/>
      <c r="HAN57" s="0"/>
      <c r="HAO57" s="0"/>
      <c r="HAP57" s="0"/>
      <c r="HAQ57" s="0"/>
      <c r="HAR57" s="0"/>
      <c r="HAS57" s="0"/>
      <c r="HAT57" s="0"/>
      <c r="HAU57" s="0"/>
      <c r="HAV57" s="0"/>
      <c r="HAW57" s="0"/>
      <c r="HAX57" s="0"/>
      <c r="HAY57" s="0"/>
      <c r="HAZ57" s="0"/>
      <c r="HBA57" s="0"/>
      <c r="HBB57" s="0"/>
      <c r="HBC57" s="0"/>
      <c r="HBD57" s="0"/>
      <c r="HBE57" s="0"/>
      <c r="HBF57" s="0"/>
      <c r="HBG57" s="0"/>
      <c r="HBH57" s="0"/>
      <c r="HBI57" s="0"/>
      <c r="HBJ57" s="0"/>
      <c r="HBK57" s="0"/>
      <c r="HBL57" s="0"/>
      <c r="HBM57" s="0"/>
      <c r="HBN57" s="0"/>
      <c r="HBO57" s="0"/>
      <c r="HBP57" s="0"/>
      <c r="HBQ57" s="0"/>
      <c r="HBR57" s="0"/>
      <c r="HBS57" s="0"/>
      <c r="HBT57" s="0"/>
      <c r="HBU57" s="0"/>
      <c r="HBV57" s="0"/>
      <c r="HBW57" s="0"/>
      <c r="HBX57" s="0"/>
      <c r="HBY57" s="0"/>
      <c r="HBZ57" s="0"/>
      <c r="HCA57" s="0"/>
      <c r="HCB57" s="0"/>
      <c r="HCC57" s="0"/>
      <c r="HCD57" s="0"/>
      <c r="HCE57" s="0"/>
      <c r="HCF57" s="0"/>
      <c r="HCG57" s="0"/>
      <c r="HCH57" s="0"/>
      <c r="HCI57" s="0"/>
      <c r="HCJ57" s="0"/>
      <c r="HCK57" s="0"/>
      <c r="HCL57" s="0"/>
      <c r="HCM57" s="0"/>
      <c r="HCN57" s="0"/>
      <c r="HCO57" s="0"/>
      <c r="HCP57" s="0"/>
      <c r="HCQ57" s="0"/>
      <c r="HCR57" s="0"/>
      <c r="HCS57" s="0"/>
      <c r="HCT57" s="0"/>
      <c r="HCU57" s="0"/>
      <c r="HCV57" s="0"/>
      <c r="HCW57" s="0"/>
      <c r="HCX57" s="0"/>
      <c r="HCY57" s="0"/>
      <c r="HCZ57" s="0"/>
      <c r="HDA57" s="0"/>
      <c r="HDB57" s="0"/>
      <c r="HDC57" s="0"/>
      <c r="HDD57" s="0"/>
      <c r="HDE57" s="0"/>
      <c r="HDF57" s="0"/>
      <c r="HDG57" s="0"/>
      <c r="HDH57" s="0"/>
      <c r="HDI57" s="0"/>
      <c r="HDJ57" s="0"/>
      <c r="HDK57" s="0"/>
      <c r="HDL57" s="0"/>
      <c r="HDM57" s="0"/>
      <c r="HDN57" s="0"/>
      <c r="HDO57" s="0"/>
      <c r="HDP57" s="0"/>
      <c r="HDQ57" s="0"/>
      <c r="HDR57" s="0"/>
      <c r="HDS57" s="0"/>
      <c r="HDT57" s="0"/>
      <c r="HDU57" s="0"/>
      <c r="HDV57" s="0"/>
      <c r="HDW57" s="0"/>
      <c r="HDX57" s="0"/>
      <c r="HDY57" s="0"/>
      <c r="HDZ57" s="0"/>
      <c r="HEA57" s="0"/>
      <c r="HEB57" s="0"/>
      <c r="HEC57" s="0"/>
      <c r="HED57" s="0"/>
      <c r="HEE57" s="0"/>
      <c r="HEF57" s="0"/>
      <c r="HEG57" s="0"/>
      <c r="HEH57" s="0"/>
      <c r="HEI57" s="0"/>
      <c r="HEJ57" s="0"/>
      <c r="HEK57" s="0"/>
      <c r="HEL57" s="0"/>
      <c r="HEM57" s="0"/>
      <c r="HEN57" s="0"/>
      <c r="HEO57" s="0"/>
      <c r="HEP57" s="0"/>
      <c r="HEQ57" s="0"/>
      <c r="HER57" s="0"/>
      <c r="HES57" s="0"/>
      <c r="HET57" s="0"/>
      <c r="HEU57" s="0"/>
      <c r="HEV57" s="0"/>
      <c r="HEW57" s="0"/>
      <c r="HEX57" s="0"/>
      <c r="HEY57" s="0"/>
      <c r="HEZ57" s="0"/>
      <c r="HFA57" s="0"/>
      <c r="HFB57" s="0"/>
      <c r="HFC57" s="0"/>
      <c r="HFD57" s="0"/>
      <c r="HFE57" s="0"/>
      <c r="HFF57" s="0"/>
      <c r="HFG57" s="0"/>
      <c r="HFH57" s="0"/>
      <c r="HFI57" s="0"/>
      <c r="HFJ57" s="0"/>
      <c r="HFK57" s="0"/>
      <c r="HFL57" s="0"/>
      <c r="HFM57" s="0"/>
      <c r="HFN57" s="0"/>
      <c r="HFO57" s="0"/>
      <c r="HFP57" s="0"/>
      <c r="HFQ57" s="0"/>
      <c r="HFR57" s="0"/>
      <c r="HFS57" s="0"/>
      <c r="HFT57" s="0"/>
      <c r="HFU57" s="0"/>
      <c r="HFV57" s="0"/>
      <c r="HFW57" s="0"/>
      <c r="HFX57" s="0"/>
      <c r="HFY57" s="0"/>
      <c r="HFZ57" s="0"/>
      <c r="HGA57" s="0"/>
      <c r="HGB57" s="0"/>
      <c r="HGC57" s="0"/>
      <c r="HGD57" s="0"/>
      <c r="HGE57" s="0"/>
      <c r="HGF57" s="0"/>
      <c r="HGG57" s="0"/>
      <c r="HGH57" s="0"/>
      <c r="HGI57" s="0"/>
      <c r="HGJ57" s="0"/>
      <c r="HGK57" s="0"/>
      <c r="HGL57" s="0"/>
      <c r="HGM57" s="0"/>
      <c r="HGN57" s="0"/>
      <c r="HGO57" s="0"/>
      <c r="HGP57" s="0"/>
      <c r="HGQ57" s="0"/>
      <c r="HGR57" s="0"/>
      <c r="HGS57" s="0"/>
      <c r="HGT57" s="0"/>
      <c r="HGU57" s="0"/>
      <c r="HGV57" s="0"/>
      <c r="HGW57" s="0"/>
      <c r="HGX57" s="0"/>
      <c r="HGY57" s="0"/>
      <c r="HGZ57" s="0"/>
      <c r="HHA57" s="0"/>
      <c r="HHB57" s="0"/>
      <c r="HHC57" s="0"/>
      <c r="HHD57" s="0"/>
      <c r="HHE57" s="0"/>
      <c r="HHF57" s="0"/>
      <c r="HHG57" s="0"/>
      <c r="HHH57" s="0"/>
      <c r="HHI57" s="0"/>
      <c r="HHJ57" s="0"/>
      <c r="HHK57" s="0"/>
      <c r="HHL57" s="0"/>
      <c r="HHM57" s="0"/>
      <c r="HHN57" s="0"/>
      <c r="HHO57" s="0"/>
      <c r="HHP57" s="0"/>
      <c r="HHQ57" s="0"/>
      <c r="HHR57" s="0"/>
      <c r="HHS57" s="0"/>
      <c r="HHT57" s="0"/>
      <c r="HHU57" s="0"/>
      <c r="HHV57" s="0"/>
      <c r="HHW57" s="0"/>
      <c r="HHX57" s="0"/>
      <c r="HHY57" s="0"/>
      <c r="HHZ57" s="0"/>
      <c r="HIA57" s="0"/>
      <c r="HIB57" s="0"/>
      <c r="HIC57" s="0"/>
      <c r="HID57" s="0"/>
      <c r="HIE57" s="0"/>
      <c r="HIF57" s="0"/>
      <c r="HIG57" s="0"/>
      <c r="HIH57" s="0"/>
      <c r="HII57" s="0"/>
      <c r="HIJ57" s="0"/>
      <c r="HIK57" s="0"/>
      <c r="HIL57" s="0"/>
      <c r="HIM57" s="0"/>
      <c r="HIN57" s="0"/>
      <c r="HIO57" s="0"/>
      <c r="HIP57" s="0"/>
      <c r="HIQ57" s="0"/>
      <c r="HIR57" s="0"/>
      <c r="HIS57" s="0"/>
      <c r="HIT57" s="0"/>
      <c r="HIU57" s="0"/>
      <c r="HIV57" s="0"/>
      <c r="HIW57" s="0"/>
      <c r="HIX57" s="0"/>
      <c r="HIY57" s="0"/>
      <c r="HIZ57" s="0"/>
      <c r="HJA57" s="0"/>
      <c r="HJB57" s="0"/>
      <c r="HJC57" s="0"/>
      <c r="HJD57" s="0"/>
      <c r="HJE57" s="0"/>
      <c r="HJF57" s="0"/>
      <c r="HJG57" s="0"/>
      <c r="HJH57" s="0"/>
      <c r="HJI57" s="0"/>
      <c r="HJJ57" s="0"/>
      <c r="HJK57" s="0"/>
      <c r="HJL57" s="0"/>
      <c r="HJM57" s="0"/>
      <c r="HJN57" s="0"/>
      <c r="HJO57" s="0"/>
      <c r="HJP57" s="0"/>
      <c r="HJQ57" s="0"/>
      <c r="HJR57" s="0"/>
      <c r="HJS57" s="0"/>
      <c r="HJT57" s="0"/>
      <c r="HJU57" s="0"/>
      <c r="HJV57" s="0"/>
      <c r="HJW57" s="0"/>
      <c r="HJX57" s="0"/>
      <c r="HJY57" s="0"/>
      <c r="HJZ57" s="0"/>
      <c r="HKA57" s="0"/>
      <c r="HKB57" s="0"/>
      <c r="HKC57" s="0"/>
      <c r="HKD57" s="0"/>
      <c r="HKE57" s="0"/>
      <c r="HKF57" s="0"/>
      <c r="HKG57" s="0"/>
      <c r="HKH57" s="0"/>
      <c r="HKI57" s="0"/>
      <c r="HKJ57" s="0"/>
      <c r="HKK57" s="0"/>
      <c r="HKL57" s="0"/>
      <c r="HKM57" s="0"/>
      <c r="HKN57" s="0"/>
      <c r="HKO57" s="0"/>
      <c r="HKP57" s="0"/>
      <c r="HKQ57" s="0"/>
      <c r="HKR57" s="0"/>
      <c r="HKS57" s="0"/>
      <c r="HKT57" s="0"/>
      <c r="HKU57" s="0"/>
      <c r="HKV57" s="0"/>
      <c r="HKW57" s="0"/>
      <c r="HKX57" s="0"/>
      <c r="HKY57" s="0"/>
      <c r="HKZ57" s="0"/>
      <c r="HLA57" s="0"/>
      <c r="HLB57" s="0"/>
      <c r="HLC57" s="0"/>
      <c r="HLD57" s="0"/>
      <c r="HLE57" s="0"/>
      <c r="HLF57" s="0"/>
      <c r="HLG57" s="0"/>
      <c r="HLH57" s="0"/>
      <c r="HLI57" s="0"/>
      <c r="HLJ57" s="0"/>
      <c r="HLK57" s="0"/>
      <c r="HLL57" s="0"/>
      <c r="HLM57" s="0"/>
      <c r="HLN57" s="0"/>
      <c r="HLO57" s="0"/>
      <c r="HLP57" s="0"/>
      <c r="HLQ57" s="0"/>
      <c r="HLR57" s="0"/>
      <c r="HLS57" s="0"/>
      <c r="HLT57" s="0"/>
      <c r="HLU57" s="0"/>
      <c r="HLV57" s="0"/>
      <c r="HLW57" s="0"/>
      <c r="HLX57" s="0"/>
      <c r="HLY57" s="0"/>
      <c r="HLZ57" s="0"/>
      <c r="HMA57" s="0"/>
      <c r="HMB57" s="0"/>
      <c r="HMC57" s="0"/>
      <c r="HMD57" s="0"/>
      <c r="HME57" s="0"/>
      <c r="HMF57" s="0"/>
      <c r="HMG57" s="0"/>
      <c r="HMH57" s="0"/>
      <c r="HMI57" s="0"/>
      <c r="HMJ57" s="0"/>
      <c r="HMK57" s="0"/>
      <c r="HML57" s="0"/>
      <c r="HMM57" s="0"/>
      <c r="HMN57" s="0"/>
      <c r="HMO57" s="0"/>
      <c r="HMP57" s="0"/>
      <c r="HMQ57" s="0"/>
      <c r="HMR57" s="0"/>
      <c r="HMS57" s="0"/>
      <c r="HMT57" s="0"/>
      <c r="HMU57" s="0"/>
      <c r="HMV57" s="0"/>
      <c r="HMW57" s="0"/>
      <c r="HMX57" s="0"/>
      <c r="HMY57" s="0"/>
      <c r="HMZ57" s="0"/>
      <c r="HNA57" s="0"/>
      <c r="HNB57" s="0"/>
      <c r="HNC57" s="0"/>
      <c r="HND57" s="0"/>
      <c r="HNE57" s="0"/>
      <c r="HNF57" s="0"/>
      <c r="HNG57" s="0"/>
      <c r="HNH57" s="0"/>
      <c r="HNI57" s="0"/>
      <c r="HNJ57" s="0"/>
      <c r="HNK57" s="0"/>
      <c r="HNL57" s="0"/>
      <c r="HNM57" s="0"/>
      <c r="HNN57" s="0"/>
      <c r="HNO57" s="0"/>
      <c r="HNP57" s="0"/>
      <c r="HNQ57" s="0"/>
      <c r="HNR57" s="0"/>
      <c r="HNS57" s="0"/>
      <c r="HNT57" s="0"/>
      <c r="HNU57" s="0"/>
      <c r="HNV57" s="0"/>
      <c r="HNW57" s="0"/>
      <c r="HNX57" s="0"/>
      <c r="HNY57" s="0"/>
      <c r="HNZ57" s="0"/>
      <c r="HOA57" s="0"/>
      <c r="HOB57" s="0"/>
      <c r="HOC57" s="0"/>
      <c r="HOD57" s="0"/>
      <c r="HOE57" s="0"/>
      <c r="HOF57" s="0"/>
      <c r="HOG57" s="0"/>
      <c r="HOH57" s="0"/>
      <c r="HOI57" s="0"/>
      <c r="HOJ57" s="0"/>
      <c r="HOK57" s="0"/>
      <c r="HOL57" s="0"/>
      <c r="HOM57" s="0"/>
      <c r="HON57" s="0"/>
      <c r="HOO57" s="0"/>
      <c r="HOP57" s="0"/>
      <c r="HOQ57" s="0"/>
      <c r="HOR57" s="0"/>
      <c r="HOS57" s="0"/>
      <c r="HOT57" s="0"/>
      <c r="HOU57" s="0"/>
      <c r="HOV57" s="0"/>
      <c r="HOW57" s="0"/>
      <c r="HOX57" s="0"/>
      <c r="HOY57" s="0"/>
      <c r="HOZ57" s="0"/>
      <c r="HPA57" s="0"/>
      <c r="HPB57" s="0"/>
      <c r="HPC57" s="0"/>
      <c r="HPD57" s="0"/>
      <c r="HPE57" s="0"/>
      <c r="HPF57" s="0"/>
      <c r="HPG57" s="0"/>
      <c r="HPH57" s="0"/>
      <c r="HPI57" s="0"/>
      <c r="HPJ57" s="0"/>
      <c r="HPK57" s="0"/>
      <c r="HPL57" s="0"/>
      <c r="HPM57" s="0"/>
      <c r="HPN57" s="0"/>
      <c r="HPO57" s="0"/>
      <c r="HPP57" s="0"/>
      <c r="HPQ57" s="0"/>
      <c r="HPR57" s="0"/>
      <c r="HPS57" s="0"/>
      <c r="HPT57" s="0"/>
      <c r="HPU57" s="0"/>
      <c r="HPV57" s="0"/>
      <c r="HPW57" s="0"/>
      <c r="HPX57" s="0"/>
      <c r="HPY57" s="0"/>
      <c r="HPZ57" s="0"/>
      <c r="HQA57" s="0"/>
      <c r="HQB57" s="0"/>
      <c r="HQC57" s="0"/>
      <c r="HQD57" s="0"/>
      <c r="HQE57" s="0"/>
      <c r="HQF57" s="0"/>
      <c r="HQG57" s="0"/>
      <c r="HQH57" s="0"/>
      <c r="HQI57" s="0"/>
      <c r="HQJ57" s="0"/>
      <c r="HQK57" s="0"/>
      <c r="HQL57" s="0"/>
      <c r="HQM57" s="0"/>
      <c r="HQN57" s="0"/>
      <c r="HQO57" s="0"/>
      <c r="HQP57" s="0"/>
      <c r="HQQ57" s="0"/>
      <c r="HQR57" s="0"/>
      <c r="HQS57" s="0"/>
      <c r="HQT57" s="0"/>
      <c r="HQU57" s="0"/>
      <c r="HQV57" s="0"/>
      <c r="HQW57" s="0"/>
      <c r="HQX57" s="0"/>
      <c r="HQY57" s="0"/>
      <c r="HQZ57" s="0"/>
      <c r="HRA57" s="0"/>
      <c r="HRB57" s="0"/>
      <c r="HRC57" s="0"/>
      <c r="HRD57" s="0"/>
      <c r="HRE57" s="0"/>
      <c r="HRF57" s="0"/>
      <c r="HRG57" s="0"/>
      <c r="HRH57" s="0"/>
      <c r="HRI57" s="0"/>
      <c r="HRJ57" s="0"/>
      <c r="HRK57" s="0"/>
      <c r="HRL57" s="0"/>
      <c r="HRM57" s="0"/>
      <c r="HRN57" s="0"/>
      <c r="HRO57" s="0"/>
      <c r="HRP57" s="0"/>
      <c r="HRQ57" s="0"/>
      <c r="HRR57" s="0"/>
      <c r="HRS57" s="0"/>
      <c r="HRT57" s="0"/>
      <c r="HRU57" s="0"/>
      <c r="HRV57" s="0"/>
      <c r="HRW57" s="0"/>
      <c r="HRX57" s="0"/>
      <c r="HRY57" s="0"/>
      <c r="HRZ57" s="0"/>
      <c r="HSA57" s="0"/>
      <c r="HSB57" s="0"/>
      <c r="HSC57" s="0"/>
      <c r="HSD57" s="0"/>
      <c r="HSE57" s="0"/>
      <c r="HSF57" s="0"/>
      <c r="HSG57" s="0"/>
      <c r="HSH57" s="0"/>
      <c r="HSI57" s="0"/>
      <c r="HSJ57" s="0"/>
      <c r="HSK57" s="0"/>
      <c r="HSL57" s="0"/>
      <c r="HSM57" s="0"/>
      <c r="HSN57" s="0"/>
      <c r="HSO57" s="0"/>
      <c r="HSP57" s="0"/>
      <c r="HSQ57" s="0"/>
      <c r="HSR57" s="0"/>
      <c r="HSS57" s="0"/>
      <c r="HST57" s="0"/>
      <c r="HSU57" s="0"/>
      <c r="HSV57" s="0"/>
      <c r="HSW57" s="0"/>
      <c r="HSX57" s="0"/>
      <c r="HSY57" s="0"/>
      <c r="HSZ57" s="0"/>
      <c r="HTA57" s="0"/>
      <c r="HTB57" s="0"/>
      <c r="HTC57" s="0"/>
      <c r="HTD57" s="0"/>
      <c r="HTE57" s="0"/>
      <c r="HTF57" s="0"/>
      <c r="HTG57" s="0"/>
      <c r="HTH57" s="0"/>
      <c r="HTI57" s="0"/>
      <c r="HTJ57" s="0"/>
      <c r="HTK57" s="0"/>
      <c r="HTL57" s="0"/>
      <c r="HTM57" s="0"/>
      <c r="HTN57" s="0"/>
      <c r="HTO57" s="0"/>
      <c r="HTP57" s="0"/>
      <c r="HTQ57" s="0"/>
      <c r="HTR57" s="0"/>
      <c r="HTS57" s="0"/>
      <c r="HTT57" s="0"/>
      <c r="HTU57" s="0"/>
      <c r="HTV57" s="0"/>
      <c r="HTW57" s="0"/>
      <c r="HTX57" s="0"/>
      <c r="HTY57" s="0"/>
      <c r="HTZ57" s="0"/>
      <c r="HUA57" s="0"/>
      <c r="HUB57" s="0"/>
      <c r="HUC57" s="0"/>
      <c r="HUD57" s="0"/>
      <c r="HUE57" s="0"/>
      <c r="HUF57" s="0"/>
      <c r="HUG57" s="0"/>
      <c r="HUH57" s="0"/>
      <c r="HUI57" s="0"/>
      <c r="HUJ57" s="0"/>
      <c r="HUK57" s="0"/>
      <c r="HUL57" s="0"/>
      <c r="HUM57" s="0"/>
      <c r="HUN57" s="0"/>
      <c r="HUO57" s="0"/>
      <c r="HUP57" s="0"/>
      <c r="HUQ57" s="0"/>
      <c r="HUR57" s="0"/>
      <c r="HUS57" s="0"/>
      <c r="HUT57" s="0"/>
      <c r="HUU57" s="0"/>
      <c r="HUV57" s="0"/>
      <c r="HUW57" s="0"/>
      <c r="HUX57" s="0"/>
      <c r="HUY57" s="0"/>
      <c r="HUZ57" s="0"/>
      <c r="HVA57" s="0"/>
      <c r="HVB57" s="0"/>
      <c r="HVC57" s="0"/>
      <c r="HVD57" s="0"/>
      <c r="HVE57" s="0"/>
      <c r="HVF57" s="0"/>
      <c r="HVG57" s="0"/>
      <c r="HVH57" s="0"/>
      <c r="HVI57" s="0"/>
      <c r="HVJ57" s="0"/>
      <c r="HVK57" s="0"/>
      <c r="HVL57" s="0"/>
      <c r="HVM57" s="0"/>
      <c r="HVN57" s="0"/>
      <c r="HVO57" s="0"/>
      <c r="HVP57" s="0"/>
      <c r="HVQ57" s="0"/>
      <c r="HVR57" s="0"/>
      <c r="HVS57" s="0"/>
      <c r="HVT57" s="0"/>
      <c r="HVU57" s="0"/>
      <c r="HVV57" s="0"/>
      <c r="HVW57" s="0"/>
      <c r="HVX57" s="0"/>
      <c r="HVY57" s="0"/>
      <c r="HVZ57" s="0"/>
      <c r="HWA57" s="0"/>
      <c r="HWB57" s="0"/>
      <c r="HWC57" s="0"/>
      <c r="HWD57" s="0"/>
      <c r="HWE57" s="0"/>
      <c r="HWF57" s="0"/>
      <c r="HWG57" s="0"/>
      <c r="HWH57" s="0"/>
      <c r="HWI57" s="0"/>
      <c r="HWJ57" s="0"/>
      <c r="HWK57" s="0"/>
      <c r="HWL57" s="0"/>
      <c r="HWM57" s="0"/>
      <c r="HWN57" s="0"/>
      <c r="HWO57" s="0"/>
      <c r="HWP57" s="0"/>
      <c r="HWQ57" s="0"/>
      <c r="HWR57" s="0"/>
      <c r="HWS57" s="0"/>
      <c r="HWT57" s="0"/>
      <c r="HWU57" s="0"/>
      <c r="HWV57" s="0"/>
      <c r="HWW57" s="0"/>
      <c r="HWX57" s="0"/>
      <c r="HWY57" s="0"/>
      <c r="HWZ57" s="0"/>
      <c r="HXA57" s="0"/>
      <c r="HXB57" s="0"/>
      <c r="HXC57" s="0"/>
      <c r="HXD57" s="0"/>
      <c r="HXE57" s="0"/>
      <c r="HXF57" s="0"/>
      <c r="HXG57" s="0"/>
      <c r="HXH57" s="0"/>
      <c r="HXI57" s="0"/>
      <c r="HXJ57" s="0"/>
      <c r="HXK57" s="0"/>
      <c r="HXL57" s="0"/>
      <c r="HXM57" s="0"/>
      <c r="HXN57" s="0"/>
      <c r="HXO57" s="0"/>
      <c r="HXP57" s="0"/>
      <c r="HXQ57" s="0"/>
      <c r="HXR57" s="0"/>
      <c r="HXS57" s="0"/>
      <c r="HXT57" s="0"/>
      <c r="HXU57" s="0"/>
      <c r="HXV57" s="0"/>
      <c r="HXW57" s="0"/>
      <c r="HXX57" s="0"/>
      <c r="HXY57" s="0"/>
      <c r="HXZ57" s="0"/>
      <c r="HYA57" s="0"/>
      <c r="HYB57" s="0"/>
      <c r="HYC57" s="0"/>
      <c r="HYD57" s="0"/>
      <c r="HYE57" s="0"/>
      <c r="HYF57" s="0"/>
      <c r="HYG57" s="0"/>
      <c r="HYH57" s="0"/>
      <c r="HYI57" s="0"/>
      <c r="HYJ57" s="0"/>
      <c r="HYK57" s="0"/>
      <c r="HYL57" s="0"/>
      <c r="HYM57" s="0"/>
      <c r="HYN57" s="0"/>
      <c r="HYO57" s="0"/>
      <c r="HYP57" s="0"/>
      <c r="HYQ57" s="0"/>
      <c r="HYR57" s="0"/>
      <c r="HYS57" s="0"/>
      <c r="HYT57" s="0"/>
      <c r="HYU57" s="0"/>
      <c r="HYV57" s="0"/>
      <c r="HYW57" s="0"/>
      <c r="HYX57" s="0"/>
      <c r="HYY57" s="0"/>
      <c r="HYZ57" s="0"/>
      <c r="HZA57" s="0"/>
      <c r="HZB57" s="0"/>
      <c r="HZC57" s="0"/>
      <c r="HZD57" s="0"/>
      <c r="HZE57" s="0"/>
      <c r="HZF57" s="0"/>
      <c r="HZG57" s="0"/>
      <c r="HZH57" s="0"/>
      <c r="HZI57" s="0"/>
      <c r="HZJ57" s="0"/>
      <c r="HZK57" s="0"/>
      <c r="HZL57" s="0"/>
      <c r="HZM57" s="0"/>
      <c r="HZN57" s="0"/>
      <c r="HZO57" s="0"/>
      <c r="HZP57" s="0"/>
      <c r="HZQ57" s="0"/>
      <c r="HZR57" s="0"/>
      <c r="HZS57" s="0"/>
      <c r="HZT57" s="0"/>
      <c r="HZU57" s="0"/>
      <c r="HZV57" s="0"/>
      <c r="HZW57" s="0"/>
      <c r="HZX57" s="0"/>
      <c r="HZY57" s="0"/>
      <c r="HZZ57" s="0"/>
      <c r="IAA57" s="0"/>
      <c r="IAB57" s="0"/>
      <c r="IAC57" s="0"/>
      <c r="IAD57" s="0"/>
      <c r="IAE57" s="0"/>
      <c r="IAF57" s="0"/>
      <c r="IAG57" s="0"/>
      <c r="IAH57" s="0"/>
      <c r="IAI57" s="0"/>
      <c r="IAJ57" s="0"/>
      <c r="IAK57" s="0"/>
      <c r="IAL57" s="0"/>
      <c r="IAM57" s="0"/>
      <c r="IAN57" s="0"/>
      <c r="IAO57" s="0"/>
      <c r="IAP57" s="0"/>
      <c r="IAQ57" s="0"/>
      <c r="IAR57" s="0"/>
      <c r="IAS57" s="0"/>
      <c r="IAT57" s="0"/>
      <c r="IAU57" s="0"/>
      <c r="IAV57" s="0"/>
      <c r="IAW57" s="0"/>
      <c r="IAX57" s="0"/>
      <c r="IAY57" s="0"/>
      <c r="IAZ57" s="0"/>
      <c r="IBA57" s="0"/>
      <c r="IBB57" s="0"/>
      <c r="IBC57" s="0"/>
      <c r="IBD57" s="0"/>
      <c r="IBE57" s="0"/>
      <c r="IBF57" s="0"/>
      <c r="IBG57" s="0"/>
      <c r="IBH57" s="0"/>
      <c r="IBI57" s="0"/>
      <c r="IBJ57" s="0"/>
      <c r="IBK57" s="0"/>
      <c r="IBL57" s="0"/>
      <c r="IBM57" s="0"/>
      <c r="IBN57" s="0"/>
      <c r="IBO57" s="0"/>
      <c r="IBP57" s="0"/>
      <c r="IBQ57" s="0"/>
      <c r="IBR57" s="0"/>
      <c r="IBS57" s="0"/>
      <c r="IBT57" s="0"/>
      <c r="IBU57" s="0"/>
      <c r="IBV57" s="0"/>
      <c r="IBW57" s="0"/>
      <c r="IBX57" s="0"/>
      <c r="IBY57" s="0"/>
      <c r="IBZ57" s="0"/>
      <c r="ICA57" s="0"/>
      <c r="ICB57" s="0"/>
      <c r="ICC57" s="0"/>
      <c r="ICD57" s="0"/>
      <c r="ICE57" s="0"/>
      <c r="ICF57" s="0"/>
      <c r="ICG57" s="0"/>
      <c r="ICH57" s="0"/>
      <c r="ICI57" s="0"/>
      <c r="ICJ57" s="0"/>
      <c r="ICK57" s="0"/>
      <c r="ICL57" s="0"/>
      <c r="ICM57" s="0"/>
      <c r="ICN57" s="0"/>
      <c r="ICO57" s="0"/>
      <c r="ICP57" s="0"/>
      <c r="ICQ57" s="0"/>
      <c r="ICR57" s="0"/>
      <c r="ICS57" s="0"/>
      <c r="ICT57" s="0"/>
      <c r="ICU57" s="0"/>
      <c r="ICV57" s="0"/>
      <c r="ICW57" s="0"/>
      <c r="ICX57" s="0"/>
      <c r="ICY57" s="0"/>
      <c r="ICZ57" s="0"/>
      <c r="IDA57" s="0"/>
      <c r="IDB57" s="0"/>
      <c r="IDC57" s="0"/>
      <c r="IDD57" s="0"/>
      <c r="IDE57" s="0"/>
      <c r="IDF57" s="0"/>
      <c r="IDG57" s="0"/>
      <c r="IDH57" s="0"/>
      <c r="IDI57" s="0"/>
      <c r="IDJ57" s="0"/>
      <c r="IDK57" s="0"/>
      <c r="IDL57" s="0"/>
      <c r="IDM57" s="0"/>
      <c r="IDN57" s="0"/>
      <c r="IDO57" s="0"/>
      <c r="IDP57" s="0"/>
      <c r="IDQ57" s="0"/>
      <c r="IDR57" s="0"/>
      <c r="IDS57" s="0"/>
      <c r="IDT57" s="0"/>
      <c r="IDU57" s="0"/>
      <c r="IDV57" s="0"/>
      <c r="IDW57" s="0"/>
      <c r="IDX57" s="0"/>
      <c r="IDY57" s="0"/>
      <c r="IDZ57" s="0"/>
      <c r="IEA57" s="0"/>
      <c r="IEB57" s="0"/>
      <c r="IEC57" s="0"/>
      <c r="IED57" s="0"/>
      <c r="IEE57" s="0"/>
      <c r="IEF57" s="0"/>
      <c r="IEG57" s="0"/>
      <c r="IEH57" s="0"/>
      <c r="IEI57" s="0"/>
      <c r="IEJ57" s="0"/>
      <c r="IEK57" s="0"/>
      <c r="IEL57" s="0"/>
      <c r="IEM57" s="0"/>
      <c r="IEN57" s="0"/>
      <c r="IEO57" s="0"/>
      <c r="IEP57" s="0"/>
      <c r="IEQ57" s="0"/>
      <c r="IER57" s="0"/>
      <c r="IES57" s="0"/>
      <c r="IET57" s="0"/>
      <c r="IEU57" s="0"/>
      <c r="IEV57" s="0"/>
      <c r="IEW57" s="0"/>
      <c r="IEX57" s="0"/>
      <c r="IEY57" s="0"/>
      <c r="IEZ57" s="0"/>
      <c r="IFA57" s="0"/>
      <c r="IFB57" s="0"/>
      <c r="IFC57" s="0"/>
      <c r="IFD57" s="0"/>
      <c r="IFE57" s="0"/>
      <c r="IFF57" s="0"/>
      <c r="IFG57" s="0"/>
      <c r="IFH57" s="0"/>
      <c r="IFI57" s="0"/>
      <c r="IFJ57" s="0"/>
      <c r="IFK57" s="0"/>
      <c r="IFL57" s="0"/>
      <c r="IFM57" s="0"/>
      <c r="IFN57" s="0"/>
      <c r="IFO57" s="0"/>
      <c r="IFP57" s="0"/>
      <c r="IFQ57" s="0"/>
      <c r="IFR57" s="0"/>
      <c r="IFS57" s="0"/>
      <c r="IFT57" s="0"/>
      <c r="IFU57" s="0"/>
      <c r="IFV57" s="0"/>
      <c r="IFW57" s="0"/>
      <c r="IFX57" s="0"/>
      <c r="IFY57" s="0"/>
      <c r="IFZ57" s="0"/>
      <c r="IGA57" s="0"/>
      <c r="IGB57" s="0"/>
      <c r="IGC57" s="0"/>
      <c r="IGD57" s="0"/>
      <c r="IGE57" s="0"/>
      <c r="IGF57" s="0"/>
      <c r="IGG57" s="0"/>
      <c r="IGH57" s="0"/>
      <c r="IGI57" s="0"/>
      <c r="IGJ57" s="0"/>
      <c r="IGK57" s="0"/>
      <c r="IGL57" s="0"/>
      <c r="IGM57" s="0"/>
      <c r="IGN57" s="0"/>
      <c r="IGO57" s="0"/>
      <c r="IGP57" s="0"/>
      <c r="IGQ57" s="0"/>
      <c r="IGR57" s="0"/>
      <c r="IGS57" s="0"/>
      <c r="IGT57" s="0"/>
      <c r="IGU57" s="0"/>
      <c r="IGV57" s="0"/>
      <c r="IGW57" s="0"/>
      <c r="IGX57" s="0"/>
      <c r="IGY57" s="0"/>
      <c r="IGZ57" s="0"/>
      <c r="IHA57" s="0"/>
      <c r="IHB57" s="0"/>
      <c r="IHC57" s="0"/>
      <c r="IHD57" s="0"/>
      <c r="IHE57" s="0"/>
      <c r="IHF57" s="0"/>
      <c r="IHG57" s="0"/>
      <c r="IHH57" s="0"/>
      <c r="IHI57" s="0"/>
      <c r="IHJ57" s="0"/>
      <c r="IHK57" s="0"/>
      <c r="IHL57" s="0"/>
      <c r="IHM57" s="0"/>
      <c r="IHN57" s="0"/>
      <c r="IHO57" s="0"/>
      <c r="IHP57" s="0"/>
      <c r="IHQ57" s="0"/>
      <c r="IHR57" s="0"/>
      <c r="IHS57" s="0"/>
      <c r="IHT57" s="0"/>
      <c r="IHU57" s="0"/>
      <c r="IHV57" s="0"/>
      <c r="IHW57" s="0"/>
      <c r="IHX57" s="0"/>
      <c r="IHY57" s="0"/>
      <c r="IHZ57" s="0"/>
      <c r="IIA57" s="0"/>
      <c r="IIB57" s="0"/>
      <c r="IIC57" s="0"/>
      <c r="IID57" s="0"/>
      <c r="IIE57" s="0"/>
      <c r="IIF57" s="0"/>
      <c r="IIG57" s="0"/>
      <c r="IIH57" s="0"/>
      <c r="III57" s="0"/>
      <c r="IIJ57" s="0"/>
      <c r="IIK57" s="0"/>
      <c r="IIL57" s="0"/>
      <c r="IIM57" s="0"/>
      <c r="IIN57" s="0"/>
      <c r="IIO57" s="0"/>
      <c r="IIP57" s="0"/>
      <c r="IIQ57" s="0"/>
      <c r="IIR57" s="0"/>
      <c r="IIS57" s="0"/>
      <c r="IIT57" s="0"/>
      <c r="IIU57" s="0"/>
      <c r="IIV57" s="0"/>
      <c r="IIW57" s="0"/>
      <c r="IIX57" s="0"/>
      <c r="IIY57" s="0"/>
      <c r="IIZ57" s="0"/>
      <c r="IJA57" s="0"/>
      <c r="IJB57" s="0"/>
      <c r="IJC57" s="0"/>
      <c r="IJD57" s="0"/>
      <c r="IJE57" s="0"/>
      <c r="IJF57" s="0"/>
      <c r="IJG57" s="0"/>
      <c r="IJH57" s="0"/>
      <c r="IJI57" s="0"/>
      <c r="IJJ57" s="0"/>
      <c r="IJK57" s="0"/>
      <c r="IJL57" s="0"/>
      <c r="IJM57" s="0"/>
      <c r="IJN57" s="0"/>
      <c r="IJO57" s="0"/>
      <c r="IJP57" s="0"/>
      <c r="IJQ57" s="0"/>
      <c r="IJR57" s="0"/>
      <c r="IJS57" s="0"/>
      <c r="IJT57" s="0"/>
      <c r="IJU57" s="0"/>
      <c r="IJV57" s="0"/>
      <c r="IJW57" s="0"/>
      <c r="IJX57" s="0"/>
      <c r="IJY57" s="0"/>
      <c r="IJZ57" s="0"/>
      <c r="IKA57" s="0"/>
      <c r="IKB57" s="0"/>
      <c r="IKC57" s="0"/>
      <c r="IKD57" s="0"/>
      <c r="IKE57" s="0"/>
      <c r="IKF57" s="0"/>
      <c r="IKG57" s="0"/>
      <c r="IKH57" s="0"/>
      <c r="IKI57" s="0"/>
      <c r="IKJ57" s="0"/>
      <c r="IKK57" s="0"/>
      <c r="IKL57" s="0"/>
      <c r="IKM57" s="0"/>
      <c r="IKN57" s="0"/>
      <c r="IKO57" s="0"/>
      <c r="IKP57" s="0"/>
      <c r="IKQ57" s="0"/>
      <c r="IKR57" s="0"/>
      <c r="IKS57" s="0"/>
      <c r="IKT57" s="0"/>
      <c r="IKU57" s="0"/>
      <c r="IKV57" s="0"/>
      <c r="IKW57" s="0"/>
      <c r="IKX57" s="0"/>
      <c r="IKY57" s="0"/>
      <c r="IKZ57" s="0"/>
      <c r="ILA57" s="0"/>
      <c r="ILB57" s="0"/>
      <c r="ILC57" s="0"/>
      <c r="ILD57" s="0"/>
      <c r="ILE57" s="0"/>
      <c r="ILF57" s="0"/>
      <c r="ILG57" s="0"/>
      <c r="ILH57" s="0"/>
      <c r="ILI57" s="0"/>
      <c r="ILJ57" s="0"/>
      <c r="ILK57" s="0"/>
      <c r="ILL57" s="0"/>
      <c r="ILM57" s="0"/>
      <c r="ILN57" s="0"/>
      <c r="ILO57" s="0"/>
      <c r="ILP57" s="0"/>
      <c r="ILQ57" s="0"/>
      <c r="ILR57" s="0"/>
      <c r="ILS57" s="0"/>
      <c r="ILT57" s="0"/>
      <c r="ILU57" s="0"/>
      <c r="ILV57" s="0"/>
      <c r="ILW57" s="0"/>
      <c r="ILX57" s="0"/>
      <c r="ILY57" s="0"/>
      <c r="ILZ57" s="0"/>
      <c r="IMA57" s="0"/>
      <c r="IMB57" s="0"/>
      <c r="IMC57" s="0"/>
      <c r="IMD57" s="0"/>
      <c r="IME57" s="0"/>
      <c r="IMF57" s="0"/>
      <c r="IMG57" s="0"/>
      <c r="IMH57" s="0"/>
      <c r="IMI57" s="0"/>
      <c r="IMJ57" s="0"/>
      <c r="IMK57" s="0"/>
      <c r="IML57" s="0"/>
      <c r="IMM57" s="0"/>
      <c r="IMN57" s="0"/>
      <c r="IMO57" s="0"/>
      <c r="IMP57" s="0"/>
      <c r="IMQ57" s="0"/>
      <c r="IMR57" s="0"/>
      <c r="IMS57" s="0"/>
      <c r="IMT57" s="0"/>
      <c r="IMU57" s="0"/>
      <c r="IMV57" s="0"/>
      <c r="IMW57" s="0"/>
      <c r="IMX57" s="0"/>
      <c r="IMY57" s="0"/>
      <c r="IMZ57" s="0"/>
      <c r="INA57" s="0"/>
      <c r="INB57" s="0"/>
      <c r="INC57" s="0"/>
      <c r="IND57" s="0"/>
      <c r="INE57" s="0"/>
      <c r="INF57" s="0"/>
      <c r="ING57" s="0"/>
      <c r="INH57" s="0"/>
      <c r="INI57" s="0"/>
      <c r="INJ57" s="0"/>
      <c r="INK57" s="0"/>
      <c r="INL57" s="0"/>
      <c r="INM57" s="0"/>
      <c r="INN57" s="0"/>
      <c r="INO57" s="0"/>
      <c r="INP57" s="0"/>
      <c r="INQ57" s="0"/>
      <c r="INR57" s="0"/>
      <c r="INS57" s="0"/>
      <c r="INT57" s="0"/>
      <c r="INU57" s="0"/>
      <c r="INV57" s="0"/>
      <c r="INW57" s="0"/>
      <c r="INX57" s="0"/>
      <c r="INY57" s="0"/>
      <c r="INZ57" s="0"/>
      <c r="IOA57" s="0"/>
      <c r="IOB57" s="0"/>
      <c r="IOC57" s="0"/>
      <c r="IOD57" s="0"/>
      <c r="IOE57" s="0"/>
      <c r="IOF57" s="0"/>
      <c r="IOG57" s="0"/>
      <c r="IOH57" s="0"/>
      <c r="IOI57" s="0"/>
      <c r="IOJ57" s="0"/>
      <c r="IOK57" s="0"/>
      <c r="IOL57" s="0"/>
      <c r="IOM57" s="0"/>
      <c r="ION57" s="0"/>
      <c r="IOO57" s="0"/>
      <c r="IOP57" s="0"/>
      <c r="IOQ57" s="0"/>
      <c r="IOR57" s="0"/>
      <c r="IOS57" s="0"/>
      <c r="IOT57" s="0"/>
      <c r="IOU57" s="0"/>
      <c r="IOV57" s="0"/>
      <c r="IOW57" s="0"/>
      <c r="IOX57" s="0"/>
      <c r="IOY57" s="0"/>
      <c r="IOZ57" s="0"/>
      <c r="IPA57" s="0"/>
      <c r="IPB57" s="0"/>
      <c r="IPC57" s="0"/>
      <c r="IPD57" s="0"/>
      <c r="IPE57" s="0"/>
      <c r="IPF57" s="0"/>
      <c r="IPG57" s="0"/>
      <c r="IPH57" s="0"/>
      <c r="IPI57" s="0"/>
      <c r="IPJ57" s="0"/>
      <c r="IPK57" s="0"/>
      <c r="IPL57" s="0"/>
      <c r="IPM57" s="0"/>
      <c r="IPN57" s="0"/>
      <c r="IPO57" s="0"/>
      <c r="IPP57" s="0"/>
      <c r="IPQ57" s="0"/>
      <c r="IPR57" s="0"/>
      <c r="IPS57" s="0"/>
      <c r="IPT57" s="0"/>
      <c r="IPU57" s="0"/>
      <c r="IPV57" s="0"/>
      <c r="IPW57" s="0"/>
      <c r="IPX57" s="0"/>
      <c r="IPY57" s="0"/>
      <c r="IPZ57" s="0"/>
      <c r="IQA57" s="0"/>
      <c r="IQB57" s="0"/>
      <c r="IQC57" s="0"/>
      <c r="IQD57" s="0"/>
      <c r="IQE57" s="0"/>
      <c r="IQF57" s="0"/>
      <c r="IQG57" s="0"/>
      <c r="IQH57" s="0"/>
      <c r="IQI57" s="0"/>
      <c r="IQJ57" s="0"/>
      <c r="IQK57" s="0"/>
      <c r="IQL57" s="0"/>
      <c r="IQM57" s="0"/>
      <c r="IQN57" s="0"/>
      <c r="IQO57" s="0"/>
      <c r="IQP57" s="0"/>
      <c r="IQQ57" s="0"/>
      <c r="IQR57" s="0"/>
      <c r="IQS57" s="0"/>
      <c r="IQT57" s="0"/>
      <c r="IQU57" s="0"/>
      <c r="IQV57" s="0"/>
      <c r="IQW57" s="0"/>
      <c r="IQX57" s="0"/>
      <c r="IQY57" s="0"/>
      <c r="IQZ57" s="0"/>
      <c r="IRA57" s="0"/>
      <c r="IRB57" s="0"/>
      <c r="IRC57" s="0"/>
      <c r="IRD57" s="0"/>
      <c r="IRE57" s="0"/>
      <c r="IRF57" s="0"/>
      <c r="IRG57" s="0"/>
      <c r="IRH57" s="0"/>
      <c r="IRI57" s="0"/>
      <c r="IRJ57" s="0"/>
      <c r="IRK57" s="0"/>
      <c r="IRL57" s="0"/>
      <c r="IRM57" s="0"/>
      <c r="IRN57" s="0"/>
      <c r="IRO57" s="0"/>
      <c r="IRP57" s="0"/>
      <c r="IRQ57" s="0"/>
      <c r="IRR57" s="0"/>
      <c r="IRS57" s="0"/>
      <c r="IRT57" s="0"/>
      <c r="IRU57" s="0"/>
      <c r="IRV57" s="0"/>
      <c r="IRW57" s="0"/>
      <c r="IRX57" s="0"/>
      <c r="IRY57" s="0"/>
      <c r="IRZ57" s="0"/>
      <c r="ISA57" s="0"/>
      <c r="ISB57" s="0"/>
      <c r="ISC57" s="0"/>
      <c r="ISD57" s="0"/>
      <c r="ISE57" s="0"/>
      <c r="ISF57" s="0"/>
      <c r="ISG57" s="0"/>
      <c r="ISH57" s="0"/>
      <c r="ISI57" s="0"/>
      <c r="ISJ57" s="0"/>
      <c r="ISK57" s="0"/>
      <c r="ISL57" s="0"/>
      <c r="ISM57" s="0"/>
      <c r="ISN57" s="0"/>
      <c r="ISO57" s="0"/>
      <c r="ISP57" s="0"/>
      <c r="ISQ57" s="0"/>
      <c r="ISR57" s="0"/>
      <c r="ISS57" s="0"/>
      <c r="IST57" s="0"/>
      <c r="ISU57" s="0"/>
      <c r="ISV57" s="0"/>
      <c r="ISW57" s="0"/>
      <c r="ISX57" s="0"/>
      <c r="ISY57" s="0"/>
      <c r="ISZ57" s="0"/>
      <c r="ITA57" s="0"/>
      <c r="ITB57" s="0"/>
      <c r="ITC57" s="0"/>
      <c r="ITD57" s="0"/>
      <c r="ITE57" s="0"/>
      <c r="ITF57" s="0"/>
      <c r="ITG57" s="0"/>
      <c r="ITH57" s="0"/>
      <c r="ITI57" s="0"/>
      <c r="ITJ57" s="0"/>
      <c r="ITK57" s="0"/>
      <c r="ITL57" s="0"/>
      <c r="ITM57" s="0"/>
      <c r="ITN57" s="0"/>
      <c r="ITO57" s="0"/>
      <c r="ITP57" s="0"/>
      <c r="ITQ57" s="0"/>
      <c r="ITR57" s="0"/>
      <c r="ITS57" s="0"/>
      <c r="ITT57" s="0"/>
      <c r="ITU57" s="0"/>
      <c r="ITV57" s="0"/>
      <c r="ITW57" s="0"/>
      <c r="ITX57" s="0"/>
      <c r="ITY57" s="0"/>
      <c r="ITZ57" s="0"/>
      <c r="IUA57" s="0"/>
      <c r="IUB57" s="0"/>
      <c r="IUC57" s="0"/>
      <c r="IUD57" s="0"/>
      <c r="IUE57" s="0"/>
      <c r="IUF57" s="0"/>
      <c r="IUG57" s="0"/>
      <c r="IUH57" s="0"/>
      <c r="IUI57" s="0"/>
      <c r="IUJ57" s="0"/>
      <c r="IUK57" s="0"/>
      <c r="IUL57" s="0"/>
      <c r="IUM57" s="0"/>
      <c r="IUN57" s="0"/>
      <c r="IUO57" s="0"/>
      <c r="IUP57" s="0"/>
      <c r="IUQ57" s="0"/>
      <c r="IUR57" s="0"/>
      <c r="IUS57" s="0"/>
      <c r="IUT57" s="0"/>
      <c r="IUU57" s="0"/>
      <c r="IUV57" s="0"/>
      <c r="IUW57" s="0"/>
      <c r="IUX57" s="0"/>
      <c r="IUY57" s="0"/>
      <c r="IUZ57" s="0"/>
      <c r="IVA57" s="0"/>
      <c r="IVB57" s="0"/>
      <c r="IVC57" s="0"/>
      <c r="IVD57" s="0"/>
      <c r="IVE57" s="0"/>
      <c r="IVF57" s="0"/>
      <c r="IVG57" s="0"/>
      <c r="IVH57" s="0"/>
      <c r="IVI57" s="0"/>
      <c r="IVJ57" s="0"/>
      <c r="IVK57" s="0"/>
      <c r="IVL57" s="0"/>
      <c r="IVM57" s="0"/>
      <c r="IVN57" s="0"/>
      <c r="IVO57" s="0"/>
      <c r="IVP57" s="0"/>
      <c r="IVQ57" s="0"/>
      <c r="IVR57" s="0"/>
      <c r="IVS57" s="0"/>
      <c r="IVT57" s="0"/>
      <c r="IVU57" s="0"/>
      <c r="IVV57" s="0"/>
      <c r="IVW57" s="0"/>
      <c r="IVX57" s="0"/>
      <c r="IVY57" s="0"/>
      <c r="IVZ57" s="0"/>
      <c r="IWA57" s="0"/>
      <c r="IWB57" s="0"/>
      <c r="IWC57" s="0"/>
      <c r="IWD57" s="0"/>
      <c r="IWE57" s="0"/>
      <c r="IWF57" s="0"/>
      <c r="IWG57" s="0"/>
      <c r="IWH57" s="0"/>
      <c r="IWI57" s="0"/>
      <c r="IWJ57" s="0"/>
      <c r="IWK57" s="0"/>
      <c r="IWL57" s="0"/>
      <c r="IWM57" s="0"/>
      <c r="IWN57" s="0"/>
      <c r="IWO57" s="0"/>
      <c r="IWP57" s="0"/>
      <c r="IWQ57" s="0"/>
      <c r="IWR57" s="0"/>
      <c r="IWS57" s="0"/>
      <c r="IWT57" s="0"/>
      <c r="IWU57" s="0"/>
      <c r="IWV57" s="0"/>
      <c r="IWW57" s="0"/>
      <c r="IWX57" s="0"/>
      <c r="IWY57" s="0"/>
      <c r="IWZ57" s="0"/>
      <c r="IXA57" s="0"/>
      <c r="IXB57" s="0"/>
      <c r="IXC57" s="0"/>
      <c r="IXD57" s="0"/>
      <c r="IXE57" s="0"/>
      <c r="IXF57" s="0"/>
      <c r="IXG57" s="0"/>
      <c r="IXH57" s="0"/>
      <c r="IXI57" s="0"/>
      <c r="IXJ57" s="0"/>
      <c r="IXK57" s="0"/>
      <c r="IXL57" s="0"/>
      <c r="IXM57" s="0"/>
      <c r="IXN57" s="0"/>
      <c r="IXO57" s="0"/>
      <c r="IXP57" s="0"/>
      <c r="IXQ57" s="0"/>
      <c r="IXR57" s="0"/>
      <c r="IXS57" s="0"/>
      <c r="IXT57" s="0"/>
      <c r="IXU57" s="0"/>
      <c r="IXV57" s="0"/>
      <c r="IXW57" s="0"/>
      <c r="IXX57" s="0"/>
      <c r="IXY57" s="0"/>
      <c r="IXZ57" s="0"/>
      <c r="IYA57" s="0"/>
      <c r="IYB57" s="0"/>
      <c r="IYC57" s="0"/>
      <c r="IYD57" s="0"/>
      <c r="IYE57" s="0"/>
      <c r="IYF57" s="0"/>
      <c r="IYG57" s="0"/>
      <c r="IYH57" s="0"/>
      <c r="IYI57" s="0"/>
      <c r="IYJ57" s="0"/>
      <c r="IYK57" s="0"/>
      <c r="IYL57" s="0"/>
      <c r="IYM57" s="0"/>
      <c r="IYN57" s="0"/>
      <c r="IYO57" s="0"/>
      <c r="IYP57" s="0"/>
      <c r="IYQ57" s="0"/>
      <c r="IYR57" s="0"/>
      <c r="IYS57" s="0"/>
      <c r="IYT57" s="0"/>
      <c r="IYU57" s="0"/>
      <c r="IYV57" s="0"/>
      <c r="IYW57" s="0"/>
      <c r="IYX57" s="0"/>
      <c r="IYY57" s="0"/>
      <c r="IYZ57" s="0"/>
      <c r="IZA57" s="0"/>
      <c r="IZB57" s="0"/>
      <c r="IZC57" s="0"/>
      <c r="IZD57" s="0"/>
      <c r="IZE57" s="0"/>
      <c r="IZF57" s="0"/>
      <c r="IZG57" s="0"/>
      <c r="IZH57" s="0"/>
      <c r="IZI57" s="0"/>
      <c r="IZJ57" s="0"/>
      <c r="IZK57" s="0"/>
      <c r="IZL57" s="0"/>
      <c r="IZM57" s="0"/>
      <c r="IZN57" s="0"/>
      <c r="IZO57" s="0"/>
      <c r="IZP57" s="0"/>
      <c r="IZQ57" s="0"/>
      <c r="IZR57" s="0"/>
      <c r="IZS57" s="0"/>
      <c r="IZT57" s="0"/>
      <c r="IZU57" s="0"/>
      <c r="IZV57" s="0"/>
      <c r="IZW57" s="0"/>
      <c r="IZX57" s="0"/>
      <c r="IZY57" s="0"/>
      <c r="IZZ57" s="0"/>
      <c r="JAA57" s="0"/>
      <c r="JAB57" s="0"/>
      <c r="JAC57" s="0"/>
      <c r="JAD57" s="0"/>
      <c r="JAE57" s="0"/>
      <c r="JAF57" s="0"/>
      <c r="JAG57" s="0"/>
      <c r="JAH57" s="0"/>
      <c r="JAI57" s="0"/>
      <c r="JAJ57" s="0"/>
      <c r="JAK57" s="0"/>
      <c r="JAL57" s="0"/>
      <c r="JAM57" s="0"/>
      <c r="JAN57" s="0"/>
      <c r="JAO57" s="0"/>
      <c r="JAP57" s="0"/>
      <c r="JAQ57" s="0"/>
      <c r="JAR57" s="0"/>
      <c r="JAS57" s="0"/>
      <c r="JAT57" s="0"/>
      <c r="JAU57" s="0"/>
      <c r="JAV57" s="0"/>
      <c r="JAW57" s="0"/>
      <c r="JAX57" s="0"/>
      <c r="JAY57" s="0"/>
      <c r="JAZ57" s="0"/>
      <c r="JBA57" s="0"/>
      <c r="JBB57" s="0"/>
      <c r="JBC57" s="0"/>
      <c r="JBD57" s="0"/>
      <c r="JBE57" s="0"/>
      <c r="JBF57" s="0"/>
      <c r="JBG57" s="0"/>
      <c r="JBH57" s="0"/>
      <c r="JBI57" s="0"/>
      <c r="JBJ57" s="0"/>
      <c r="JBK57" s="0"/>
      <c r="JBL57" s="0"/>
      <c r="JBM57" s="0"/>
      <c r="JBN57" s="0"/>
      <c r="JBO57" s="0"/>
      <c r="JBP57" s="0"/>
      <c r="JBQ57" s="0"/>
      <c r="JBR57" s="0"/>
      <c r="JBS57" s="0"/>
      <c r="JBT57" s="0"/>
      <c r="JBU57" s="0"/>
      <c r="JBV57" s="0"/>
      <c r="JBW57" s="0"/>
      <c r="JBX57" s="0"/>
      <c r="JBY57" s="0"/>
      <c r="JBZ57" s="0"/>
      <c r="JCA57" s="0"/>
      <c r="JCB57" s="0"/>
      <c r="JCC57" s="0"/>
      <c r="JCD57" s="0"/>
      <c r="JCE57" s="0"/>
      <c r="JCF57" s="0"/>
      <c r="JCG57" s="0"/>
      <c r="JCH57" s="0"/>
      <c r="JCI57" s="0"/>
      <c r="JCJ57" s="0"/>
      <c r="JCK57" s="0"/>
      <c r="JCL57" s="0"/>
      <c r="JCM57" s="0"/>
      <c r="JCN57" s="0"/>
      <c r="JCO57" s="0"/>
      <c r="JCP57" s="0"/>
      <c r="JCQ57" s="0"/>
      <c r="JCR57" s="0"/>
      <c r="JCS57" s="0"/>
      <c r="JCT57" s="0"/>
      <c r="JCU57" s="0"/>
      <c r="JCV57" s="0"/>
      <c r="JCW57" s="0"/>
      <c r="JCX57" s="0"/>
      <c r="JCY57" s="0"/>
      <c r="JCZ57" s="0"/>
      <c r="JDA57" s="0"/>
      <c r="JDB57" s="0"/>
      <c r="JDC57" s="0"/>
      <c r="JDD57" s="0"/>
      <c r="JDE57" s="0"/>
      <c r="JDF57" s="0"/>
      <c r="JDG57" s="0"/>
      <c r="JDH57" s="0"/>
      <c r="JDI57" s="0"/>
      <c r="JDJ57" s="0"/>
      <c r="JDK57" s="0"/>
      <c r="JDL57" s="0"/>
      <c r="JDM57" s="0"/>
      <c r="JDN57" s="0"/>
      <c r="JDO57" s="0"/>
      <c r="JDP57" s="0"/>
      <c r="JDQ57" s="0"/>
      <c r="JDR57" s="0"/>
      <c r="JDS57" s="0"/>
      <c r="JDT57" s="0"/>
      <c r="JDU57" s="0"/>
      <c r="JDV57" s="0"/>
      <c r="JDW57" s="0"/>
      <c r="JDX57" s="0"/>
      <c r="JDY57" s="0"/>
      <c r="JDZ57" s="0"/>
      <c r="JEA57" s="0"/>
      <c r="JEB57" s="0"/>
      <c r="JEC57" s="0"/>
      <c r="JED57" s="0"/>
      <c r="JEE57" s="0"/>
      <c r="JEF57" s="0"/>
      <c r="JEG57" s="0"/>
      <c r="JEH57" s="0"/>
      <c r="JEI57" s="0"/>
      <c r="JEJ57" s="0"/>
      <c r="JEK57" s="0"/>
      <c r="JEL57" s="0"/>
      <c r="JEM57" s="0"/>
      <c r="JEN57" s="0"/>
      <c r="JEO57" s="0"/>
      <c r="JEP57" s="0"/>
      <c r="JEQ57" s="0"/>
      <c r="JER57" s="0"/>
      <c r="JES57" s="0"/>
      <c r="JET57" s="0"/>
      <c r="JEU57" s="0"/>
      <c r="JEV57" s="0"/>
      <c r="JEW57" s="0"/>
      <c r="JEX57" s="0"/>
      <c r="JEY57" s="0"/>
      <c r="JEZ57" s="0"/>
      <c r="JFA57" s="0"/>
      <c r="JFB57" s="0"/>
      <c r="JFC57" s="0"/>
      <c r="JFD57" s="0"/>
      <c r="JFE57" s="0"/>
      <c r="JFF57" s="0"/>
      <c r="JFG57" s="0"/>
      <c r="JFH57" s="0"/>
      <c r="JFI57" s="0"/>
      <c r="JFJ57" s="0"/>
      <c r="JFK57" s="0"/>
      <c r="JFL57" s="0"/>
      <c r="JFM57" s="0"/>
      <c r="JFN57" s="0"/>
      <c r="JFO57" s="0"/>
      <c r="JFP57" s="0"/>
      <c r="JFQ57" s="0"/>
      <c r="JFR57" s="0"/>
      <c r="JFS57" s="0"/>
      <c r="JFT57" s="0"/>
      <c r="JFU57" s="0"/>
      <c r="JFV57" s="0"/>
      <c r="JFW57" s="0"/>
      <c r="JFX57" s="0"/>
      <c r="JFY57" s="0"/>
      <c r="JFZ57" s="0"/>
      <c r="JGA57" s="0"/>
      <c r="JGB57" s="0"/>
      <c r="JGC57" s="0"/>
      <c r="JGD57" s="0"/>
      <c r="JGE57" s="0"/>
      <c r="JGF57" s="0"/>
      <c r="JGG57" s="0"/>
      <c r="JGH57" s="0"/>
      <c r="JGI57" s="0"/>
      <c r="JGJ57" s="0"/>
      <c r="JGK57" s="0"/>
      <c r="JGL57" s="0"/>
      <c r="JGM57" s="0"/>
      <c r="JGN57" s="0"/>
      <c r="JGO57" s="0"/>
      <c r="JGP57" s="0"/>
      <c r="JGQ57" s="0"/>
      <c r="JGR57" s="0"/>
      <c r="JGS57" s="0"/>
      <c r="JGT57" s="0"/>
      <c r="JGU57" s="0"/>
      <c r="JGV57" s="0"/>
      <c r="JGW57" s="0"/>
      <c r="JGX57" s="0"/>
      <c r="JGY57" s="0"/>
      <c r="JGZ57" s="0"/>
      <c r="JHA57" s="0"/>
      <c r="JHB57" s="0"/>
      <c r="JHC57" s="0"/>
      <c r="JHD57" s="0"/>
      <c r="JHE57" s="0"/>
      <c r="JHF57" s="0"/>
      <c r="JHG57" s="0"/>
      <c r="JHH57" s="0"/>
      <c r="JHI57" s="0"/>
      <c r="JHJ57" s="0"/>
      <c r="JHK57" s="0"/>
      <c r="JHL57" s="0"/>
      <c r="JHM57" s="0"/>
      <c r="JHN57" s="0"/>
      <c r="JHO57" s="0"/>
      <c r="JHP57" s="0"/>
      <c r="JHQ57" s="0"/>
      <c r="JHR57" s="0"/>
      <c r="JHS57" s="0"/>
      <c r="JHT57" s="0"/>
      <c r="JHU57" s="0"/>
      <c r="JHV57" s="0"/>
      <c r="JHW57" s="0"/>
      <c r="JHX57" s="0"/>
      <c r="JHY57" s="0"/>
      <c r="JHZ57" s="0"/>
      <c r="JIA57" s="0"/>
      <c r="JIB57" s="0"/>
      <c r="JIC57" s="0"/>
      <c r="JID57" s="0"/>
      <c r="JIE57" s="0"/>
      <c r="JIF57" s="0"/>
      <c r="JIG57" s="0"/>
      <c r="JIH57" s="0"/>
      <c r="JII57" s="0"/>
      <c r="JIJ57" s="0"/>
      <c r="JIK57" s="0"/>
      <c r="JIL57" s="0"/>
      <c r="JIM57" s="0"/>
      <c r="JIN57" s="0"/>
      <c r="JIO57" s="0"/>
      <c r="JIP57" s="0"/>
      <c r="JIQ57" s="0"/>
      <c r="JIR57" s="0"/>
      <c r="JIS57" s="0"/>
      <c r="JIT57" s="0"/>
      <c r="JIU57" s="0"/>
      <c r="JIV57" s="0"/>
      <c r="JIW57" s="0"/>
      <c r="JIX57" s="0"/>
      <c r="JIY57" s="0"/>
      <c r="JIZ57" s="0"/>
      <c r="JJA57" s="0"/>
      <c r="JJB57" s="0"/>
      <c r="JJC57" s="0"/>
      <c r="JJD57" s="0"/>
      <c r="JJE57" s="0"/>
      <c r="JJF57" s="0"/>
      <c r="JJG57" s="0"/>
      <c r="JJH57" s="0"/>
      <c r="JJI57" s="0"/>
      <c r="JJJ57" s="0"/>
      <c r="JJK57" s="0"/>
      <c r="JJL57" s="0"/>
      <c r="JJM57" s="0"/>
      <c r="JJN57" s="0"/>
      <c r="JJO57" s="0"/>
      <c r="JJP57" s="0"/>
      <c r="JJQ57" s="0"/>
      <c r="JJR57" s="0"/>
      <c r="JJS57" s="0"/>
      <c r="JJT57" s="0"/>
      <c r="JJU57" s="0"/>
      <c r="JJV57" s="0"/>
      <c r="JJW57" s="0"/>
      <c r="JJX57" s="0"/>
      <c r="JJY57" s="0"/>
      <c r="JJZ57" s="0"/>
      <c r="JKA57" s="0"/>
      <c r="JKB57" s="0"/>
      <c r="JKC57" s="0"/>
      <c r="JKD57" s="0"/>
      <c r="JKE57" s="0"/>
      <c r="JKF57" s="0"/>
      <c r="JKG57" s="0"/>
      <c r="JKH57" s="0"/>
      <c r="JKI57" s="0"/>
      <c r="JKJ57" s="0"/>
      <c r="JKK57" s="0"/>
      <c r="JKL57" s="0"/>
      <c r="JKM57" s="0"/>
      <c r="JKN57" s="0"/>
      <c r="JKO57" s="0"/>
      <c r="JKP57" s="0"/>
      <c r="JKQ57" s="0"/>
      <c r="JKR57" s="0"/>
      <c r="JKS57" s="0"/>
      <c r="JKT57" s="0"/>
      <c r="JKU57" s="0"/>
      <c r="JKV57" s="0"/>
      <c r="JKW57" s="0"/>
      <c r="JKX57" s="0"/>
      <c r="JKY57" s="0"/>
      <c r="JKZ57" s="0"/>
      <c r="JLA57" s="0"/>
      <c r="JLB57" s="0"/>
      <c r="JLC57" s="0"/>
      <c r="JLD57" s="0"/>
      <c r="JLE57" s="0"/>
      <c r="JLF57" s="0"/>
      <c r="JLG57" s="0"/>
      <c r="JLH57" s="0"/>
      <c r="JLI57" s="0"/>
      <c r="JLJ57" s="0"/>
      <c r="JLK57" s="0"/>
      <c r="JLL57" s="0"/>
      <c r="JLM57" s="0"/>
      <c r="JLN57" s="0"/>
      <c r="JLO57" s="0"/>
      <c r="JLP57" s="0"/>
      <c r="JLQ57" s="0"/>
      <c r="JLR57" s="0"/>
      <c r="JLS57" s="0"/>
      <c r="JLT57" s="0"/>
      <c r="JLU57" s="0"/>
      <c r="JLV57" s="0"/>
      <c r="JLW57" s="0"/>
      <c r="JLX57" s="0"/>
      <c r="JLY57" s="0"/>
      <c r="JLZ57" s="0"/>
      <c r="JMA57" s="0"/>
      <c r="JMB57" s="0"/>
      <c r="JMC57" s="0"/>
      <c r="JMD57" s="0"/>
      <c r="JME57" s="0"/>
      <c r="JMF57" s="0"/>
      <c r="JMG57" s="0"/>
      <c r="JMH57" s="0"/>
      <c r="JMI57" s="0"/>
      <c r="JMJ57" s="0"/>
      <c r="JMK57" s="0"/>
      <c r="JML57" s="0"/>
      <c r="JMM57" s="0"/>
      <c r="JMN57" s="0"/>
      <c r="JMO57" s="0"/>
      <c r="JMP57" s="0"/>
      <c r="JMQ57" s="0"/>
      <c r="JMR57" s="0"/>
      <c r="JMS57" s="0"/>
      <c r="JMT57" s="0"/>
      <c r="JMU57" s="0"/>
      <c r="JMV57" s="0"/>
      <c r="JMW57" s="0"/>
      <c r="JMX57" s="0"/>
      <c r="JMY57" s="0"/>
      <c r="JMZ57" s="0"/>
      <c r="JNA57" s="0"/>
      <c r="JNB57" s="0"/>
      <c r="JNC57" s="0"/>
      <c r="JND57" s="0"/>
      <c r="JNE57" s="0"/>
      <c r="JNF57" s="0"/>
      <c r="JNG57" s="0"/>
      <c r="JNH57" s="0"/>
      <c r="JNI57" s="0"/>
      <c r="JNJ57" s="0"/>
      <c r="JNK57" s="0"/>
      <c r="JNL57" s="0"/>
      <c r="JNM57" s="0"/>
      <c r="JNN57" s="0"/>
      <c r="JNO57" s="0"/>
      <c r="JNP57" s="0"/>
      <c r="JNQ57" s="0"/>
      <c r="JNR57" s="0"/>
      <c r="JNS57" s="0"/>
      <c r="JNT57" s="0"/>
      <c r="JNU57" s="0"/>
      <c r="JNV57" s="0"/>
      <c r="JNW57" s="0"/>
      <c r="JNX57" s="0"/>
      <c r="JNY57" s="0"/>
      <c r="JNZ57" s="0"/>
      <c r="JOA57" s="0"/>
      <c r="JOB57" s="0"/>
      <c r="JOC57" s="0"/>
      <c r="JOD57" s="0"/>
      <c r="JOE57" s="0"/>
      <c r="JOF57" s="0"/>
      <c r="JOG57" s="0"/>
      <c r="JOH57" s="0"/>
      <c r="JOI57" s="0"/>
      <c r="JOJ57" s="0"/>
      <c r="JOK57" s="0"/>
      <c r="JOL57" s="0"/>
      <c r="JOM57" s="0"/>
      <c r="JON57" s="0"/>
      <c r="JOO57" s="0"/>
      <c r="JOP57" s="0"/>
      <c r="JOQ57" s="0"/>
      <c r="JOR57" s="0"/>
      <c r="JOS57" s="0"/>
      <c r="JOT57" s="0"/>
      <c r="JOU57" s="0"/>
      <c r="JOV57" s="0"/>
      <c r="JOW57" s="0"/>
      <c r="JOX57" s="0"/>
      <c r="JOY57" s="0"/>
      <c r="JOZ57" s="0"/>
      <c r="JPA57" s="0"/>
      <c r="JPB57" s="0"/>
      <c r="JPC57" s="0"/>
      <c r="JPD57" s="0"/>
      <c r="JPE57" s="0"/>
      <c r="JPF57" s="0"/>
      <c r="JPG57" s="0"/>
      <c r="JPH57" s="0"/>
      <c r="JPI57" s="0"/>
      <c r="JPJ57" s="0"/>
      <c r="JPK57" s="0"/>
      <c r="JPL57" s="0"/>
      <c r="JPM57" s="0"/>
      <c r="JPN57" s="0"/>
      <c r="JPO57" s="0"/>
      <c r="JPP57" s="0"/>
      <c r="JPQ57" s="0"/>
      <c r="JPR57" s="0"/>
      <c r="JPS57" s="0"/>
      <c r="JPT57" s="0"/>
      <c r="JPU57" s="0"/>
      <c r="JPV57" s="0"/>
      <c r="JPW57" s="0"/>
      <c r="JPX57" s="0"/>
      <c r="JPY57" s="0"/>
      <c r="JPZ57" s="0"/>
      <c r="JQA57" s="0"/>
      <c r="JQB57" s="0"/>
      <c r="JQC57" s="0"/>
      <c r="JQD57" s="0"/>
      <c r="JQE57" s="0"/>
      <c r="JQF57" s="0"/>
      <c r="JQG57" s="0"/>
      <c r="JQH57" s="0"/>
      <c r="JQI57" s="0"/>
      <c r="JQJ57" s="0"/>
      <c r="JQK57" s="0"/>
      <c r="JQL57" s="0"/>
      <c r="JQM57" s="0"/>
      <c r="JQN57" s="0"/>
      <c r="JQO57" s="0"/>
      <c r="JQP57" s="0"/>
      <c r="JQQ57" s="0"/>
      <c r="JQR57" s="0"/>
      <c r="JQS57" s="0"/>
      <c r="JQT57" s="0"/>
      <c r="JQU57" s="0"/>
      <c r="JQV57" s="0"/>
      <c r="JQW57" s="0"/>
      <c r="JQX57" s="0"/>
      <c r="JQY57" s="0"/>
      <c r="JQZ57" s="0"/>
      <c r="JRA57" s="0"/>
      <c r="JRB57" s="0"/>
      <c r="JRC57" s="0"/>
      <c r="JRD57" s="0"/>
      <c r="JRE57" s="0"/>
      <c r="JRF57" s="0"/>
      <c r="JRG57" s="0"/>
      <c r="JRH57" s="0"/>
      <c r="JRI57" s="0"/>
      <c r="JRJ57" s="0"/>
      <c r="JRK57" s="0"/>
      <c r="JRL57" s="0"/>
      <c r="JRM57" s="0"/>
      <c r="JRN57" s="0"/>
      <c r="JRO57" s="0"/>
      <c r="JRP57" s="0"/>
      <c r="JRQ57" s="0"/>
      <c r="JRR57" s="0"/>
      <c r="JRS57" s="0"/>
      <c r="JRT57" s="0"/>
      <c r="JRU57" s="0"/>
      <c r="JRV57" s="0"/>
      <c r="JRW57" s="0"/>
      <c r="JRX57" s="0"/>
      <c r="JRY57" s="0"/>
      <c r="JRZ57" s="0"/>
      <c r="JSA57" s="0"/>
      <c r="JSB57" s="0"/>
      <c r="JSC57" s="0"/>
      <c r="JSD57" s="0"/>
      <c r="JSE57" s="0"/>
      <c r="JSF57" s="0"/>
      <c r="JSG57" s="0"/>
      <c r="JSH57" s="0"/>
      <c r="JSI57" s="0"/>
      <c r="JSJ57" s="0"/>
      <c r="JSK57" s="0"/>
      <c r="JSL57" s="0"/>
      <c r="JSM57" s="0"/>
      <c r="JSN57" s="0"/>
      <c r="JSO57" s="0"/>
      <c r="JSP57" s="0"/>
      <c r="JSQ57" s="0"/>
      <c r="JSR57" s="0"/>
      <c r="JSS57" s="0"/>
      <c r="JST57" s="0"/>
      <c r="JSU57" s="0"/>
      <c r="JSV57" s="0"/>
      <c r="JSW57" s="0"/>
      <c r="JSX57" s="0"/>
      <c r="JSY57" s="0"/>
      <c r="JSZ57" s="0"/>
      <c r="JTA57" s="0"/>
      <c r="JTB57" s="0"/>
      <c r="JTC57" s="0"/>
      <c r="JTD57" s="0"/>
      <c r="JTE57" s="0"/>
      <c r="JTF57" s="0"/>
      <c r="JTG57" s="0"/>
      <c r="JTH57" s="0"/>
      <c r="JTI57" s="0"/>
      <c r="JTJ57" s="0"/>
      <c r="JTK57" s="0"/>
      <c r="JTL57" s="0"/>
      <c r="JTM57" s="0"/>
      <c r="JTN57" s="0"/>
      <c r="JTO57" s="0"/>
      <c r="JTP57" s="0"/>
      <c r="JTQ57" s="0"/>
      <c r="JTR57" s="0"/>
      <c r="JTS57" s="0"/>
      <c r="JTT57" s="0"/>
      <c r="JTU57" s="0"/>
      <c r="JTV57" s="0"/>
      <c r="JTW57" s="0"/>
      <c r="JTX57" s="0"/>
      <c r="JTY57" s="0"/>
      <c r="JTZ57" s="0"/>
      <c r="JUA57" s="0"/>
      <c r="JUB57" s="0"/>
      <c r="JUC57" s="0"/>
      <c r="JUD57" s="0"/>
      <c r="JUE57" s="0"/>
      <c r="JUF57" s="0"/>
      <c r="JUG57" s="0"/>
      <c r="JUH57" s="0"/>
      <c r="JUI57" s="0"/>
      <c r="JUJ57" s="0"/>
      <c r="JUK57" s="0"/>
      <c r="JUL57" s="0"/>
      <c r="JUM57" s="0"/>
      <c r="JUN57" s="0"/>
      <c r="JUO57" s="0"/>
      <c r="JUP57" s="0"/>
      <c r="JUQ57" s="0"/>
      <c r="JUR57" s="0"/>
      <c r="JUS57" s="0"/>
      <c r="JUT57" s="0"/>
      <c r="JUU57" s="0"/>
      <c r="JUV57" s="0"/>
      <c r="JUW57" s="0"/>
      <c r="JUX57" s="0"/>
      <c r="JUY57" s="0"/>
      <c r="JUZ57" s="0"/>
      <c r="JVA57" s="0"/>
      <c r="JVB57" s="0"/>
      <c r="JVC57" s="0"/>
      <c r="JVD57" s="0"/>
      <c r="JVE57" s="0"/>
      <c r="JVF57" s="0"/>
      <c r="JVG57" s="0"/>
      <c r="JVH57" s="0"/>
      <c r="JVI57" s="0"/>
      <c r="JVJ57" s="0"/>
      <c r="JVK57" s="0"/>
      <c r="JVL57" s="0"/>
      <c r="JVM57" s="0"/>
      <c r="JVN57" s="0"/>
      <c r="JVO57" s="0"/>
      <c r="JVP57" s="0"/>
      <c r="JVQ57" s="0"/>
      <c r="JVR57" s="0"/>
      <c r="JVS57" s="0"/>
      <c r="JVT57" s="0"/>
      <c r="JVU57" s="0"/>
      <c r="JVV57" s="0"/>
      <c r="JVW57" s="0"/>
      <c r="JVX57" s="0"/>
      <c r="JVY57" s="0"/>
      <c r="JVZ57" s="0"/>
      <c r="JWA57" s="0"/>
      <c r="JWB57" s="0"/>
      <c r="JWC57" s="0"/>
      <c r="JWD57" s="0"/>
      <c r="JWE57" s="0"/>
      <c r="JWF57" s="0"/>
      <c r="JWG57" s="0"/>
      <c r="JWH57" s="0"/>
      <c r="JWI57" s="0"/>
      <c r="JWJ57" s="0"/>
      <c r="JWK57" s="0"/>
      <c r="JWL57" s="0"/>
      <c r="JWM57" s="0"/>
      <c r="JWN57" s="0"/>
      <c r="JWO57" s="0"/>
      <c r="JWP57" s="0"/>
      <c r="JWQ57" s="0"/>
      <c r="JWR57" s="0"/>
      <c r="JWS57" s="0"/>
      <c r="JWT57" s="0"/>
      <c r="JWU57" s="0"/>
      <c r="JWV57" s="0"/>
      <c r="JWW57" s="0"/>
      <c r="JWX57" s="0"/>
      <c r="JWY57" s="0"/>
      <c r="JWZ57" s="0"/>
      <c r="JXA57" s="0"/>
      <c r="JXB57" s="0"/>
      <c r="JXC57" s="0"/>
      <c r="JXD57" s="0"/>
      <c r="JXE57" s="0"/>
      <c r="JXF57" s="0"/>
      <c r="JXG57" s="0"/>
      <c r="JXH57" s="0"/>
      <c r="JXI57" s="0"/>
      <c r="JXJ57" s="0"/>
      <c r="JXK57" s="0"/>
      <c r="JXL57" s="0"/>
      <c r="JXM57" s="0"/>
      <c r="JXN57" s="0"/>
      <c r="JXO57" s="0"/>
      <c r="JXP57" s="0"/>
      <c r="JXQ57" s="0"/>
      <c r="JXR57" s="0"/>
      <c r="JXS57" s="0"/>
      <c r="JXT57" s="0"/>
      <c r="JXU57" s="0"/>
      <c r="JXV57" s="0"/>
      <c r="JXW57" s="0"/>
      <c r="JXX57" s="0"/>
      <c r="JXY57" s="0"/>
      <c r="JXZ57" s="0"/>
      <c r="JYA57" s="0"/>
      <c r="JYB57" s="0"/>
      <c r="JYC57" s="0"/>
      <c r="JYD57" s="0"/>
      <c r="JYE57" s="0"/>
      <c r="JYF57" s="0"/>
      <c r="JYG57" s="0"/>
      <c r="JYH57" s="0"/>
      <c r="JYI57" s="0"/>
      <c r="JYJ57" s="0"/>
      <c r="JYK57" s="0"/>
      <c r="JYL57" s="0"/>
      <c r="JYM57" s="0"/>
      <c r="JYN57" s="0"/>
      <c r="JYO57" s="0"/>
      <c r="JYP57" s="0"/>
      <c r="JYQ57" s="0"/>
      <c r="JYR57" s="0"/>
      <c r="JYS57" s="0"/>
      <c r="JYT57" s="0"/>
      <c r="JYU57" s="0"/>
      <c r="JYV57" s="0"/>
      <c r="JYW57" s="0"/>
      <c r="JYX57" s="0"/>
      <c r="JYY57" s="0"/>
      <c r="JYZ57" s="0"/>
      <c r="JZA57" s="0"/>
      <c r="JZB57" s="0"/>
      <c r="JZC57" s="0"/>
      <c r="JZD57" s="0"/>
      <c r="JZE57" s="0"/>
      <c r="JZF57" s="0"/>
      <c r="JZG57" s="0"/>
      <c r="JZH57" s="0"/>
      <c r="JZI57" s="0"/>
      <c r="JZJ57" s="0"/>
      <c r="JZK57" s="0"/>
      <c r="JZL57" s="0"/>
      <c r="JZM57" s="0"/>
      <c r="JZN57" s="0"/>
      <c r="JZO57" s="0"/>
      <c r="JZP57" s="0"/>
      <c r="JZQ57" s="0"/>
      <c r="JZR57" s="0"/>
      <c r="JZS57" s="0"/>
      <c r="JZT57" s="0"/>
      <c r="JZU57" s="0"/>
      <c r="JZV57" s="0"/>
      <c r="JZW57" s="0"/>
      <c r="JZX57" s="0"/>
      <c r="JZY57" s="0"/>
      <c r="JZZ57" s="0"/>
      <c r="KAA57" s="0"/>
      <c r="KAB57" s="0"/>
      <c r="KAC57" s="0"/>
      <c r="KAD57" s="0"/>
      <c r="KAE57" s="0"/>
      <c r="KAF57" s="0"/>
      <c r="KAG57" s="0"/>
      <c r="KAH57" s="0"/>
      <c r="KAI57" s="0"/>
      <c r="KAJ57" s="0"/>
      <c r="KAK57" s="0"/>
      <c r="KAL57" s="0"/>
      <c r="KAM57" s="0"/>
      <c r="KAN57" s="0"/>
      <c r="KAO57" s="0"/>
      <c r="KAP57" s="0"/>
      <c r="KAQ57" s="0"/>
      <c r="KAR57" s="0"/>
      <c r="KAS57" s="0"/>
      <c r="KAT57" s="0"/>
      <c r="KAU57" s="0"/>
      <c r="KAV57" s="0"/>
      <c r="KAW57" s="0"/>
      <c r="KAX57" s="0"/>
      <c r="KAY57" s="0"/>
      <c r="KAZ57" s="0"/>
      <c r="KBA57" s="0"/>
      <c r="KBB57" s="0"/>
      <c r="KBC57" s="0"/>
      <c r="KBD57" s="0"/>
      <c r="KBE57" s="0"/>
      <c r="KBF57" s="0"/>
      <c r="KBG57" s="0"/>
      <c r="KBH57" s="0"/>
      <c r="KBI57" s="0"/>
      <c r="KBJ57" s="0"/>
      <c r="KBK57" s="0"/>
      <c r="KBL57" s="0"/>
      <c r="KBM57" s="0"/>
      <c r="KBN57" s="0"/>
      <c r="KBO57" s="0"/>
      <c r="KBP57" s="0"/>
      <c r="KBQ57" s="0"/>
      <c r="KBR57" s="0"/>
      <c r="KBS57" s="0"/>
      <c r="KBT57" s="0"/>
      <c r="KBU57" s="0"/>
      <c r="KBV57" s="0"/>
      <c r="KBW57" s="0"/>
      <c r="KBX57" s="0"/>
      <c r="KBY57" s="0"/>
      <c r="KBZ57" s="0"/>
      <c r="KCA57" s="0"/>
      <c r="KCB57" s="0"/>
      <c r="KCC57" s="0"/>
      <c r="KCD57" s="0"/>
      <c r="KCE57" s="0"/>
      <c r="KCF57" s="0"/>
      <c r="KCG57" s="0"/>
      <c r="KCH57" s="0"/>
      <c r="KCI57" s="0"/>
      <c r="KCJ57" s="0"/>
      <c r="KCK57" s="0"/>
      <c r="KCL57" s="0"/>
      <c r="KCM57" s="0"/>
      <c r="KCN57" s="0"/>
      <c r="KCO57" s="0"/>
      <c r="KCP57" s="0"/>
      <c r="KCQ57" s="0"/>
      <c r="KCR57" s="0"/>
      <c r="KCS57" s="0"/>
      <c r="KCT57" s="0"/>
      <c r="KCU57" s="0"/>
      <c r="KCV57" s="0"/>
      <c r="KCW57" s="0"/>
      <c r="KCX57" s="0"/>
      <c r="KCY57" s="0"/>
      <c r="KCZ57" s="0"/>
      <c r="KDA57" s="0"/>
      <c r="KDB57" s="0"/>
      <c r="KDC57" s="0"/>
      <c r="KDD57" s="0"/>
      <c r="KDE57" s="0"/>
      <c r="KDF57" s="0"/>
      <c r="KDG57" s="0"/>
      <c r="KDH57" s="0"/>
      <c r="KDI57" s="0"/>
      <c r="KDJ57" s="0"/>
      <c r="KDK57" s="0"/>
      <c r="KDL57" s="0"/>
      <c r="KDM57" s="0"/>
      <c r="KDN57" s="0"/>
      <c r="KDO57" s="0"/>
      <c r="KDP57" s="0"/>
      <c r="KDQ57" s="0"/>
      <c r="KDR57" s="0"/>
      <c r="KDS57" s="0"/>
      <c r="KDT57" s="0"/>
      <c r="KDU57" s="0"/>
      <c r="KDV57" s="0"/>
      <c r="KDW57" s="0"/>
      <c r="KDX57" s="0"/>
      <c r="KDY57" s="0"/>
      <c r="KDZ57" s="0"/>
      <c r="KEA57" s="0"/>
      <c r="KEB57" s="0"/>
      <c r="KEC57" s="0"/>
      <c r="KED57" s="0"/>
      <c r="KEE57" s="0"/>
      <c r="KEF57" s="0"/>
      <c r="KEG57" s="0"/>
      <c r="KEH57" s="0"/>
      <c r="KEI57" s="0"/>
      <c r="KEJ57" s="0"/>
      <c r="KEK57" s="0"/>
      <c r="KEL57" s="0"/>
      <c r="KEM57" s="0"/>
      <c r="KEN57" s="0"/>
      <c r="KEO57" s="0"/>
      <c r="KEP57" s="0"/>
      <c r="KEQ57" s="0"/>
      <c r="KER57" s="0"/>
      <c r="KES57" s="0"/>
      <c r="KET57" s="0"/>
      <c r="KEU57" s="0"/>
      <c r="KEV57" s="0"/>
      <c r="KEW57" s="0"/>
      <c r="KEX57" s="0"/>
      <c r="KEY57" s="0"/>
      <c r="KEZ57" s="0"/>
      <c r="KFA57" s="0"/>
      <c r="KFB57" s="0"/>
      <c r="KFC57" s="0"/>
      <c r="KFD57" s="0"/>
      <c r="KFE57" s="0"/>
      <c r="KFF57" s="0"/>
      <c r="KFG57" s="0"/>
      <c r="KFH57" s="0"/>
      <c r="KFI57" s="0"/>
      <c r="KFJ57" s="0"/>
      <c r="KFK57" s="0"/>
      <c r="KFL57" s="0"/>
      <c r="KFM57" s="0"/>
      <c r="KFN57" s="0"/>
      <c r="KFO57" s="0"/>
      <c r="KFP57" s="0"/>
      <c r="KFQ57" s="0"/>
      <c r="KFR57" s="0"/>
      <c r="KFS57" s="0"/>
      <c r="KFT57" s="0"/>
      <c r="KFU57" s="0"/>
      <c r="KFV57" s="0"/>
      <c r="KFW57" s="0"/>
      <c r="KFX57" s="0"/>
      <c r="KFY57" s="0"/>
      <c r="KFZ57" s="0"/>
      <c r="KGA57" s="0"/>
      <c r="KGB57" s="0"/>
      <c r="KGC57" s="0"/>
      <c r="KGD57" s="0"/>
      <c r="KGE57" s="0"/>
      <c r="KGF57" s="0"/>
      <c r="KGG57" s="0"/>
      <c r="KGH57" s="0"/>
      <c r="KGI57" s="0"/>
      <c r="KGJ57" s="0"/>
      <c r="KGK57" s="0"/>
      <c r="KGL57" s="0"/>
      <c r="KGM57" s="0"/>
      <c r="KGN57" s="0"/>
      <c r="KGO57" s="0"/>
      <c r="KGP57" s="0"/>
      <c r="KGQ57" s="0"/>
      <c r="KGR57" s="0"/>
      <c r="KGS57" s="0"/>
      <c r="KGT57" s="0"/>
      <c r="KGU57" s="0"/>
      <c r="KGV57" s="0"/>
      <c r="KGW57" s="0"/>
      <c r="KGX57" s="0"/>
      <c r="KGY57" s="0"/>
      <c r="KGZ57" s="0"/>
      <c r="KHA57" s="0"/>
      <c r="KHB57" s="0"/>
      <c r="KHC57" s="0"/>
      <c r="KHD57" s="0"/>
      <c r="KHE57" s="0"/>
      <c r="KHF57" s="0"/>
      <c r="KHG57" s="0"/>
      <c r="KHH57" s="0"/>
      <c r="KHI57" s="0"/>
      <c r="KHJ57" s="0"/>
      <c r="KHK57" s="0"/>
      <c r="KHL57" s="0"/>
      <c r="KHM57" s="0"/>
      <c r="KHN57" s="0"/>
      <c r="KHO57" s="0"/>
      <c r="KHP57" s="0"/>
      <c r="KHQ57" s="0"/>
      <c r="KHR57" s="0"/>
      <c r="KHS57" s="0"/>
      <c r="KHT57" s="0"/>
      <c r="KHU57" s="0"/>
      <c r="KHV57" s="0"/>
      <c r="KHW57" s="0"/>
      <c r="KHX57" s="0"/>
      <c r="KHY57" s="0"/>
      <c r="KHZ57" s="0"/>
      <c r="KIA57" s="0"/>
      <c r="KIB57" s="0"/>
      <c r="KIC57" s="0"/>
      <c r="KID57" s="0"/>
      <c r="KIE57" s="0"/>
      <c r="KIF57" s="0"/>
      <c r="KIG57" s="0"/>
      <c r="KIH57" s="0"/>
      <c r="KII57" s="0"/>
      <c r="KIJ57" s="0"/>
      <c r="KIK57" s="0"/>
      <c r="KIL57" s="0"/>
      <c r="KIM57" s="0"/>
      <c r="KIN57" s="0"/>
      <c r="KIO57" s="0"/>
      <c r="KIP57" s="0"/>
      <c r="KIQ57" s="0"/>
      <c r="KIR57" s="0"/>
      <c r="KIS57" s="0"/>
      <c r="KIT57" s="0"/>
      <c r="KIU57" s="0"/>
      <c r="KIV57" s="0"/>
      <c r="KIW57" s="0"/>
      <c r="KIX57" s="0"/>
      <c r="KIY57" s="0"/>
      <c r="KIZ57" s="0"/>
      <c r="KJA57" s="0"/>
      <c r="KJB57" s="0"/>
      <c r="KJC57" s="0"/>
      <c r="KJD57" s="0"/>
      <c r="KJE57" s="0"/>
      <c r="KJF57" s="0"/>
      <c r="KJG57" s="0"/>
      <c r="KJH57" s="0"/>
      <c r="KJI57" s="0"/>
      <c r="KJJ57" s="0"/>
      <c r="KJK57" s="0"/>
      <c r="KJL57" s="0"/>
      <c r="KJM57" s="0"/>
      <c r="KJN57" s="0"/>
      <c r="KJO57" s="0"/>
      <c r="KJP57" s="0"/>
      <c r="KJQ57" s="0"/>
      <c r="KJR57" s="0"/>
      <c r="KJS57" s="0"/>
      <c r="KJT57" s="0"/>
      <c r="KJU57" s="0"/>
      <c r="KJV57" s="0"/>
      <c r="KJW57" s="0"/>
      <c r="KJX57" s="0"/>
      <c r="KJY57" s="0"/>
      <c r="KJZ57" s="0"/>
      <c r="KKA57" s="0"/>
      <c r="KKB57" s="0"/>
      <c r="KKC57" s="0"/>
      <c r="KKD57" s="0"/>
      <c r="KKE57" s="0"/>
      <c r="KKF57" s="0"/>
      <c r="KKG57" s="0"/>
      <c r="KKH57" s="0"/>
      <c r="KKI57" s="0"/>
      <c r="KKJ57" s="0"/>
      <c r="KKK57" s="0"/>
      <c r="KKL57" s="0"/>
      <c r="KKM57" s="0"/>
      <c r="KKN57" s="0"/>
      <c r="KKO57" s="0"/>
      <c r="KKP57" s="0"/>
      <c r="KKQ57" s="0"/>
      <c r="KKR57" s="0"/>
      <c r="KKS57" s="0"/>
      <c r="KKT57" s="0"/>
      <c r="KKU57" s="0"/>
      <c r="KKV57" s="0"/>
      <c r="KKW57" s="0"/>
      <c r="KKX57" s="0"/>
      <c r="KKY57" s="0"/>
      <c r="KKZ57" s="0"/>
      <c r="KLA57" s="0"/>
      <c r="KLB57" s="0"/>
      <c r="KLC57" s="0"/>
      <c r="KLD57" s="0"/>
      <c r="KLE57" s="0"/>
      <c r="KLF57" s="0"/>
      <c r="KLG57" s="0"/>
      <c r="KLH57" s="0"/>
      <c r="KLI57" s="0"/>
      <c r="KLJ57" s="0"/>
      <c r="KLK57" s="0"/>
      <c r="KLL57" s="0"/>
      <c r="KLM57" s="0"/>
      <c r="KLN57" s="0"/>
      <c r="KLO57" s="0"/>
      <c r="KLP57" s="0"/>
      <c r="KLQ57" s="0"/>
      <c r="KLR57" s="0"/>
      <c r="KLS57" s="0"/>
      <c r="KLT57" s="0"/>
      <c r="KLU57" s="0"/>
      <c r="KLV57" s="0"/>
      <c r="KLW57" s="0"/>
      <c r="KLX57" s="0"/>
      <c r="KLY57" s="0"/>
      <c r="KLZ57" s="0"/>
      <c r="KMA57" s="0"/>
      <c r="KMB57" s="0"/>
      <c r="KMC57" s="0"/>
      <c r="KMD57" s="0"/>
      <c r="KME57" s="0"/>
      <c r="KMF57" s="0"/>
      <c r="KMG57" s="0"/>
      <c r="KMH57" s="0"/>
      <c r="KMI57" s="0"/>
      <c r="KMJ57" s="0"/>
      <c r="KMK57" s="0"/>
      <c r="KML57" s="0"/>
      <c r="KMM57" s="0"/>
      <c r="KMN57" s="0"/>
      <c r="KMO57" s="0"/>
      <c r="KMP57" s="0"/>
      <c r="KMQ57" s="0"/>
      <c r="KMR57" s="0"/>
      <c r="KMS57" s="0"/>
      <c r="KMT57" s="0"/>
      <c r="KMU57" s="0"/>
      <c r="KMV57" s="0"/>
      <c r="KMW57" s="0"/>
      <c r="KMX57" s="0"/>
      <c r="KMY57" s="0"/>
      <c r="KMZ57" s="0"/>
      <c r="KNA57" s="0"/>
      <c r="KNB57" s="0"/>
      <c r="KNC57" s="0"/>
      <c r="KND57" s="0"/>
      <c r="KNE57" s="0"/>
      <c r="KNF57" s="0"/>
      <c r="KNG57" s="0"/>
      <c r="KNH57" s="0"/>
      <c r="KNI57" s="0"/>
      <c r="KNJ57" s="0"/>
      <c r="KNK57" s="0"/>
      <c r="KNL57" s="0"/>
      <c r="KNM57" s="0"/>
      <c r="KNN57" s="0"/>
      <c r="KNO57" s="0"/>
      <c r="KNP57" s="0"/>
      <c r="KNQ57" s="0"/>
      <c r="KNR57" s="0"/>
      <c r="KNS57" s="0"/>
      <c r="KNT57" s="0"/>
      <c r="KNU57" s="0"/>
      <c r="KNV57" s="0"/>
      <c r="KNW57" s="0"/>
      <c r="KNX57" s="0"/>
      <c r="KNY57" s="0"/>
      <c r="KNZ57" s="0"/>
      <c r="KOA57" s="0"/>
      <c r="KOB57" s="0"/>
      <c r="KOC57" s="0"/>
      <c r="KOD57" s="0"/>
      <c r="KOE57" s="0"/>
      <c r="KOF57" s="0"/>
      <c r="KOG57" s="0"/>
      <c r="KOH57" s="0"/>
      <c r="KOI57" s="0"/>
      <c r="KOJ57" s="0"/>
      <c r="KOK57" s="0"/>
      <c r="KOL57" s="0"/>
      <c r="KOM57" s="0"/>
      <c r="KON57" s="0"/>
      <c r="KOO57" s="0"/>
      <c r="KOP57" s="0"/>
      <c r="KOQ57" s="0"/>
      <c r="KOR57" s="0"/>
      <c r="KOS57" s="0"/>
      <c r="KOT57" s="0"/>
      <c r="KOU57" s="0"/>
      <c r="KOV57" s="0"/>
      <c r="KOW57" s="0"/>
      <c r="KOX57" s="0"/>
      <c r="KOY57" s="0"/>
      <c r="KOZ57" s="0"/>
      <c r="KPA57" s="0"/>
      <c r="KPB57" s="0"/>
      <c r="KPC57" s="0"/>
      <c r="KPD57" s="0"/>
      <c r="KPE57" s="0"/>
      <c r="KPF57" s="0"/>
      <c r="KPG57" s="0"/>
      <c r="KPH57" s="0"/>
      <c r="KPI57" s="0"/>
      <c r="KPJ57" s="0"/>
      <c r="KPK57" s="0"/>
      <c r="KPL57" s="0"/>
      <c r="KPM57" s="0"/>
      <c r="KPN57" s="0"/>
      <c r="KPO57" s="0"/>
      <c r="KPP57" s="0"/>
      <c r="KPQ57" s="0"/>
      <c r="KPR57" s="0"/>
      <c r="KPS57" s="0"/>
      <c r="KPT57" s="0"/>
      <c r="KPU57" s="0"/>
      <c r="KPV57" s="0"/>
      <c r="KPW57" s="0"/>
      <c r="KPX57" s="0"/>
      <c r="KPY57" s="0"/>
      <c r="KPZ57" s="0"/>
      <c r="KQA57" s="0"/>
      <c r="KQB57" s="0"/>
      <c r="KQC57" s="0"/>
      <c r="KQD57" s="0"/>
      <c r="KQE57" s="0"/>
      <c r="KQF57" s="0"/>
      <c r="KQG57" s="0"/>
      <c r="KQH57" s="0"/>
      <c r="KQI57" s="0"/>
      <c r="KQJ57" s="0"/>
      <c r="KQK57" s="0"/>
      <c r="KQL57" s="0"/>
      <c r="KQM57" s="0"/>
      <c r="KQN57" s="0"/>
      <c r="KQO57" s="0"/>
      <c r="KQP57" s="0"/>
      <c r="KQQ57" s="0"/>
      <c r="KQR57" s="0"/>
      <c r="KQS57" s="0"/>
      <c r="KQT57" s="0"/>
      <c r="KQU57" s="0"/>
      <c r="KQV57" s="0"/>
      <c r="KQW57" s="0"/>
      <c r="KQX57" s="0"/>
      <c r="KQY57" s="0"/>
      <c r="KQZ57" s="0"/>
      <c r="KRA57" s="0"/>
      <c r="KRB57" s="0"/>
      <c r="KRC57" s="0"/>
      <c r="KRD57" s="0"/>
      <c r="KRE57" s="0"/>
      <c r="KRF57" s="0"/>
      <c r="KRG57" s="0"/>
      <c r="KRH57" s="0"/>
      <c r="KRI57" s="0"/>
      <c r="KRJ57" s="0"/>
      <c r="KRK57" s="0"/>
      <c r="KRL57" s="0"/>
      <c r="KRM57" s="0"/>
      <c r="KRN57" s="0"/>
      <c r="KRO57" s="0"/>
      <c r="KRP57" s="0"/>
      <c r="KRQ57" s="0"/>
      <c r="KRR57" s="0"/>
      <c r="KRS57" s="0"/>
      <c r="KRT57" s="0"/>
      <c r="KRU57" s="0"/>
      <c r="KRV57" s="0"/>
      <c r="KRW57" s="0"/>
      <c r="KRX57" s="0"/>
      <c r="KRY57" s="0"/>
      <c r="KRZ57" s="0"/>
      <c r="KSA57" s="0"/>
      <c r="KSB57" s="0"/>
      <c r="KSC57" s="0"/>
      <c r="KSD57" s="0"/>
      <c r="KSE57" s="0"/>
      <c r="KSF57" s="0"/>
      <c r="KSG57" s="0"/>
      <c r="KSH57" s="0"/>
      <c r="KSI57" s="0"/>
      <c r="KSJ57" s="0"/>
      <c r="KSK57" s="0"/>
      <c r="KSL57" s="0"/>
      <c r="KSM57" s="0"/>
      <c r="KSN57" s="0"/>
      <c r="KSO57" s="0"/>
      <c r="KSP57" s="0"/>
      <c r="KSQ57" s="0"/>
      <c r="KSR57" s="0"/>
      <c r="KSS57" s="0"/>
      <c r="KST57" s="0"/>
      <c r="KSU57" s="0"/>
      <c r="KSV57" s="0"/>
      <c r="KSW57" s="0"/>
      <c r="KSX57" s="0"/>
      <c r="KSY57" s="0"/>
      <c r="KSZ57" s="0"/>
      <c r="KTA57" s="0"/>
      <c r="KTB57" s="0"/>
      <c r="KTC57" s="0"/>
      <c r="KTD57" s="0"/>
      <c r="KTE57" s="0"/>
      <c r="KTF57" s="0"/>
      <c r="KTG57" s="0"/>
      <c r="KTH57" s="0"/>
      <c r="KTI57" s="0"/>
      <c r="KTJ57" s="0"/>
      <c r="KTK57" s="0"/>
      <c r="KTL57" s="0"/>
      <c r="KTM57" s="0"/>
      <c r="KTN57" s="0"/>
      <c r="KTO57" s="0"/>
      <c r="KTP57" s="0"/>
      <c r="KTQ57" s="0"/>
      <c r="KTR57" s="0"/>
      <c r="KTS57" s="0"/>
      <c r="KTT57" s="0"/>
      <c r="KTU57" s="0"/>
      <c r="KTV57" s="0"/>
      <c r="KTW57" s="0"/>
      <c r="KTX57" s="0"/>
      <c r="KTY57" s="0"/>
      <c r="KTZ57" s="0"/>
      <c r="KUA57" s="0"/>
      <c r="KUB57" s="0"/>
      <c r="KUC57" s="0"/>
      <c r="KUD57" s="0"/>
      <c r="KUE57" s="0"/>
      <c r="KUF57" s="0"/>
      <c r="KUG57" s="0"/>
      <c r="KUH57" s="0"/>
      <c r="KUI57" s="0"/>
      <c r="KUJ57" s="0"/>
      <c r="KUK57" s="0"/>
      <c r="KUL57" s="0"/>
      <c r="KUM57" s="0"/>
      <c r="KUN57" s="0"/>
      <c r="KUO57" s="0"/>
      <c r="KUP57" s="0"/>
      <c r="KUQ57" s="0"/>
      <c r="KUR57" s="0"/>
      <c r="KUS57" s="0"/>
      <c r="KUT57" s="0"/>
      <c r="KUU57" s="0"/>
      <c r="KUV57" s="0"/>
      <c r="KUW57" s="0"/>
      <c r="KUX57" s="0"/>
      <c r="KUY57" s="0"/>
      <c r="KUZ57" s="0"/>
      <c r="KVA57" s="0"/>
      <c r="KVB57" s="0"/>
      <c r="KVC57" s="0"/>
      <c r="KVD57" s="0"/>
      <c r="KVE57" s="0"/>
      <c r="KVF57" s="0"/>
      <c r="KVG57" s="0"/>
      <c r="KVH57" s="0"/>
      <c r="KVI57" s="0"/>
      <c r="KVJ57" s="0"/>
      <c r="KVK57" s="0"/>
      <c r="KVL57" s="0"/>
      <c r="KVM57" s="0"/>
      <c r="KVN57" s="0"/>
      <c r="KVO57" s="0"/>
      <c r="KVP57" s="0"/>
      <c r="KVQ57" s="0"/>
      <c r="KVR57" s="0"/>
      <c r="KVS57" s="0"/>
      <c r="KVT57" s="0"/>
      <c r="KVU57" s="0"/>
      <c r="KVV57" s="0"/>
      <c r="KVW57" s="0"/>
      <c r="KVX57" s="0"/>
      <c r="KVY57" s="0"/>
      <c r="KVZ57" s="0"/>
      <c r="KWA57" s="0"/>
      <c r="KWB57" s="0"/>
      <c r="KWC57" s="0"/>
      <c r="KWD57" s="0"/>
      <c r="KWE57" s="0"/>
      <c r="KWF57" s="0"/>
      <c r="KWG57" s="0"/>
      <c r="KWH57" s="0"/>
      <c r="KWI57" s="0"/>
      <c r="KWJ57" s="0"/>
      <c r="KWK57" s="0"/>
      <c r="KWL57" s="0"/>
      <c r="KWM57" s="0"/>
      <c r="KWN57" s="0"/>
      <c r="KWO57" s="0"/>
      <c r="KWP57" s="0"/>
      <c r="KWQ57" s="0"/>
      <c r="KWR57" s="0"/>
      <c r="KWS57" s="0"/>
      <c r="KWT57" s="0"/>
      <c r="KWU57" s="0"/>
      <c r="KWV57" s="0"/>
      <c r="KWW57" s="0"/>
      <c r="KWX57" s="0"/>
      <c r="KWY57" s="0"/>
      <c r="KWZ57" s="0"/>
      <c r="KXA57" s="0"/>
      <c r="KXB57" s="0"/>
      <c r="KXC57" s="0"/>
      <c r="KXD57" s="0"/>
      <c r="KXE57" s="0"/>
      <c r="KXF57" s="0"/>
      <c r="KXG57" s="0"/>
      <c r="KXH57" s="0"/>
      <c r="KXI57" s="0"/>
      <c r="KXJ57" s="0"/>
      <c r="KXK57" s="0"/>
      <c r="KXL57" s="0"/>
      <c r="KXM57" s="0"/>
      <c r="KXN57" s="0"/>
      <c r="KXO57" s="0"/>
      <c r="KXP57" s="0"/>
      <c r="KXQ57" s="0"/>
      <c r="KXR57" s="0"/>
      <c r="KXS57" s="0"/>
      <c r="KXT57" s="0"/>
      <c r="KXU57" s="0"/>
      <c r="KXV57" s="0"/>
      <c r="KXW57" s="0"/>
      <c r="KXX57" s="0"/>
      <c r="KXY57" s="0"/>
      <c r="KXZ57" s="0"/>
      <c r="KYA57" s="0"/>
      <c r="KYB57" s="0"/>
      <c r="KYC57" s="0"/>
      <c r="KYD57" s="0"/>
      <c r="KYE57" s="0"/>
      <c r="KYF57" s="0"/>
      <c r="KYG57" s="0"/>
      <c r="KYH57" s="0"/>
      <c r="KYI57" s="0"/>
      <c r="KYJ57" s="0"/>
      <c r="KYK57" s="0"/>
      <c r="KYL57" s="0"/>
      <c r="KYM57" s="0"/>
      <c r="KYN57" s="0"/>
      <c r="KYO57" s="0"/>
      <c r="KYP57" s="0"/>
      <c r="KYQ57" s="0"/>
      <c r="KYR57" s="0"/>
      <c r="KYS57" s="0"/>
      <c r="KYT57" s="0"/>
      <c r="KYU57" s="0"/>
      <c r="KYV57" s="0"/>
      <c r="KYW57" s="0"/>
      <c r="KYX57" s="0"/>
      <c r="KYY57" s="0"/>
      <c r="KYZ57" s="0"/>
      <c r="KZA57" s="0"/>
      <c r="KZB57" s="0"/>
      <c r="KZC57" s="0"/>
      <c r="KZD57" s="0"/>
      <c r="KZE57" s="0"/>
      <c r="KZF57" s="0"/>
      <c r="KZG57" s="0"/>
      <c r="KZH57" s="0"/>
      <c r="KZI57" s="0"/>
      <c r="KZJ57" s="0"/>
      <c r="KZK57" s="0"/>
      <c r="KZL57" s="0"/>
      <c r="KZM57" s="0"/>
      <c r="KZN57" s="0"/>
      <c r="KZO57" s="0"/>
      <c r="KZP57" s="0"/>
      <c r="KZQ57" s="0"/>
      <c r="KZR57" s="0"/>
      <c r="KZS57" s="0"/>
      <c r="KZT57" s="0"/>
      <c r="KZU57" s="0"/>
      <c r="KZV57" s="0"/>
      <c r="KZW57" s="0"/>
      <c r="KZX57" s="0"/>
      <c r="KZY57" s="0"/>
      <c r="KZZ57" s="0"/>
      <c r="LAA57" s="0"/>
      <c r="LAB57" s="0"/>
      <c r="LAC57" s="0"/>
      <c r="LAD57" s="0"/>
      <c r="LAE57" s="0"/>
      <c r="LAF57" s="0"/>
      <c r="LAG57" s="0"/>
      <c r="LAH57" s="0"/>
      <c r="LAI57" s="0"/>
      <c r="LAJ57" s="0"/>
      <c r="LAK57" s="0"/>
      <c r="LAL57" s="0"/>
      <c r="LAM57" s="0"/>
      <c r="LAN57" s="0"/>
      <c r="LAO57" s="0"/>
      <c r="LAP57" s="0"/>
      <c r="LAQ57" s="0"/>
      <c r="LAR57" s="0"/>
      <c r="LAS57" s="0"/>
      <c r="LAT57" s="0"/>
      <c r="LAU57" s="0"/>
      <c r="LAV57" s="0"/>
      <c r="LAW57" s="0"/>
      <c r="LAX57" s="0"/>
      <c r="LAY57" s="0"/>
      <c r="LAZ57" s="0"/>
      <c r="LBA57" s="0"/>
      <c r="LBB57" s="0"/>
      <c r="LBC57" s="0"/>
      <c r="LBD57" s="0"/>
      <c r="LBE57" s="0"/>
      <c r="LBF57" s="0"/>
      <c r="LBG57" s="0"/>
      <c r="LBH57" s="0"/>
      <c r="LBI57" s="0"/>
      <c r="LBJ57" s="0"/>
      <c r="LBK57" s="0"/>
      <c r="LBL57" s="0"/>
      <c r="LBM57" s="0"/>
      <c r="LBN57" s="0"/>
      <c r="LBO57" s="0"/>
      <c r="LBP57" s="0"/>
      <c r="LBQ57" s="0"/>
      <c r="LBR57" s="0"/>
      <c r="LBS57" s="0"/>
      <c r="LBT57" s="0"/>
      <c r="LBU57" s="0"/>
      <c r="LBV57" s="0"/>
      <c r="LBW57" s="0"/>
      <c r="LBX57" s="0"/>
      <c r="LBY57" s="0"/>
      <c r="LBZ57" s="0"/>
      <c r="LCA57" s="0"/>
      <c r="LCB57" s="0"/>
      <c r="LCC57" s="0"/>
      <c r="LCD57" s="0"/>
      <c r="LCE57" s="0"/>
      <c r="LCF57" s="0"/>
      <c r="LCG57" s="0"/>
      <c r="LCH57" s="0"/>
      <c r="LCI57" s="0"/>
      <c r="LCJ57" s="0"/>
      <c r="LCK57" s="0"/>
      <c r="LCL57" s="0"/>
      <c r="LCM57" s="0"/>
      <c r="LCN57" s="0"/>
      <c r="LCO57" s="0"/>
      <c r="LCP57" s="0"/>
      <c r="LCQ57" s="0"/>
      <c r="LCR57" s="0"/>
      <c r="LCS57" s="0"/>
      <c r="LCT57" s="0"/>
      <c r="LCU57" s="0"/>
      <c r="LCV57" s="0"/>
      <c r="LCW57" s="0"/>
      <c r="LCX57" s="0"/>
      <c r="LCY57" s="0"/>
      <c r="LCZ57" s="0"/>
      <c r="LDA57" s="0"/>
      <c r="LDB57" s="0"/>
      <c r="LDC57" s="0"/>
      <c r="LDD57" s="0"/>
      <c r="LDE57" s="0"/>
      <c r="LDF57" s="0"/>
      <c r="LDG57" s="0"/>
      <c r="LDH57" s="0"/>
      <c r="LDI57" s="0"/>
      <c r="LDJ57" s="0"/>
      <c r="LDK57" s="0"/>
      <c r="LDL57" s="0"/>
      <c r="LDM57" s="0"/>
      <c r="LDN57" s="0"/>
      <c r="LDO57" s="0"/>
      <c r="LDP57" s="0"/>
      <c r="LDQ57" s="0"/>
      <c r="LDR57" s="0"/>
      <c r="LDS57" s="0"/>
      <c r="LDT57" s="0"/>
      <c r="LDU57" s="0"/>
      <c r="LDV57" s="0"/>
      <c r="LDW57" s="0"/>
      <c r="LDX57" s="0"/>
      <c r="LDY57" s="0"/>
      <c r="LDZ57" s="0"/>
      <c r="LEA57" s="0"/>
      <c r="LEB57" s="0"/>
      <c r="LEC57" s="0"/>
      <c r="LED57" s="0"/>
      <c r="LEE57" s="0"/>
      <c r="LEF57" s="0"/>
      <c r="LEG57" s="0"/>
      <c r="LEH57" s="0"/>
      <c r="LEI57" s="0"/>
      <c r="LEJ57" s="0"/>
      <c r="LEK57" s="0"/>
      <c r="LEL57" s="0"/>
      <c r="LEM57" s="0"/>
      <c r="LEN57" s="0"/>
      <c r="LEO57" s="0"/>
      <c r="LEP57" s="0"/>
      <c r="LEQ57" s="0"/>
      <c r="LER57" s="0"/>
      <c r="LES57" s="0"/>
      <c r="LET57" s="0"/>
      <c r="LEU57" s="0"/>
      <c r="LEV57" s="0"/>
      <c r="LEW57" s="0"/>
      <c r="LEX57" s="0"/>
      <c r="LEY57" s="0"/>
      <c r="LEZ57" s="0"/>
      <c r="LFA57" s="0"/>
      <c r="LFB57" s="0"/>
      <c r="LFC57" s="0"/>
      <c r="LFD57" s="0"/>
      <c r="LFE57" s="0"/>
      <c r="LFF57" s="0"/>
      <c r="LFG57" s="0"/>
      <c r="LFH57" s="0"/>
      <c r="LFI57" s="0"/>
      <c r="LFJ57" s="0"/>
      <c r="LFK57" s="0"/>
      <c r="LFL57" s="0"/>
      <c r="LFM57" s="0"/>
      <c r="LFN57" s="0"/>
      <c r="LFO57" s="0"/>
      <c r="LFP57" s="0"/>
      <c r="LFQ57" s="0"/>
      <c r="LFR57" s="0"/>
      <c r="LFS57" s="0"/>
      <c r="LFT57" s="0"/>
      <c r="LFU57" s="0"/>
      <c r="LFV57" s="0"/>
      <c r="LFW57" s="0"/>
      <c r="LFX57" s="0"/>
      <c r="LFY57" s="0"/>
      <c r="LFZ57" s="0"/>
      <c r="LGA57" s="0"/>
      <c r="LGB57" s="0"/>
      <c r="LGC57" s="0"/>
      <c r="LGD57" s="0"/>
      <c r="LGE57" s="0"/>
      <c r="LGF57" s="0"/>
      <c r="LGG57" s="0"/>
      <c r="LGH57" s="0"/>
      <c r="LGI57" s="0"/>
      <c r="LGJ57" s="0"/>
      <c r="LGK57" s="0"/>
      <c r="LGL57" s="0"/>
      <c r="LGM57" s="0"/>
      <c r="LGN57" s="0"/>
      <c r="LGO57" s="0"/>
      <c r="LGP57" s="0"/>
      <c r="LGQ57" s="0"/>
      <c r="LGR57" s="0"/>
      <c r="LGS57" s="0"/>
      <c r="LGT57" s="0"/>
      <c r="LGU57" s="0"/>
      <c r="LGV57" s="0"/>
      <c r="LGW57" s="0"/>
      <c r="LGX57" s="0"/>
      <c r="LGY57" s="0"/>
      <c r="LGZ57" s="0"/>
      <c r="LHA57" s="0"/>
      <c r="LHB57" s="0"/>
      <c r="LHC57" s="0"/>
      <c r="LHD57" s="0"/>
      <c r="LHE57" s="0"/>
      <c r="LHF57" s="0"/>
      <c r="LHG57" s="0"/>
      <c r="LHH57" s="0"/>
      <c r="LHI57" s="0"/>
      <c r="LHJ57" s="0"/>
      <c r="LHK57" s="0"/>
      <c r="LHL57" s="0"/>
      <c r="LHM57" s="0"/>
      <c r="LHN57" s="0"/>
      <c r="LHO57" s="0"/>
      <c r="LHP57" s="0"/>
      <c r="LHQ57" s="0"/>
      <c r="LHR57" s="0"/>
      <c r="LHS57" s="0"/>
      <c r="LHT57" s="0"/>
      <c r="LHU57" s="0"/>
      <c r="LHV57" s="0"/>
      <c r="LHW57" s="0"/>
      <c r="LHX57" s="0"/>
      <c r="LHY57" s="0"/>
      <c r="LHZ57" s="0"/>
      <c r="LIA57" s="0"/>
      <c r="LIB57" s="0"/>
      <c r="LIC57" s="0"/>
      <c r="LID57" s="0"/>
      <c r="LIE57" s="0"/>
      <c r="LIF57" s="0"/>
      <c r="LIG57" s="0"/>
      <c r="LIH57" s="0"/>
      <c r="LII57" s="0"/>
      <c r="LIJ57" s="0"/>
      <c r="LIK57" s="0"/>
      <c r="LIL57" s="0"/>
      <c r="LIM57" s="0"/>
      <c r="LIN57" s="0"/>
      <c r="LIO57" s="0"/>
      <c r="LIP57" s="0"/>
      <c r="LIQ57" s="0"/>
      <c r="LIR57" s="0"/>
      <c r="LIS57" s="0"/>
      <c r="LIT57" s="0"/>
      <c r="LIU57" s="0"/>
      <c r="LIV57" s="0"/>
      <c r="LIW57" s="0"/>
      <c r="LIX57" s="0"/>
      <c r="LIY57" s="0"/>
      <c r="LIZ57" s="0"/>
      <c r="LJA57" s="0"/>
      <c r="LJB57" s="0"/>
      <c r="LJC57" s="0"/>
      <c r="LJD57" s="0"/>
      <c r="LJE57" s="0"/>
      <c r="LJF57" s="0"/>
      <c r="LJG57" s="0"/>
      <c r="LJH57" s="0"/>
      <c r="LJI57" s="0"/>
      <c r="LJJ57" s="0"/>
      <c r="LJK57" s="0"/>
      <c r="LJL57" s="0"/>
      <c r="LJM57" s="0"/>
      <c r="LJN57" s="0"/>
      <c r="LJO57" s="0"/>
      <c r="LJP57" s="0"/>
      <c r="LJQ57" s="0"/>
      <c r="LJR57" s="0"/>
      <c r="LJS57" s="0"/>
      <c r="LJT57" s="0"/>
      <c r="LJU57" s="0"/>
      <c r="LJV57" s="0"/>
      <c r="LJW57" s="0"/>
      <c r="LJX57" s="0"/>
      <c r="LJY57" s="0"/>
      <c r="LJZ57" s="0"/>
      <c r="LKA57" s="0"/>
      <c r="LKB57" s="0"/>
      <c r="LKC57" s="0"/>
      <c r="LKD57" s="0"/>
      <c r="LKE57" s="0"/>
      <c r="LKF57" s="0"/>
      <c r="LKG57" s="0"/>
      <c r="LKH57" s="0"/>
      <c r="LKI57" s="0"/>
      <c r="LKJ57" s="0"/>
      <c r="LKK57" s="0"/>
      <c r="LKL57" s="0"/>
      <c r="LKM57" s="0"/>
      <c r="LKN57" s="0"/>
      <c r="LKO57" s="0"/>
      <c r="LKP57" s="0"/>
      <c r="LKQ57" s="0"/>
      <c r="LKR57" s="0"/>
      <c r="LKS57" s="0"/>
      <c r="LKT57" s="0"/>
      <c r="LKU57" s="0"/>
      <c r="LKV57" s="0"/>
      <c r="LKW57" s="0"/>
      <c r="LKX57" s="0"/>
      <c r="LKY57" s="0"/>
      <c r="LKZ57" s="0"/>
      <c r="LLA57" s="0"/>
      <c r="LLB57" s="0"/>
      <c r="LLC57" s="0"/>
      <c r="LLD57" s="0"/>
      <c r="LLE57" s="0"/>
      <c r="LLF57" s="0"/>
      <c r="LLG57" s="0"/>
      <c r="LLH57" s="0"/>
      <c r="LLI57" s="0"/>
      <c r="LLJ57" s="0"/>
      <c r="LLK57" s="0"/>
      <c r="LLL57" s="0"/>
      <c r="LLM57" s="0"/>
      <c r="LLN57" s="0"/>
      <c r="LLO57" s="0"/>
      <c r="LLP57" s="0"/>
      <c r="LLQ57" s="0"/>
      <c r="LLR57" s="0"/>
      <c r="LLS57" s="0"/>
      <c r="LLT57" s="0"/>
      <c r="LLU57" s="0"/>
      <c r="LLV57" s="0"/>
      <c r="LLW57" s="0"/>
      <c r="LLX57" s="0"/>
      <c r="LLY57" s="0"/>
      <c r="LLZ57" s="0"/>
      <c r="LMA57" s="0"/>
      <c r="LMB57" s="0"/>
      <c r="LMC57" s="0"/>
      <c r="LMD57" s="0"/>
      <c r="LME57" s="0"/>
      <c r="LMF57" s="0"/>
      <c r="LMG57" s="0"/>
      <c r="LMH57" s="0"/>
      <c r="LMI57" s="0"/>
      <c r="LMJ57" s="0"/>
      <c r="LMK57" s="0"/>
      <c r="LML57" s="0"/>
      <c r="LMM57" s="0"/>
      <c r="LMN57" s="0"/>
      <c r="LMO57" s="0"/>
      <c r="LMP57" s="0"/>
      <c r="LMQ57" s="0"/>
      <c r="LMR57" s="0"/>
      <c r="LMS57" s="0"/>
      <c r="LMT57" s="0"/>
      <c r="LMU57" s="0"/>
      <c r="LMV57" s="0"/>
      <c r="LMW57" s="0"/>
      <c r="LMX57" s="0"/>
      <c r="LMY57" s="0"/>
      <c r="LMZ57" s="0"/>
      <c r="LNA57" s="0"/>
      <c r="LNB57" s="0"/>
      <c r="LNC57" s="0"/>
      <c r="LND57" s="0"/>
      <c r="LNE57" s="0"/>
      <c r="LNF57" s="0"/>
      <c r="LNG57" s="0"/>
      <c r="LNH57" s="0"/>
      <c r="LNI57" s="0"/>
      <c r="LNJ57" s="0"/>
      <c r="LNK57" s="0"/>
      <c r="LNL57" s="0"/>
      <c r="LNM57" s="0"/>
      <c r="LNN57" s="0"/>
      <c r="LNO57" s="0"/>
      <c r="LNP57" s="0"/>
      <c r="LNQ57" s="0"/>
      <c r="LNR57" s="0"/>
      <c r="LNS57" s="0"/>
      <c r="LNT57" s="0"/>
      <c r="LNU57" s="0"/>
      <c r="LNV57" s="0"/>
      <c r="LNW57" s="0"/>
      <c r="LNX57" s="0"/>
      <c r="LNY57" s="0"/>
      <c r="LNZ57" s="0"/>
      <c r="LOA57" s="0"/>
      <c r="LOB57" s="0"/>
      <c r="LOC57" s="0"/>
      <c r="LOD57" s="0"/>
      <c r="LOE57" s="0"/>
      <c r="LOF57" s="0"/>
      <c r="LOG57" s="0"/>
      <c r="LOH57" s="0"/>
      <c r="LOI57" s="0"/>
      <c r="LOJ57" s="0"/>
      <c r="LOK57" s="0"/>
      <c r="LOL57" s="0"/>
      <c r="LOM57" s="0"/>
      <c r="LON57" s="0"/>
      <c r="LOO57" s="0"/>
      <c r="LOP57" s="0"/>
      <c r="LOQ57" s="0"/>
      <c r="LOR57" s="0"/>
      <c r="LOS57" s="0"/>
      <c r="LOT57" s="0"/>
      <c r="LOU57" s="0"/>
      <c r="LOV57" s="0"/>
      <c r="LOW57" s="0"/>
      <c r="LOX57" s="0"/>
      <c r="LOY57" s="0"/>
      <c r="LOZ57" s="0"/>
      <c r="LPA57" s="0"/>
      <c r="LPB57" s="0"/>
      <c r="LPC57" s="0"/>
      <c r="LPD57" s="0"/>
      <c r="LPE57" s="0"/>
      <c r="LPF57" s="0"/>
      <c r="LPG57" s="0"/>
      <c r="LPH57" s="0"/>
      <c r="LPI57" s="0"/>
      <c r="LPJ57" s="0"/>
      <c r="LPK57" s="0"/>
      <c r="LPL57" s="0"/>
      <c r="LPM57" s="0"/>
      <c r="LPN57" s="0"/>
      <c r="LPO57" s="0"/>
      <c r="LPP57" s="0"/>
      <c r="LPQ57" s="0"/>
      <c r="LPR57" s="0"/>
      <c r="LPS57" s="0"/>
      <c r="LPT57" s="0"/>
      <c r="LPU57" s="0"/>
      <c r="LPV57" s="0"/>
      <c r="LPW57" s="0"/>
      <c r="LPX57" s="0"/>
      <c r="LPY57" s="0"/>
      <c r="LPZ57" s="0"/>
      <c r="LQA57" s="0"/>
      <c r="LQB57" s="0"/>
      <c r="LQC57" s="0"/>
      <c r="LQD57" s="0"/>
      <c r="LQE57" s="0"/>
      <c r="LQF57" s="0"/>
      <c r="LQG57" s="0"/>
      <c r="LQH57" s="0"/>
      <c r="LQI57" s="0"/>
      <c r="LQJ57" s="0"/>
      <c r="LQK57" s="0"/>
      <c r="LQL57" s="0"/>
      <c r="LQM57" s="0"/>
      <c r="LQN57" s="0"/>
      <c r="LQO57" s="0"/>
      <c r="LQP57" s="0"/>
      <c r="LQQ57" s="0"/>
      <c r="LQR57" s="0"/>
      <c r="LQS57" s="0"/>
      <c r="LQT57" s="0"/>
      <c r="LQU57" s="0"/>
      <c r="LQV57" s="0"/>
      <c r="LQW57" s="0"/>
      <c r="LQX57" s="0"/>
      <c r="LQY57" s="0"/>
      <c r="LQZ57" s="0"/>
      <c r="LRA57" s="0"/>
      <c r="LRB57" s="0"/>
      <c r="LRC57" s="0"/>
      <c r="LRD57" s="0"/>
      <c r="LRE57" s="0"/>
      <c r="LRF57" s="0"/>
      <c r="LRG57" s="0"/>
      <c r="LRH57" s="0"/>
      <c r="LRI57" s="0"/>
      <c r="LRJ57" s="0"/>
      <c r="LRK57" s="0"/>
      <c r="LRL57" s="0"/>
      <c r="LRM57" s="0"/>
      <c r="LRN57" s="0"/>
      <c r="LRO57" s="0"/>
      <c r="LRP57" s="0"/>
      <c r="LRQ57" s="0"/>
      <c r="LRR57" s="0"/>
      <c r="LRS57" s="0"/>
      <c r="LRT57" s="0"/>
      <c r="LRU57" s="0"/>
      <c r="LRV57" s="0"/>
      <c r="LRW57" s="0"/>
      <c r="LRX57" s="0"/>
      <c r="LRY57" s="0"/>
      <c r="LRZ57" s="0"/>
      <c r="LSA57" s="0"/>
      <c r="LSB57" s="0"/>
      <c r="LSC57" s="0"/>
      <c r="LSD57" s="0"/>
      <c r="LSE57" s="0"/>
      <c r="LSF57" s="0"/>
      <c r="LSG57" s="0"/>
      <c r="LSH57" s="0"/>
      <c r="LSI57" s="0"/>
      <c r="LSJ57" s="0"/>
      <c r="LSK57" s="0"/>
      <c r="LSL57" s="0"/>
      <c r="LSM57" s="0"/>
      <c r="LSN57" s="0"/>
      <c r="LSO57" s="0"/>
      <c r="LSP57" s="0"/>
      <c r="LSQ57" s="0"/>
      <c r="LSR57" s="0"/>
      <c r="LSS57" s="0"/>
      <c r="LST57" s="0"/>
      <c r="LSU57" s="0"/>
      <c r="LSV57" s="0"/>
      <c r="LSW57" s="0"/>
      <c r="LSX57" s="0"/>
      <c r="LSY57" s="0"/>
      <c r="LSZ57" s="0"/>
      <c r="LTA57" s="0"/>
      <c r="LTB57" s="0"/>
      <c r="LTC57" s="0"/>
      <c r="LTD57" s="0"/>
      <c r="LTE57" s="0"/>
      <c r="LTF57" s="0"/>
      <c r="LTG57" s="0"/>
      <c r="LTH57" s="0"/>
      <c r="LTI57" s="0"/>
      <c r="LTJ57" s="0"/>
      <c r="LTK57" s="0"/>
      <c r="LTL57" s="0"/>
      <c r="LTM57" s="0"/>
      <c r="LTN57" s="0"/>
      <c r="LTO57" s="0"/>
      <c r="LTP57" s="0"/>
      <c r="LTQ57" s="0"/>
      <c r="LTR57" s="0"/>
      <c r="LTS57" s="0"/>
      <c r="LTT57" s="0"/>
      <c r="LTU57" s="0"/>
      <c r="LTV57" s="0"/>
      <c r="LTW57" s="0"/>
      <c r="LTX57" s="0"/>
      <c r="LTY57" s="0"/>
      <c r="LTZ57" s="0"/>
      <c r="LUA57" s="0"/>
      <c r="LUB57" s="0"/>
      <c r="LUC57" s="0"/>
      <c r="LUD57" s="0"/>
      <c r="LUE57" s="0"/>
      <c r="LUF57" s="0"/>
      <c r="LUG57" s="0"/>
      <c r="LUH57" s="0"/>
      <c r="LUI57" s="0"/>
      <c r="LUJ57" s="0"/>
      <c r="LUK57" s="0"/>
      <c r="LUL57" s="0"/>
      <c r="LUM57" s="0"/>
      <c r="LUN57" s="0"/>
      <c r="LUO57" s="0"/>
      <c r="LUP57" s="0"/>
      <c r="LUQ57" s="0"/>
      <c r="LUR57" s="0"/>
      <c r="LUS57" s="0"/>
      <c r="LUT57" s="0"/>
      <c r="LUU57" s="0"/>
      <c r="LUV57" s="0"/>
      <c r="LUW57" s="0"/>
      <c r="LUX57" s="0"/>
      <c r="LUY57" s="0"/>
      <c r="LUZ57" s="0"/>
      <c r="LVA57" s="0"/>
      <c r="LVB57" s="0"/>
      <c r="LVC57" s="0"/>
      <c r="LVD57" s="0"/>
      <c r="LVE57" s="0"/>
      <c r="LVF57" s="0"/>
      <c r="LVG57" s="0"/>
      <c r="LVH57" s="0"/>
      <c r="LVI57" s="0"/>
      <c r="LVJ57" s="0"/>
      <c r="LVK57" s="0"/>
      <c r="LVL57" s="0"/>
      <c r="LVM57" s="0"/>
      <c r="LVN57" s="0"/>
      <c r="LVO57" s="0"/>
      <c r="LVP57" s="0"/>
      <c r="LVQ57" s="0"/>
      <c r="LVR57" s="0"/>
      <c r="LVS57" s="0"/>
      <c r="LVT57" s="0"/>
      <c r="LVU57" s="0"/>
      <c r="LVV57" s="0"/>
      <c r="LVW57" s="0"/>
      <c r="LVX57" s="0"/>
      <c r="LVY57" s="0"/>
      <c r="LVZ57" s="0"/>
      <c r="LWA57" s="0"/>
      <c r="LWB57" s="0"/>
      <c r="LWC57" s="0"/>
      <c r="LWD57" s="0"/>
      <c r="LWE57" s="0"/>
      <c r="LWF57" s="0"/>
      <c r="LWG57" s="0"/>
      <c r="LWH57" s="0"/>
      <c r="LWI57" s="0"/>
      <c r="LWJ57" s="0"/>
      <c r="LWK57" s="0"/>
      <c r="LWL57" s="0"/>
      <c r="LWM57" s="0"/>
      <c r="LWN57" s="0"/>
      <c r="LWO57" s="0"/>
      <c r="LWP57" s="0"/>
      <c r="LWQ57" s="0"/>
      <c r="LWR57" s="0"/>
      <c r="LWS57" s="0"/>
      <c r="LWT57" s="0"/>
      <c r="LWU57" s="0"/>
      <c r="LWV57" s="0"/>
      <c r="LWW57" s="0"/>
      <c r="LWX57" s="0"/>
      <c r="LWY57" s="0"/>
      <c r="LWZ57" s="0"/>
      <c r="LXA57" s="0"/>
      <c r="LXB57" s="0"/>
      <c r="LXC57" s="0"/>
      <c r="LXD57" s="0"/>
      <c r="LXE57" s="0"/>
      <c r="LXF57" s="0"/>
      <c r="LXG57" s="0"/>
      <c r="LXH57" s="0"/>
      <c r="LXI57" s="0"/>
      <c r="LXJ57" s="0"/>
      <c r="LXK57" s="0"/>
      <c r="LXL57" s="0"/>
      <c r="LXM57" s="0"/>
      <c r="LXN57" s="0"/>
      <c r="LXO57" s="0"/>
      <c r="LXP57" s="0"/>
      <c r="LXQ57" s="0"/>
      <c r="LXR57" s="0"/>
      <c r="LXS57" s="0"/>
      <c r="LXT57" s="0"/>
      <c r="LXU57" s="0"/>
      <c r="LXV57" s="0"/>
      <c r="LXW57" s="0"/>
      <c r="LXX57" s="0"/>
      <c r="LXY57" s="0"/>
      <c r="LXZ57" s="0"/>
      <c r="LYA57" s="0"/>
      <c r="LYB57" s="0"/>
      <c r="LYC57" s="0"/>
      <c r="LYD57" s="0"/>
      <c r="LYE57" s="0"/>
      <c r="LYF57" s="0"/>
      <c r="LYG57" s="0"/>
      <c r="LYH57" s="0"/>
      <c r="LYI57" s="0"/>
      <c r="LYJ57" s="0"/>
      <c r="LYK57" s="0"/>
      <c r="LYL57" s="0"/>
      <c r="LYM57" s="0"/>
      <c r="LYN57" s="0"/>
      <c r="LYO57" s="0"/>
      <c r="LYP57" s="0"/>
      <c r="LYQ57" s="0"/>
      <c r="LYR57" s="0"/>
      <c r="LYS57" s="0"/>
      <c r="LYT57" s="0"/>
      <c r="LYU57" s="0"/>
      <c r="LYV57" s="0"/>
      <c r="LYW57" s="0"/>
      <c r="LYX57" s="0"/>
      <c r="LYY57" s="0"/>
      <c r="LYZ57" s="0"/>
      <c r="LZA57" s="0"/>
      <c r="LZB57" s="0"/>
      <c r="LZC57" s="0"/>
      <c r="LZD57" s="0"/>
      <c r="LZE57" s="0"/>
      <c r="LZF57" s="0"/>
      <c r="LZG57" s="0"/>
      <c r="LZH57" s="0"/>
      <c r="LZI57" s="0"/>
      <c r="LZJ57" s="0"/>
      <c r="LZK57" s="0"/>
      <c r="LZL57" s="0"/>
      <c r="LZM57" s="0"/>
      <c r="LZN57" s="0"/>
      <c r="LZO57" s="0"/>
      <c r="LZP57" s="0"/>
      <c r="LZQ57" s="0"/>
      <c r="LZR57" s="0"/>
      <c r="LZS57" s="0"/>
      <c r="LZT57" s="0"/>
      <c r="LZU57" s="0"/>
      <c r="LZV57" s="0"/>
      <c r="LZW57" s="0"/>
      <c r="LZX57" s="0"/>
      <c r="LZY57" s="0"/>
      <c r="LZZ57" s="0"/>
      <c r="MAA57" s="0"/>
      <c r="MAB57" s="0"/>
      <c r="MAC57" s="0"/>
      <c r="MAD57" s="0"/>
      <c r="MAE57" s="0"/>
      <c r="MAF57" s="0"/>
      <c r="MAG57" s="0"/>
      <c r="MAH57" s="0"/>
      <c r="MAI57" s="0"/>
      <c r="MAJ57" s="0"/>
      <c r="MAK57" s="0"/>
      <c r="MAL57" s="0"/>
      <c r="MAM57" s="0"/>
      <c r="MAN57" s="0"/>
      <c r="MAO57" s="0"/>
      <c r="MAP57" s="0"/>
      <c r="MAQ57" s="0"/>
      <c r="MAR57" s="0"/>
      <c r="MAS57" s="0"/>
      <c r="MAT57" s="0"/>
      <c r="MAU57" s="0"/>
      <c r="MAV57" s="0"/>
      <c r="MAW57" s="0"/>
      <c r="MAX57" s="0"/>
      <c r="MAY57" s="0"/>
      <c r="MAZ57" s="0"/>
      <c r="MBA57" s="0"/>
      <c r="MBB57" s="0"/>
      <c r="MBC57" s="0"/>
      <c r="MBD57" s="0"/>
      <c r="MBE57" s="0"/>
      <c r="MBF57" s="0"/>
      <c r="MBG57" s="0"/>
      <c r="MBH57" s="0"/>
      <c r="MBI57" s="0"/>
      <c r="MBJ57" s="0"/>
      <c r="MBK57" s="0"/>
      <c r="MBL57" s="0"/>
      <c r="MBM57" s="0"/>
      <c r="MBN57" s="0"/>
      <c r="MBO57" s="0"/>
      <c r="MBP57" s="0"/>
      <c r="MBQ57" s="0"/>
      <c r="MBR57" s="0"/>
      <c r="MBS57" s="0"/>
      <c r="MBT57" s="0"/>
      <c r="MBU57" s="0"/>
      <c r="MBV57" s="0"/>
      <c r="MBW57" s="0"/>
      <c r="MBX57" s="0"/>
      <c r="MBY57" s="0"/>
      <c r="MBZ57" s="0"/>
      <c r="MCA57" s="0"/>
      <c r="MCB57" s="0"/>
      <c r="MCC57" s="0"/>
      <c r="MCD57" s="0"/>
      <c r="MCE57" s="0"/>
      <c r="MCF57" s="0"/>
      <c r="MCG57" s="0"/>
      <c r="MCH57" s="0"/>
      <c r="MCI57" s="0"/>
      <c r="MCJ57" s="0"/>
      <c r="MCK57" s="0"/>
      <c r="MCL57" s="0"/>
      <c r="MCM57" s="0"/>
      <c r="MCN57" s="0"/>
      <c r="MCO57" s="0"/>
      <c r="MCP57" s="0"/>
      <c r="MCQ57" s="0"/>
      <c r="MCR57" s="0"/>
      <c r="MCS57" s="0"/>
      <c r="MCT57" s="0"/>
      <c r="MCU57" s="0"/>
      <c r="MCV57" s="0"/>
      <c r="MCW57" s="0"/>
      <c r="MCX57" s="0"/>
      <c r="MCY57" s="0"/>
      <c r="MCZ57" s="0"/>
      <c r="MDA57" s="0"/>
      <c r="MDB57" s="0"/>
      <c r="MDC57" s="0"/>
      <c r="MDD57" s="0"/>
      <c r="MDE57" s="0"/>
      <c r="MDF57" s="0"/>
      <c r="MDG57" s="0"/>
      <c r="MDH57" s="0"/>
      <c r="MDI57" s="0"/>
      <c r="MDJ57" s="0"/>
      <c r="MDK57" s="0"/>
      <c r="MDL57" s="0"/>
      <c r="MDM57" s="0"/>
      <c r="MDN57" s="0"/>
      <c r="MDO57" s="0"/>
      <c r="MDP57" s="0"/>
      <c r="MDQ57" s="0"/>
      <c r="MDR57" s="0"/>
      <c r="MDS57" s="0"/>
      <c r="MDT57" s="0"/>
      <c r="MDU57" s="0"/>
      <c r="MDV57" s="0"/>
      <c r="MDW57" s="0"/>
      <c r="MDX57" s="0"/>
      <c r="MDY57" s="0"/>
      <c r="MDZ57" s="0"/>
      <c r="MEA57" s="0"/>
      <c r="MEB57" s="0"/>
      <c r="MEC57" s="0"/>
      <c r="MED57" s="0"/>
      <c r="MEE57" s="0"/>
      <c r="MEF57" s="0"/>
      <c r="MEG57" s="0"/>
      <c r="MEH57" s="0"/>
      <c r="MEI57" s="0"/>
      <c r="MEJ57" s="0"/>
      <c r="MEK57" s="0"/>
      <c r="MEL57" s="0"/>
      <c r="MEM57" s="0"/>
      <c r="MEN57" s="0"/>
      <c r="MEO57" s="0"/>
      <c r="MEP57" s="0"/>
      <c r="MEQ57" s="0"/>
      <c r="MER57" s="0"/>
      <c r="MES57" s="0"/>
      <c r="MET57" s="0"/>
      <c r="MEU57" s="0"/>
      <c r="MEV57" s="0"/>
      <c r="MEW57" s="0"/>
      <c r="MEX57" s="0"/>
      <c r="MEY57" s="0"/>
      <c r="MEZ57" s="0"/>
      <c r="MFA57" s="0"/>
      <c r="MFB57" s="0"/>
      <c r="MFC57" s="0"/>
      <c r="MFD57" s="0"/>
      <c r="MFE57" s="0"/>
      <c r="MFF57" s="0"/>
      <c r="MFG57" s="0"/>
      <c r="MFH57" s="0"/>
      <c r="MFI57" s="0"/>
      <c r="MFJ57" s="0"/>
      <c r="MFK57" s="0"/>
      <c r="MFL57" s="0"/>
      <c r="MFM57" s="0"/>
      <c r="MFN57" s="0"/>
      <c r="MFO57" s="0"/>
      <c r="MFP57" s="0"/>
      <c r="MFQ57" s="0"/>
      <c r="MFR57" s="0"/>
      <c r="MFS57" s="0"/>
      <c r="MFT57" s="0"/>
      <c r="MFU57" s="0"/>
      <c r="MFV57" s="0"/>
      <c r="MFW57" s="0"/>
      <c r="MFX57" s="0"/>
      <c r="MFY57" s="0"/>
      <c r="MFZ57" s="0"/>
      <c r="MGA57" s="0"/>
      <c r="MGB57" s="0"/>
      <c r="MGC57" s="0"/>
      <c r="MGD57" s="0"/>
      <c r="MGE57" s="0"/>
      <c r="MGF57" s="0"/>
      <c r="MGG57" s="0"/>
      <c r="MGH57" s="0"/>
      <c r="MGI57" s="0"/>
      <c r="MGJ57" s="0"/>
      <c r="MGK57" s="0"/>
      <c r="MGL57" s="0"/>
      <c r="MGM57" s="0"/>
      <c r="MGN57" s="0"/>
      <c r="MGO57" s="0"/>
      <c r="MGP57" s="0"/>
      <c r="MGQ57" s="0"/>
      <c r="MGR57" s="0"/>
      <c r="MGS57" s="0"/>
      <c r="MGT57" s="0"/>
      <c r="MGU57" s="0"/>
      <c r="MGV57" s="0"/>
      <c r="MGW57" s="0"/>
      <c r="MGX57" s="0"/>
      <c r="MGY57" s="0"/>
      <c r="MGZ57" s="0"/>
      <c r="MHA57" s="0"/>
      <c r="MHB57" s="0"/>
      <c r="MHC57" s="0"/>
      <c r="MHD57" s="0"/>
      <c r="MHE57" s="0"/>
      <c r="MHF57" s="0"/>
      <c r="MHG57" s="0"/>
      <c r="MHH57" s="0"/>
      <c r="MHI57" s="0"/>
      <c r="MHJ57" s="0"/>
      <c r="MHK57" s="0"/>
      <c r="MHL57" s="0"/>
      <c r="MHM57" s="0"/>
      <c r="MHN57" s="0"/>
      <c r="MHO57" s="0"/>
      <c r="MHP57" s="0"/>
      <c r="MHQ57" s="0"/>
      <c r="MHR57" s="0"/>
      <c r="MHS57" s="0"/>
      <c r="MHT57" s="0"/>
      <c r="MHU57" s="0"/>
      <c r="MHV57" s="0"/>
      <c r="MHW57" s="0"/>
      <c r="MHX57" s="0"/>
      <c r="MHY57" s="0"/>
      <c r="MHZ57" s="0"/>
      <c r="MIA57" s="0"/>
      <c r="MIB57" s="0"/>
      <c r="MIC57" s="0"/>
      <c r="MID57" s="0"/>
      <c r="MIE57" s="0"/>
      <c r="MIF57" s="0"/>
      <c r="MIG57" s="0"/>
      <c r="MIH57" s="0"/>
      <c r="MII57" s="0"/>
      <c r="MIJ57" s="0"/>
      <c r="MIK57" s="0"/>
      <c r="MIL57" s="0"/>
      <c r="MIM57" s="0"/>
      <c r="MIN57" s="0"/>
      <c r="MIO57" s="0"/>
      <c r="MIP57" s="0"/>
      <c r="MIQ57" s="0"/>
      <c r="MIR57" s="0"/>
      <c r="MIS57" s="0"/>
      <c r="MIT57" s="0"/>
      <c r="MIU57" s="0"/>
      <c r="MIV57" s="0"/>
      <c r="MIW57" s="0"/>
      <c r="MIX57" s="0"/>
      <c r="MIY57" s="0"/>
      <c r="MIZ57" s="0"/>
      <c r="MJA57" s="0"/>
      <c r="MJB57" s="0"/>
      <c r="MJC57" s="0"/>
      <c r="MJD57" s="0"/>
      <c r="MJE57" s="0"/>
      <c r="MJF57" s="0"/>
      <c r="MJG57" s="0"/>
      <c r="MJH57" s="0"/>
      <c r="MJI57" s="0"/>
      <c r="MJJ57" s="0"/>
      <c r="MJK57" s="0"/>
      <c r="MJL57" s="0"/>
      <c r="MJM57" s="0"/>
      <c r="MJN57" s="0"/>
      <c r="MJO57" s="0"/>
      <c r="MJP57" s="0"/>
      <c r="MJQ57" s="0"/>
      <c r="MJR57" s="0"/>
      <c r="MJS57" s="0"/>
      <c r="MJT57" s="0"/>
      <c r="MJU57" s="0"/>
      <c r="MJV57" s="0"/>
      <c r="MJW57" s="0"/>
      <c r="MJX57" s="0"/>
      <c r="MJY57" s="0"/>
      <c r="MJZ57" s="0"/>
      <c r="MKA57" s="0"/>
      <c r="MKB57" s="0"/>
      <c r="MKC57" s="0"/>
      <c r="MKD57" s="0"/>
      <c r="MKE57" s="0"/>
      <c r="MKF57" s="0"/>
      <c r="MKG57" s="0"/>
      <c r="MKH57" s="0"/>
      <c r="MKI57" s="0"/>
      <c r="MKJ57" s="0"/>
      <c r="MKK57" s="0"/>
      <c r="MKL57" s="0"/>
      <c r="MKM57" s="0"/>
      <c r="MKN57" s="0"/>
      <c r="MKO57" s="0"/>
      <c r="MKP57" s="0"/>
      <c r="MKQ57" s="0"/>
      <c r="MKR57" s="0"/>
      <c r="MKS57" s="0"/>
      <c r="MKT57" s="0"/>
      <c r="MKU57" s="0"/>
      <c r="MKV57" s="0"/>
      <c r="MKW57" s="0"/>
      <c r="MKX57" s="0"/>
      <c r="MKY57" s="0"/>
      <c r="MKZ57" s="0"/>
      <c r="MLA57" s="0"/>
      <c r="MLB57" s="0"/>
      <c r="MLC57" s="0"/>
      <c r="MLD57" s="0"/>
      <c r="MLE57" s="0"/>
      <c r="MLF57" s="0"/>
      <c r="MLG57" s="0"/>
      <c r="MLH57" s="0"/>
      <c r="MLI57" s="0"/>
      <c r="MLJ57" s="0"/>
      <c r="MLK57" s="0"/>
      <c r="MLL57" s="0"/>
      <c r="MLM57" s="0"/>
      <c r="MLN57" s="0"/>
      <c r="MLO57" s="0"/>
      <c r="MLP57" s="0"/>
      <c r="MLQ57" s="0"/>
      <c r="MLR57" s="0"/>
      <c r="MLS57" s="0"/>
      <c r="MLT57" s="0"/>
      <c r="MLU57" s="0"/>
      <c r="MLV57" s="0"/>
      <c r="MLW57" s="0"/>
      <c r="MLX57" s="0"/>
      <c r="MLY57" s="0"/>
      <c r="MLZ57" s="0"/>
      <c r="MMA57" s="0"/>
      <c r="MMB57" s="0"/>
      <c r="MMC57" s="0"/>
      <c r="MMD57" s="0"/>
      <c r="MME57" s="0"/>
      <c r="MMF57" s="0"/>
      <c r="MMG57" s="0"/>
      <c r="MMH57" s="0"/>
      <c r="MMI57" s="0"/>
      <c r="MMJ57" s="0"/>
      <c r="MMK57" s="0"/>
      <c r="MML57" s="0"/>
      <c r="MMM57" s="0"/>
      <c r="MMN57" s="0"/>
      <c r="MMO57" s="0"/>
      <c r="MMP57" s="0"/>
      <c r="MMQ57" s="0"/>
      <c r="MMR57" s="0"/>
      <c r="MMS57" s="0"/>
      <c r="MMT57" s="0"/>
      <c r="MMU57" s="0"/>
      <c r="MMV57" s="0"/>
      <c r="MMW57" s="0"/>
      <c r="MMX57" s="0"/>
      <c r="MMY57" s="0"/>
      <c r="MMZ57" s="0"/>
      <c r="MNA57" s="0"/>
      <c r="MNB57" s="0"/>
      <c r="MNC57" s="0"/>
      <c r="MND57" s="0"/>
      <c r="MNE57" s="0"/>
      <c r="MNF57" s="0"/>
      <c r="MNG57" s="0"/>
      <c r="MNH57" s="0"/>
      <c r="MNI57" s="0"/>
      <c r="MNJ57" s="0"/>
      <c r="MNK57" s="0"/>
      <c r="MNL57" s="0"/>
      <c r="MNM57" s="0"/>
      <c r="MNN57" s="0"/>
      <c r="MNO57" s="0"/>
      <c r="MNP57" s="0"/>
      <c r="MNQ57" s="0"/>
      <c r="MNR57" s="0"/>
      <c r="MNS57" s="0"/>
      <c r="MNT57" s="0"/>
      <c r="MNU57" s="0"/>
      <c r="MNV57" s="0"/>
      <c r="MNW57" s="0"/>
      <c r="MNX57" s="0"/>
      <c r="MNY57" s="0"/>
      <c r="MNZ57" s="0"/>
      <c r="MOA57" s="0"/>
      <c r="MOB57" s="0"/>
      <c r="MOC57" s="0"/>
      <c r="MOD57" s="0"/>
      <c r="MOE57" s="0"/>
      <c r="MOF57" s="0"/>
      <c r="MOG57" s="0"/>
      <c r="MOH57" s="0"/>
      <c r="MOI57" s="0"/>
      <c r="MOJ57" s="0"/>
      <c r="MOK57" s="0"/>
      <c r="MOL57" s="0"/>
      <c r="MOM57" s="0"/>
      <c r="MON57" s="0"/>
      <c r="MOO57" s="0"/>
      <c r="MOP57" s="0"/>
      <c r="MOQ57" s="0"/>
      <c r="MOR57" s="0"/>
      <c r="MOS57" s="0"/>
      <c r="MOT57" s="0"/>
      <c r="MOU57" s="0"/>
      <c r="MOV57" s="0"/>
      <c r="MOW57" s="0"/>
      <c r="MOX57" s="0"/>
      <c r="MOY57" s="0"/>
      <c r="MOZ57" s="0"/>
      <c r="MPA57" s="0"/>
      <c r="MPB57" s="0"/>
      <c r="MPC57" s="0"/>
      <c r="MPD57" s="0"/>
      <c r="MPE57" s="0"/>
      <c r="MPF57" s="0"/>
      <c r="MPG57" s="0"/>
      <c r="MPH57" s="0"/>
      <c r="MPI57" s="0"/>
      <c r="MPJ57" s="0"/>
      <c r="MPK57" s="0"/>
      <c r="MPL57" s="0"/>
      <c r="MPM57" s="0"/>
      <c r="MPN57" s="0"/>
      <c r="MPO57" s="0"/>
      <c r="MPP57" s="0"/>
      <c r="MPQ57" s="0"/>
      <c r="MPR57" s="0"/>
      <c r="MPS57" s="0"/>
      <c r="MPT57" s="0"/>
      <c r="MPU57" s="0"/>
      <c r="MPV57" s="0"/>
      <c r="MPW57" s="0"/>
      <c r="MPX57" s="0"/>
      <c r="MPY57" s="0"/>
      <c r="MPZ57" s="0"/>
      <c r="MQA57" s="0"/>
      <c r="MQB57" s="0"/>
      <c r="MQC57" s="0"/>
      <c r="MQD57" s="0"/>
      <c r="MQE57" s="0"/>
      <c r="MQF57" s="0"/>
      <c r="MQG57" s="0"/>
      <c r="MQH57" s="0"/>
      <c r="MQI57" s="0"/>
      <c r="MQJ57" s="0"/>
      <c r="MQK57" s="0"/>
      <c r="MQL57" s="0"/>
      <c r="MQM57" s="0"/>
      <c r="MQN57" s="0"/>
      <c r="MQO57" s="0"/>
      <c r="MQP57" s="0"/>
      <c r="MQQ57" s="0"/>
      <c r="MQR57" s="0"/>
      <c r="MQS57" s="0"/>
      <c r="MQT57" s="0"/>
      <c r="MQU57" s="0"/>
      <c r="MQV57" s="0"/>
      <c r="MQW57" s="0"/>
      <c r="MQX57" s="0"/>
      <c r="MQY57" s="0"/>
      <c r="MQZ57" s="0"/>
      <c r="MRA57" s="0"/>
      <c r="MRB57" s="0"/>
      <c r="MRC57" s="0"/>
      <c r="MRD57" s="0"/>
      <c r="MRE57" s="0"/>
      <c r="MRF57" s="0"/>
      <c r="MRG57" s="0"/>
      <c r="MRH57" s="0"/>
      <c r="MRI57" s="0"/>
      <c r="MRJ57" s="0"/>
      <c r="MRK57" s="0"/>
      <c r="MRL57" s="0"/>
      <c r="MRM57" s="0"/>
      <c r="MRN57" s="0"/>
      <c r="MRO57" s="0"/>
      <c r="MRP57" s="0"/>
      <c r="MRQ57" s="0"/>
      <c r="MRR57" s="0"/>
      <c r="MRS57" s="0"/>
      <c r="MRT57" s="0"/>
      <c r="MRU57" s="0"/>
      <c r="MRV57" s="0"/>
      <c r="MRW57" s="0"/>
      <c r="MRX57" s="0"/>
      <c r="MRY57" s="0"/>
      <c r="MRZ57" s="0"/>
      <c r="MSA57" s="0"/>
      <c r="MSB57" s="0"/>
      <c r="MSC57" s="0"/>
      <c r="MSD57" s="0"/>
      <c r="MSE57" s="0"/>
      <c r="MSF57" s="0"/>
      <c r="MSG57" s="0"/>
      <c r="MSH57" s="0"/>
      <c r="MSI57" s="0"/>
      <c r="MSJ57" s="0"/>
      <c r="MSK57" s="0"/>
      <c r="MSL57" s="0"/>
      <c r="MSM57" s="0"/>
      <c r="MSN57" s="0"/>
      <c r="MSO57" s="0"/>
      <c r="MSP57" s="0"/>
      <c r="MSQ57" s="0"/>
      <c r="MSR57" s="0"/>
      <c r="MSS57" s="0"/>
      <c r="MST57" s="0"/>
      <c r="MSU57" s="0"/>
      <c r="MSV57" s="0"/>
      <c r="MSW57" s="0"/>
      <c r="MSX57" s="0"/>
      <c r="MSY57" s="0"/>
      <c r="MSZ57" s="0"/>
      <c r="MTA57" s="0"/>
      <c r="MTB57" s="0"/>
      <c r="MTC57" s="0"/>
      <c r="MTD57" s="0"/>
      <c r="MTE57" s="0"/>
      <c r="MTF57" s="0"/>
      <c r="MTG57" s="0"/>
      <c r="MTH57" s="0"/>
      <c r="MTI57" s="0"/>
      <c r="MTJ57" s="0"/>
      <c r="MTK57" s="0"/>
      <c r="MTL57" s="0"/>
      <c r="MTM57" s="0"/>
      <c r="MTN57" s="0"/>
      <c r="MTO57" s="0"/>
      <c r="MTP57" s="0"/>
      <c r="MTQ57" s="0"/>
      <c r="MTR57" s="0"/>
      <c r="MTS57" s="0"/>
      <c r="MTT57" s="0"/>
      <c r="MTU57" s="0"/>
      <c r="MTV57" s="0"/>
      <c r="MTW57" s="0"/>
      <c r="MTX57" s="0"/>
      <c r="MTY57" s="0"/>
      <c r="MTZ57" s="0"/>
      <c r="MUA57" s="0"/>
      <c r="MUB57" s="0"/>
      <c r="MUC57" s="0"/>
      <c r="MUD57" s="0"/>
      <c r="MUE57" s="0"/>
      <c r="MUF57" s="0"/>
      <c r="MUG57" s="0"/>
      <c r="MUH57" s="0"/>
      <c r="MUI57" s="0"/>
      <c r="MUJ57" s="0"/>
      <c r="MUK57" s="0"/>
      <c r="MUL57" s="0"/>
      <c r="MUM57" s="0"/>
      <c r="MUN57" s="0"/>
      <c r="MUO57" s="0"/>
      <c r="MUP57" s="0"/>
      <c r="MUQ57" s="0"/>
      <c r="MUR57" s="0"/>
      <c r="MUS57" s="0"/>
      <c r="MUT57" s="0"/>
      <c r="MUU57" s="0"/>
      <c r="MUV57" s="0"/>
      <c r="MUW57" s="0"/>
      <c r="MUX57" s="0"/>
      <c r="MUY57" s="0"/>
      <c r="MUZ57" s="0"/>
      <c r="MVA57" s="0"/>
      <c r="MVB57" s="0"/>
      <c r="MVC57" s="0"/>
      <c r="MVD57" s="0"/>
      <c r="MVE57" s="0"/>
      <c r="MVF57" s="0"/>
      <c r="MVG57" s="0"/>
      <c r="MVH57" s="0"/>
      <c r="MVI57" s="0"/>
      <c r="MVJ57" s="0"/>
      <c r="MVK57" s="0"/>
      <c r="MVL57" s="0"/>
      <c r="MVM57" s="0"/>
      <c r="MVN57" s="0"/>
      <c r="MVO57" s="0"/>
      <c r="MVP57" s="0"/>
      <c r="MVQ57" s="0"/>
      <c r="MVR57" s="0"/>
      <c r="MVS57" s="0"/>
      <c r="MVT57" s="0"/>
      <c r="MVU57" s="0"/>
      <c r="MVV57" s="0"/>
      <c r="MVW57" s="0"/>
      <c r="MVX57" s="0"/>
      <c r="MVY57" s="0"/>
      <c r="MVZ57" s="0"/>
      <c r="MWA57" s="0"/>
      <c r="MWB57" s="0"/>
      <c r="MWC57" s="0"/>
      <c r="MWD57" s="0"/>
      <c r="MWE57" s="0"/>
      <c r="MWF57" s="0"/>
      <c r="MWG57" s="0"/>
      <c r="MWH57" s="0"/>
      <c r="MWI57" s="0"/>
      <c r="MWJ57" s="0"/>
      <c r="MWK57" s="0"/>
      <c r="MWL57" s="0"/>
      <c r="MWM57" s="0"/>
      <c r="MWN57" s="0"/>
      <c r="MWO57" s="0"/>
      <c r="MWP57" s="0"/>
      <c r="MWQ57" s="0"/>
      <c r="MWR57" s="0"/>
      <c r="MWS57" s="0"/>
      <c r="MWT57" s="0"/>
      <c r="MWU57" s="0"/>
      <c r="MWV57" s="0"/>
      <c r="MWW57" s="0"/>
      <c r="MWX57" s="0"/>
      <c r="MWY57" s="0"/>
      <c r="MWZ57" s="0"/>
      <c r="MXA57" s="0"/>
      <c r="MXB57" s="0"/>
      <c r="MXC57" s="0"/>
      <c r="MXD57" s="0"/>
      <c r="MXE57" s="0"/>
      <c r="MXF57" s="0"/>
      <c r="MXG57" s="0"/>
      <c r="MXH57" s="0"/>
      <c r="MXI57" s="0"/>
      <c r="MXJ57" s="0"/>
      <c r="MXK57" s="0"/>
      <c r="MXL57" s="0"/>
      <c r="MXM57" s="0"/>
      <c r="MXN57" s="0"/>
      <c r="MXO57" s="0"/>
      <c r="MXP57" s="0"/>
      <c r="MXQ57" s="0"/>
      <c r="MXR57" s="0"/>
      <c r="MXS57" s="0"/>
      <c r="MXT57" s="0"/>
      <c r="MXU57" s="0"/>
      <c r="MXV57" s="0"/>
      <c r="MXW57" s="0"/>
      <c r="MXX57" s="0"/>
      <c r="MXY57" s="0"/>
      <c r="MXZ57" s="0"/>
      <c r="MYA57" s="0"/>
      <c r="MYB57" s="0"/>
      <c r="MYC57" s="0"/>
      <c r="MYD57" s="0"/>
      <c r="MYE57" s="0"/>
      <c r="MYF57" s="0"/>
      <c r="MYG57" s="0"/>
      <c r="MYH57" s="0"/>
      <c r="MYI57" s="0"/>
      <c r="MYJ57" s="0"/>
      <c r="MYK57" s="0"/>
      <c r="MYL57" s="0"/>
      <c r="MYM57" s="0"/>
      <c r="MYN57" s="0"/>
      <c r="MYO57" s="0"/>
      <c r="MYP57" s="0"/>
      <c r="MYQ57" s="0"/>
      <c r="MYR57" s="0"/>
      <c r="MYS57" s="0"/>
      <c r="MYT57" s="0"/>
      <c r="MYU57" s="0"/>
      <c r="MYV57" s="0"/>
      <c r="MYW57" s="0"/>
      <c r="MYX57" s="0"/>
      <c r="MYY57" s="0"/>
      <c r="MYZ57" s="0"/>
      <c r="MZA57" s="0"/>
      <c r="MZB57" s="0"/>
      <c r="MZC57" s="0"/>
      <c r="MZD57" s="0"/>
      <c r="MZE57" s="0"/>
      <c r="MZF57" s="0"/>
      <c r="MZG57" s="0"/>
      <c r="MZH57" s="0"/>
      <c r="MZI57" s="0"/>
      <c r="MZJ57" s="0"/>
      <c r="MZK57" s="0"/>
      <c r="MZL57" s="0"/>
      <c r="MZM57" s="0"/>
      <c r="MZN57" s="0"/>
      <c r="MZO57" s="0"/>
      <c r="MZP57" s="0"/>
      <c r="MZQ57" s="0"/>
      <c r="MZR57" s="0"/>
      <c r="MZS57" s="0"/>
      <c r="MZT57" s="0"/>
      <c r="MZU57" s="0"/>
      <c r="MZV57" s="0"/>
      <c r="MZW57" s="0"/>
      <c r="MZX57" s="0"/>
      <c r="MZY57" s="0"/>
      <c r="MZZ57" s="0"/>
      <c r="NAA57" s="0"/>
      <c r="NAB57" s="0"/>
      <c r="NAC57" s="0"/>
      <c r="NAD57" s="0"/>
      <c r="NAE57" s="0"/>
      <c r="NAF57" s="0"/>
      <c r="NAG57" s="0"/>
      <c r="NAH57" s="0"/>
      <c r="NAI57" s="0"/>
      <c r="NAJ57" s="0"/>
      <c r="NAK57" s="0"/>
      <c r="NAL57" s="0"/>
      <c r="NAM57" s="0"/>
      <c r="NAN57" s="0"/>
      <c r="NAO57" s="0"/>
      <c r="NAP57" s="0"/>
      <c r="NAQ57" s="0"/>
      <c r="NAR57" s="0"/>
      <c r="NAS57" s="0"/>
      <c r="NAT57" s="0"/>
      <c r="NAU57" s="0"/>
      <c r="NAV57" s="0"/>
      <c r="NAW57" s="0"/>
      <c r="NAX57" s="0"/>
      <c r="NAY57" s="0"/>
      <c r="NAZ57" s="0"/>
      <c r="NBA57" s="0"/>
      <c r="NBB57" s="0"/>
      <c r="NBC57" s="0"/>
      <c r="NBD57" s="0"/>
      <c r="NBE57" s="0"/>
      <c r="NBF57" s="0"/>
      <c r="NBG57" s="0"/>
      <c r="NBH57" s="0"/>
      <c r="NBI57" s="0"/>
      <c r="NBJ57" s="0"/>
      <c r="NBK57" s="0"/>
      <c r="NBL57" s="0"/>
      <c r="NBM57" s="0"/>
      <c r="NBN57" s="0"/>
      <c r="NBO57" s="0"/>
      <c r="NBP57" s="0"/>
      <c r="NBQ57" s="0"/>
      <c r="NBR57" s="0"/>
      <c r="NBS57" s="0"/>
      <c r="NBT57" s="0"/>
      <c r="NBU57" s="0"/>
      <c r="NBV57" s="0"/>
      <c r="NBW57" s="0"/>
      <c r="NBX57" s="0"/>
      <c r="NBY57" s="0"/>
      <c r="NBZ57" s="0"/>
      <c r="NCA57" s="0"/>
      <c r="NCB57" s="0"/>
      <c r="NCC57" s="0"/>
      <c r="NCD57" s="0"/>
      <c r="NCE57" s="0"/>
      <c r="NCF57" s="0"/>
      <c r="NCG57" s="0"/>
      <c r="NCH57" s="0"/>
      <c r="NCI57" s="0"/>
      <c r="NCJ57" s="0"/>
      <c r="NCK57" s="0"/>
      <c r="NCL57" s="0"/>
      <c r="NCM57" s="0"/>
      <c r="NCN57" s="0"/>
      <c r="NCO57" s="0"/>
      <c r="NCP57" s="0"/>
      <c r="NCQ57" s="0"/>
      <c r="NCR57" s="0"/>
      <c r="NCS57" s="0"/>
      <c r="NCT57" s="0"/>
      <c r="NCU57" s="0"/>
      <c r="NCV57" s="0"/>
      <c r="NCW57" s="0"/>
      <c r="NCX57" s="0"/>
      <c r="NCY57" s="0"/>
      <c r="NCZ57" s="0"/>
      <c r="NDA57" s="0"/>
      <c r="NDB57" s="0"/>
      <c r="NDC57" s="0"/>
      <c r="NDD57" s="0"/>
      <c r="NDE57" s="0"/>
      <c r="NDF57" s="0"/>
      <c r="NDG57" s="0"/>
      <c r="NDH57" s="0"/>
      <c r="NDI57" s="0"/>
      <c r="NDJ57" s="0"/>
      <c r="NDK57" s="0"/>
      <c r="NDL57" s="0"/>
      <c r="NDM57" s="0"/>
      <c r="NDN57" s="0"/>
      <c r="NDO57" s="0"/>
      <c r="NDP57" s="0"/>
      <c r="NDQ57" s="0"/>
      <c r="NDR57" s="0"/>
      <c r="NDS57" s="0"/>
      <c r="NDT57" s="0"/>
      <c r="NDU57" s="0"/>
      <c r="NDV57" s="0"/>
      <c r="NDW57" s="0"/>
      <c r="NDX57" s="0"/>
      <c r="NDY57" s="0"/>
      <c r="NDZ57" s="0"/>
      <c r="NEA57" s="0"/>
      <c r="NEB57" s="0"/>
      <c r="NEC57" s="0"/>
      <c r="NED57" s="0"/>
      <c r="NEE57" s="0"/>
      <c r="NEF57" s="0"/>
      <c r="NEG57" s="0"/>
      <c r="NEH57" s="0"/>
      <c r="NEI57" s="0"/>
      <c r="NEJ57" s="0"/>
      <c r="NEK57" s="0"/>
      <c r="NEL57" s="0"/>
      <c r="NEM57" s="0"/>
      <c r="NEN57" s="0"/>
      <c r="NEO57" s="0"/>
      <c r="NEP57" s="0"/>
      <c r="NEQ57" s="0"/>
      <c r="NER57" s="0"/>
      <c r="NES57" s="0"/>
      <c r="NET57" s="0"/>
      <c r="NEU57" s="0"/>
      <c r="NEV57" s="0"/>
      <c r="NEW57" s="0"/>
      <c r="NEX57" s="0"/>
      <c r="NEY57" s="0"/>
      <c r="NEZ57" s="0"/>
      <c r="NFA57" s="0"/>
      <c r="NFB57" s="0"/>
      <c r="NFC57" s="0"/>
      <c r="NFD57" s="0"/>
      <c r="NFE57" s="0"/>
      <c r="NFF57" s="0"/>
      <c r="NFG57" s="0"/>
      <c r="NFH57" s="0"/>
      <c r="NFI57" s="0"/>
      <c r="NFJ57" s="0"/>
      <c r="NFK57" s="0"/>
      <c r="NFL57" s="0"/>
      <c r="NFM57" s="0"/>
      <c r="NFN57" s="0"/>
      <c r="NFO57" s="0"/>
      <c r="NFP57" s="0"/>
      <c r="NFQ57" s="0"/>
      <c r="NFR57" s="0"/>
      <c r="NFS57" s="0"/>
      <c r="NFT57" s="0"/>
      <c r="NFU57" s="0"/>
      <c r="NFV57" s="0"/>
      <c r="NFW57" s="0"/>
      <c r="NFX57" s="0"/>
      <c r="NFY57" s="0"/>
      <c r="NFZ57" s="0"/>
      <c r="NGA57" s="0"/>
      <c r="NGB57" s="0"/>
      <c r="NGC57" s="0"/>
      <c r="NGD57" s="0"/>
      <c r="NGE57" s="0"/>
      <c r="NGF57" s="0"/>
      <c r="NGG57" s="0"/>
      <c r="NGH57" s="0"/>
      <c r="NGI57" s="0"/>
      <c r="NGJ57" s="0"/>
      <c r="NGK57" s="0"/>
      <c r="NGL57" s="0"/>
      <c r="NGM57" s="0"/>
      <c r="NGN57" s="0"/>
      <c r="NGO57" s="0"/>
      <c r="NGP57" s="0"/>
      <c r="NGQ57" s="0"/>
      <c r="NGR57" s="0"/>
      <c r="NGS57" s="0"/>
      <c r="NGT57" s="0"/>
      <c r="NGU57" s="0"/>
      <c r="NGV57" s="0"/>
      <c r="NGW57" s="0"/>
      <c r="NGX57" s="0"/>
      <c r="NGY57" s="0"/>
      <c r="NGZ57" s="0"/>
      <c r="NHA57" s="0"/>
      <c r="NHB57" s="0"/>
      <c r="NHC57" s="0"/>
      <c r="NHD57" s="0"/>
      <c r="NHE57" s="0"/>
      <c r="NHF57" s="0"/>
      <c r="NHG57" s="0"/>
      <c r="NHH57" s="0"/>
      <c r="NHI57" s="0"/>
      <c r="NHJ57" s="0"/>
      <c r="NHK57" s="0"/>
      <c r="NHL57" s="0"/>
      <c r="NHM57" s="0"/>
      <c r="NHN57" s="0"/>
      <c r="NHO57" s="0"/>
      <c r="NHP57" s="0"/>
      <c r="NHQ57" s="0"/>
      <c r="NHR57" s="0"/>
      <c r="NHS57" s="0"/>
      <c r="NHT57" s="0"/>
      <c r="NHU57" s="0"/>
      <c r="NHV57" s="0"/>
      <c r="NHW57" s="0"/>
      <c r="NHX57" s="0"/>
      <c r="NHY57" s="0"/>
      <c r="NHZ57" s="0"/>
      <c r="NIA57" s="0"/>
      <c r="NIB57" s="0"/>
      <c r="NIC57" s="0"/>
      <c r="NID57" s="0"/>
      <c r="NIE57" s="0"/>
      <c r="NIF57" s="0"/>
      <c r="NIG57" s="0"/>
      <c r="NIH57" s="0"/>
      <c r="NII57" s="0"/>
      <c r="NIJ57" s="0"/>
      <c r="NIK57" s="0"/>
      <c r="NIL57" s="0"/>
      <c r="NIM57" s="0"/>
      <c r="NIN57" s="0"/>
      <c r="NIO57" s="0"/>
      <c r="NIP57" s="0"/>
      <c r="NIQ57" s="0"/>
      <c r="NIR57" s="0"/>
      <c r="NIS57" s="0"/>
      <c r="NIT57" s="0"/>
      <c r="NIU57" s="0"/>
      <c r="NIV57" s="0"/>
      <c r="NIW57" s="0"/>
      <c r="NIX57" s="0"/>
      <c r="NIY57" s="0"/>
      <c r="NIZ57" s="0"/>
      <c r="NJA57" s="0"/>
      <c r="NJB57" s="0"/>
      <c r="NJC57" s="0"/>
      <c r="NJD57" s="0"/>
      <c r="NJE57" s="0"/>
      <c r="NJF57" s="0"/>
      <c r="NJG57" s="0"/>
      <c r="NJH57" s="0"/>
      <c r="NJI57" s="0"/>
      <c r="NJJ57" s="0"/>
      <c r="NJK57" s="0"/>
      <c r="NJL57" s="0"/>
      <c r="NJM57" s="0"/>
      <c r="NJN57" s="0"/>
      <c r="NJO57" s="0"/>
      <c r="NJP57" s="0"/>
      <c r="NJQ57" s="0"/>
      <c r="NJR57" s="0"/>
      <c r="NJS57" s="0"/>
      <c r="NJT57" s="0"/>
      <c r="NJU57" s="0"/>
      <c r="NJV57" s="0"/>
      <c r="NJW57" s="0"/>
      <c r="NJX57" s="0"/>
      <c r="NJY57" s="0"/>
      <c r="NJZ57" s="0"/>
      <c r="NKA57" s="0"/>
      <c r="NKB57" s="0"/>
      <c r="NKC57" s="0"/>
      <c r="NKD57" s="0"/>
      <c r="NKE57" s="0"/>
      <c r="NKF57" s="0"/>
      <c r="NKG57" s="0"/>
      <c r="NKH57" s="0"/>
      <c r="NKI57" s="0"/>
      <c r="NKJ57" s="0"/>
      <c r="NKK57" s="0"/>
      <c r="NKL57" s="0"/>
      <c r="NKM57" s="0"/>
      <c r="NKN57" s="0"/>
      <c r="NKO57" s="0"/>
      <c r="NKP57" s="0"/>
      <c r="NKQ57" s="0"/>
      <c r="NKR57" s="0"/>
      <c r="NKS57" s="0"/>
      <c r="NKT57" s="0"/>
      <c r="NKU57" s="0"/>
      <c r="NKV57" s="0"/>
      <c r="NKW57" s="0"/>
      <c r="NKX57" s="0"/>
      <c r="NKY57" s="0"/>
      <c r="NKZ57" s="0"/>
      <c r="NLA57" s="0"/>
      <c r="NLB57" s="0"/>
      <c r="NLC57" s="0"/>
      <c r="NLD57" s="0"/>
      <c r="NLE57" s="0"/>
      <c r="NLF57" s="0"/>
      <c r="NLG57" s="0"/>
      <c r="NLH57" s="0"/>
      <c r="NLI57" s="0"/>
      <c r="NLJ57" s="0"/>
      <c r="NLK57" s="0"/>
      <c r="NLL57" s="0"/>
      <c r="NLM57" s="0"/>
      <c r="NLN57" s="0"/>
      <c r="NLO57" s="0"/>
      <c r="NLP57" s="0"/>
      <c r="NLQ57" s="0"/>
      <c r="NLR57" s="0"/>
      <c r="NLS57" s="0"/>
      <c r="NLT57" s="0"/>
      <c r="NLU57" s="0"/>
      <c r="NLV57" s="0"/>
      <c r="NLW57" s="0"/>
      <c r="NLX57" s="0"/>
      <c r="NLY57" s="0"/>
      <c r="NLZ57" s="0"/>
      <c r="NMA57" s="0"/>
      <c r="NMB57" s="0"/>
      <c r="NMC57" s="0"/>
      <c r="NMD57" s="0"/>
      <c r="NME57" s="0"/>
      <c r="NMF57" s="0"/>
      <c r="NMG57" s="0"/>
      <c r="NMH57" s="0"/>
      <c r="NMI57" s="0"/>
      <c r="NMJ57" s="0"/>
      <c r="NMK57" s="0"/>
      <c r="NML57" s="0"/>
      <c r="NMM57" s="0"/>
      <c r="NMN57" s="0"/>
      <c r="NMO57" s="0"/>
      <c r="NMP57" s="0"/>
      <c r="NMQ57" s="0"/>
      <c r="NMR57" s="0"/>
      <c r="NMS57" s="0"/>
      <c r="NMT57" s="0"/>
      <c r="NMU57" s="0"/>
      <c r="NMV57" s="0"/>
      <c r="NMW57" s="0"/>
      <c r="NMX57" s="0"/>
      <c r="NMY57" s="0"/>
      <c r="NMZ57" s="0"/>
      <c r="NNA57" s="0"/>
      <c r="NNB57" s="0"/>
      <c r="NNC57" s="0"/>
      <c r="NND57" s="0"/>
      <c r="NNE57" s="0"/>
      <c r="NNF57" s="0"/>
      <c r="NNG57" s="0"/>
      <c r="NNH57" s="0"/>
      <c r="NNI57" s="0"/>
      <c r="NNJ57" s="0"/>
      <c r="NNK57" s="0"/>
      <c r="NNL57" s="0"/>
      <c r="NNM57" s="0"/>
      <c r="NNN57" s="0"/>
      <c r="NNO57" s="0"/>
      <c r="NNP57" s="0"/>
      <c r="NNQ57" s="0"/>
      <c r="NNR57" s="0"/>
      <c r="NNS57" s="0"/>
      <c r="NNT57" s="0"/>
      <c r="NNU57" s="0"/>
      <c r="NNV57" s="0"/>
      <c r="NNW57" s="0"/>
      <c r="NNX57" s="0"/>
      <c r="NNY57" s="0"/>
      <c r="NNZ57" s="0"/>
      <c r="NOA57" s="0"/>
      <c r="NOB57" s="0"/>
      <c r="NOC57" s="0"/>
      <c r="NOD57" s="0"/>
      <c r="NOE57" s="0"/>
      <c r="NOF57" s="0"/>
      <c r="NOG57" s="0"/>
      <c r="NOH57" s="0"/>
      <c r="NOI57" s="0"/>
      <c r="NOJ57" s="0"/>
      <c r="NOK57" s="0"/>
      <c r="NOL57" s="0"/>
      <c r="NOM57" s="0"/>
      <c r="NON57" s="0"/>
      <c r="NOO57" s="0"/>
      <c r="NOP57" s="0"/>
      <c r="NOQ57" s="0"/>
      <c r="NOR57" s="0"/>
      <c r="NOS57" s="0"/>
      <c r="NOT57" s="0"/>
      <c r="NOU57" s="0"/>
      <c r="NOV57" s="0"/>
      <c r="NOW57" s="0"/>
      <c r="NOX57" s="0"/>
      <c r="NOY57" s="0"/>
      <c r="NOZ57" s="0"/>
      <c r="NPA57" s="0"/>
      <c r="NPB57" s="0"/>
      <c r="NPC57" s="0"/>
      <c r="NPD57" s="0"/>
      <c r="NPE57" s="0"/>
      <c r="NPF57" s="0"/>
      <c r="NPG57" s="0"/>
      <c r="NPH57" s="0"/>
      <c r="NPI57" s="0"/>
      <c r="NPJ57" s="0"/>
      <c r="NPK57" s="0"/>
      <c r="NPL57" s="0"/>
      <c r="NPM57" s="0"/>
      <c r="NPN57" s="0"/>
      <c r="NPO57" s="0"/>
      <c r="NPP57" s="0"/>
      <c r="NPQ57" s="0"/>
      <c r="NPR57" s="0"/>
      <c r="NPS57" s="0"/>
      <c r="NPT57" s="0"/>
      <c r="NPU57" s="0"/>
      <c r="NPV57" s="0"/>
      <c r="NPW57" s="0"/>
      <c r="NPX57" s="0"/>
      <c r="NPY57" s="0"/>
      <c r="NPZ57" s="0"/>
      <c r="NQA57" s="0"/>
      <c r="NQB57" s="0"/>
      <c r="NQC57" s="0"/>
      <c r="NQD57" s="0"/>
      <c r="NQE57" s="0"/>
      <c r="NQF57" s="0"/>
      <c r="NQG57" s="0"/>
      <c r="NQH57" s="0"/>
      <c r="NQI57" s="0"/>
      <c r="NQJ57" s="0"/>
      <c r="NQK57" s="0"/>
      <c r="NQL57" s="0"/>
      <c r="NQM57" s="0"/>
      <c r="NQN57" s="0"/>
      <c r="NQO57" s="0"/>
      <c r="NQP57" s="0"/>
      <c r="NQQ57" s="0"/>
      <c r="NQR57" s="0"/>
      <c r="NQS57" s="0"/>
      <c r="NQT57" s="0"/>
      <c r="NQU57" s="0"/>
      <c r="NQV57" s="0"/>
      <c r="NQW57" s="0"/>
      <c r="NQX57" s="0"/>
      <c r="NQY57" s="0"/>
      <c r="NQZ57" s="0"/>
      <c r="NRA57" s="0"/>
      <c r="NRB57" s="0"/>
      <c r="NRC57" s="0"/>
      <c r="NRD57" s="0"/>
      <c r="NRE57" s="0"/>
      <c r="NRF57" s="0"/>
      <c r="NRG57" s="0"/>
      <c r="NRH57" s="0"/>
      <c r="NRI57" s="0"/>
      <c r="NRJ57" s="0"/>
      <c r="NRK57" s="0"/>
      <c r="NRL57" s="0"/>
      <c r="NRM57" s="0"/>
      <c r="NRN57" s="0"/>
      <c r="NRO57" s="0"/>
      <c r="NRP57" s="0"/>
      <c r="NRQ57" s="0"/>
      <c r="NRR57" s="0"/>
      <c r="NRS57" s="0"/>
      <c r="NRT57" s="0"/>
      <c r="NRU57" s="0"/>
      <c r="NRV57" s="0"/>
      <c r="NRW57" s="0"/>
      <c r="NRX57" s="0"/>
      <c r="NRY57" s="0"/>
      <c r="NRZ57" s="0"/>
      <c r="NSA57" s="0"/>
      <c r="NSB57" s="0"/>
      <c r="NSC57" s="0"/>
      <c r="NSD57" s="0"/>
      <c r="NSE57" s="0"/>
      <c r="NSF57" s="0"/>
      <c r="NSG57" s="0"/>
      <c r="NSH57" s="0"/>
      <c r="NSI57" s="0"/>
      <c r="NSJ57" s="0"/>
      <c r="NSK57" s="0"/>
      <c r="NSL57" s="0"/>
      <c r="NSM57" s="0"/>
      <c r="NSN57" s="0"/>
      <c r="NSO57" s="0"/>
      <c r="NSP57" s="0"/>
      <c r="NSQ57" s="0"/>
      <c r="NSR57" s="0"/>
      <c r="NSS57" s="0"/>
      <c r="NST57" s="0"/>
      <c r="NSU57" s="0"/>
      <c r="NSV57" s="0"/>
      <c r="NSW57" s="0"/>
      <c r="NSX57" s="0"/>
      <c r="NSY57" s="0"/>
      <c r="NSZ57" s="0"/>
      <c r="NTA57" s="0"/>
      <c r="NTB57" s="0"/>
      <c r="NTC57" s="0"/>
      <c r="NTD57" s="0"/>
      <c r="NTE57" s="0"/>
      <c r="NTF57" s="0"/>
      <c r="NTG57" s="0"/>
      <c r="NTH57" s="0"/>
      <c r="NTI57" s="0"/>
      <c r="NTJ57" s="0"/>
      <c r="NTK57" s="0"/>
      <c r="NTL57" s="0"/>
      <c r="NTM57" s="0"/>
      <c r="NTN57" s="0"/>
      <c r="NTO57" s="0"/>
      <c r="NTP57" s="0"/>
      <c r="NTQ57" s="0"/>
      <c r="NTR57" s="0"/>
      <c r="NTS57" s="0"/>
      <c r="NTT57" s="0"/>
      <c r="NTU57" s="0"/>
      <c r="NTV57" s="0"/>
      <c r="NTW57" s="0"/>
      <c r="NTX57" s="0"/>
      <c r="NTY57" s="0"/>
      <c r="NTZ57" s="0"/>
      <c r="NUA57" s="0"/>
      <c r="NUB57" s="0"/>
      <c r="NUC57" s="0"/>
      <c r="NUD57" s="0"/>
      <c r="NUE57" s="0"/>
      <c r="NUF57" s="0"/>
      <c r="NUG57" s="0"/>
      <c r="NUH57" s="0"/>
      <c r="NUI57" s="0"/>
      <c r="NUJ57" s="0"/>
      <c r="NUK57" s="0"/>
      <c r="NUL57" s="0"/>
      <c r="NUM57" s="0"/>
      <c r="NUN57" s="0"/>
      <c r="NUO57" s="0"/>
      <c r="NUP57" s="0"/>
      <c r="NUQ57" s="0"/>
      <c r="NUR57" s="0"/>
      <c r="NUS57" s="0"/>
      <c r="NUT57" s="0"/>
      <c r="NUU57" s="0"/>
      <c r="NUV57" s="0"/>
      <c r="NUW57" s="0"/>
      <c r="NUX57" s="0"/>
      <c r="NUY57" s="0"/>
      <c r="NUZ57" s="0"/>
      <c r="NVA57" s="0"/>
      <c r="NVB57" s="0"/>
      <c r="NVC57" s="0"/>
      <c r="NVD57" s="0"/>
      <c r="NVE57" s="0"/>
      <c r="NVF57" s="0"/>
      <c r="NVG57" s="0"/>
      <c r="NVH57" s="0"/>
      <c r="NVI57" s="0"/>
      <c r="NVJ57" s="0"/>
      <c r="NVK57" s="0"/>
      <c r="NVL57" s="0"/>
      <c r="NVM57" s="0"/>
      <c r="NVN57" s="0"/>
      <c r="NVO57" s="0"/>
      <c r="NVP57" s="0"/>
      <c r="NVQ57" s="0"/>
      <c r="NVR57" s="0"/>
      <c r="NVS57" s="0"/>
      <c r="NVT57" s="0"/>
      <c r="NVU57" s="0"/>
      <c r="NVV57" s="0"/>
      <c r="NVW57" s="0"/>
      <c r="NVX57" s="0"/>
      <c r="NVY57" s="0"/>
      <c r="NVZ57" s="0"/>
      <c r="NWA57" s="0"/>
      <c r="NWB57" s="0"/>
      <c r="NWC57" s="0"/>
      <c r="NWD57" s="0"/>
      <c r="NWE57" s="0"/>
      <c r="NWF57" s="0"/>
      <c r="NWG57" s="0"/>
      <c r="NWH57" s="0"/>
      <c r="NWI57" s="0"/>
      <c r="NWJ57" s="0"/>
      <c r="NWK57" s="0"/>
      <c r="NWL57" s="0"/>
      <c r="NWM57" s="0"/>
      <c r="NWN57" s="0"/>
      <c r="NWO57" s="0"/>
      <c r="NWP57" s="0"/>
      <c r="NWQ57" s="0"/>
      <c r="NWR57" s="0"/>
      <c r="NWS57" s="0"/>
      <c r="NWT57" s="0"/>
      <c r="NWU57" s="0"/>
      <c r="NWV57" s="0"/>
      <c r="NWW57" s="0"/>
      <c r="NWX57" s="0"/>
      <c r="NWY57" s="0"/>
      <c r="NWZ57" s="0"/>
      <c r="NXA57" s="0"/>
      <c r="NXB57" s="0"/>
      <c r="NXC57" s="0"/>
      <c r="NXD57" s="0"/>
      <c r="NXE57" s="0"/>
      <c r="NXF57" s="0"/>
      <c r="NXG57" s="0"/>
      <c r="NXH57" s="0"/>
      <c r="NXI57" s="0"/>
      <c r="NXJ57" s="0"/>
      <c r="NXK57" s="0"/>
      <c r="NXL57" s="0"/>
      <c r="NXM57" s="0"/>
      <c r="NXN57" s="0"/>
      <c r="NXO57" s="0"/>
      <c r="NXP57" s="0"/>
      <c r="NXQ57" s="0"/>
      <c r="NXR57" s="0"/>
      <c r="NXS57" s="0"/>
      <c r="NXT57" s="0"/>
      <c r="NXU57" s="0"/>
      <c r="NXV57" s="0"/>
      <c r="NXW57" s="0"/>
      <c r="NXX57" s="0"/>
      <c r="NXY57" s="0"/>
      <c r="NXZ57" s="0"/>
      <c r="NYA57" s="0"/>
      <c r="NYB57" s="0"/>
      <c r="NYC57" s="0"/>
      <c r="NYD57" s="0"/>
      <c r="NYE57" s="0"/>
      <c r="NYF57" s="0"/>
      <c r="NYG57" s="0"/>
      <c r="NYH57" s="0"/>
      <c r="NYI57" s="0"/>
      <c r="NYJ57" s="0"/>
      <c r="NYK57" s="0"/>
      <c r="NYL57" s="0"/>
      <c r="NYM57" s="0"/>
      <c r="NYN57" s="0"/>
      <c r="NYO57" s="0"/>
      <c r="NYP57" s="0"/>
      <c r="NYQ57" s="0"/>
      <c r="NYR57" s="0"/>
      <c r="NYS57" s="0"/>
      <c r="NYT57" s="0"/>
      <c r="NYU57" s="0"/>
      <c r="NYV57" s="0"/>
      <c r="NYW57" s="0"/>
      <c r="NYX57" s="0"/>
      <c r="NYY57" s="0"/>
      <c r="NYZ57" s="0"/>
      <c r="NZA57" s="0"/>
      <c r="NZB57" s="0"/>
      <c r="NZC57" s="0"/>
      <c r="NZD57" s="0"/>
      <c r="NZE57" s="0"/>
      <c r="NZF57" s="0"/>
      <c r="NZG57" s="0"/>
      <c r="NZH57" s="0"/>
      <c r="NZI57" s="0"/>
      <c r="NZJ57" s="0"/>
      <c r="NZK57" s="0"/>
      <c r="NZL57" s="0"/>
      <c r="NZM57" s="0"/>
      <c r="NZN57" s="0"/>
      <c r="NZO57" s="0"/>
      <c r="NZP57" s="0"/>
      <c r="NZQ57" s="0"/>
      <c r="NZR57" s="0"/>
      <c r="NZS57" s="0"/>
      <c r="NZT57" s="0"/>
      <c r="NZU57" s="0"/>
      <c r="NZV57" s="0"/>
      <c r="NZW57" s="0"/>
      <c r="NZX57" s="0"/>
      <c r="NZY57" s="0"/>
      <c r="NZZ57" s="0"/>
      <c r="OAA57" s="0"/>
      <c r="OAB57" s="0"/>
      <c r="OAC57" s="0"/>
      <c r="OAD57" s="0"/>
      <c r="OAE57" s="0"/>
      <c r="OAF57" s="0"/>
      <c r="OAG57" s="0"/>
      <c r="OAH57" s="0"/>
      <c r="OAI57" s="0"/>
      <c r="OAJ57" s="0"/>
      <c r="OAK57" s="0"/>
      <c r="OAL57" s="0"/>
      <c r="OAM57" s="0"/>
      <c r="OAN57" s="0"/>
      <c r="OAO57" s="0"/>
      <c r="OAP57" s="0"/>
      <c r="OAQ57" s="0"/>
      <c r="OAR57" s="0"/>
      <c r="OAS57" s="0"/>
      <c r="OAT57" s="0"/>
      <c r="OAU57" s="0"/>
      <c r="OAV57" s="0"/>
      <c r="OAW57" s="0"/>
      <c r="OAX57" s="0"/>
      <c r="OAY57" s="0"/>
      <c r="OAZ57" s="0"/>
      <c r="OBA57" s="0"/>
      <c r="OBB57" s="0"/>
      <c r="OBC57" s="0"/>
      <c r="OBD57" s="0"/>
      <c r="OBE57" s="0"/>
      <c r="OBF57" s="0"/>
      <c r="OBG57" s="0"/>
      <c r="OBH57" s="0"/>
      <c r="OBI57" s="0"/>
      <c r="OBJ57" s="0"/>
      <c r="OBK57" s="0"/>
      <c r="OBL57" s="0"/>
      <c r="OBM57" s="0"/>
      <c r="OBN57" s="0"/>
      <c r="OBO57" s="0"/>
      <c r="OBP57" s="0"/>
      <c r="OBQ57" s="0"/>
      <c r="OBR57" s="0"/>
      <c r="OBS57" s="0"/>
      <c r="OBT57" s="0"/>
      <c r="OBU57" s="0"/>
      <c r="OBV57" s="0"/>
      <c r="OBW57" s="0"/>
      <c r="OBX57" s="0"/>
      <c r="OBY57" s="0"/>
      <c r="OBZ57" s="0"/>
      <c r="OCA57" s="0"/>
      <c r="OCB57" s="0"/>
      <c r="OCC57" s="0"/>
      <c r="OCD57" s="0"/>
      <c r="OCE57" s="0"/>
      <c r="OCF57" s="0"/>
      <c r="OCG57" s="0"/>
      <c r="OCH57" s="0"/>
      <c r="OCI57" s="0"/>
      <c r="OCJ57" s="0"/>
      <c r="OCK57" s="0"/>
      <c r="OCL57" s="0"/>
      <c r="OCM57" s="0"/>
      <c r="OCN57" s="0"/>
      <c r="OCO57" s="0"/>
      <c r="OCP57" s="0"/>
      <c r="OCQ57" s="0"/>
      <c r="OCR57" s="0"/>
      <c r="OCS57" s="0"/>
      <c r="OCT57" s="0"/>
      <c r="OCU57" s="0"/>
      <c r="OCV57" s="0"/>
      <c r="OCW57" s="0"/>
      <c r="OCX57" s="0"/>
      <c r="OCY57" s="0"/>
      <c r="OCZ57" s="0"/>
      <c r="ODA57" s="0"/>
      <c r="ODB57" s="0"/>
      <c r="ODC57" s="0"/>
      <c r="ODD57" s="0"/>
      <c r="ODE57" s="0"/>
      <c r="ODF57" s="0"/>
      <c r="ODG57" s="0"/>
      <c r="ODH57" s="0"/>
      <c r="ODI57" s="0"/>
      <c r="ODJ57" s="0"/>
      <c r="ODK57" s="0"/>
      <c r="ODL57" s="0"/>
      <c r="ODM57" s="0"/>
      <c r="ODN57" s="0"/>
      <c r="ODO57" s="0"/>
      <c r="ODP57" s="0"/>
      <c r="ODQ57" s="0"/>
      <c r="ODR57" s="0"/>
      <c r="ODS57" s="0"/>
      <c r="ODT57" s="0"/>
      <c r="ODU57" s="0"/>
      <c r="ODV57" s="0"/>
      <c r="ODW57" s="0"/>
      <c r="ODX57" s="0"/>
      <c r="ODY57" s="0"/>
      <c r="ODZ57" s="0"/>
      <c r="OEA57" s="0"/>
      <c r="OEB57" s="0"/>
      <c r="OEC57" s="0"/>
      <c r="OED57" s="0"/>
      <c r="OEE57" s="0"/>
      <c r="OEF57" s="0"/>
      <c r="OEG57" s="0"/>
      <c r="OEH57" s="0"/>
      <c r="OEI57" s="0"/>
      <c r="OEJ57" s="0"/>
      <c r="OEK57" s="0"/>
      <c r="OEL57" s="0"/>
      <c r="OEM57" s="0"/>
      <c r="OEN57" s="0"/>
      <c r="OEO57" s="0"/>
      <c r="OEP57" s="0"/>
      <c r="OEQ57" s="0"/>
      <c r="OER57" s="0"/>
      <c r="OES57" s="0"/>
      <c r="OET57" s="0"/>
      <c r="OEU57" s="0"/>
      <c r="OEV57" s="0"/>
      <c r="OEW57" s="0"/>
      <c r="OEX57" s="0"/>
      <c r="OEY57" s="0"/>
      <c r="OEZ57" s="0"/>
      <c r="OFA57" s="0"/>
      <c r="OFB57" s="0"/>
      <c r="OFC57" s="0"/>
      <c r="OFD57" s="0"/>
      <c r="OFE57" s="0"/>
      <c r="OFF57" s="0"/>
      <c r="OFG57" s="0"/>
      <c r="OFH57" s="0"/>
      <c r="OFI57" s="0"/>
      <c r="OFJ57" s="0"/>
      <c r="OFK57" s="0"/>
      <c r="OFL57" s="0"/>
      <c r="OFM57" s="0"/>
      <c r="OFN57" s="0"/>
      <c r="OFO57" s="0"/>
      <c r="OFP57" s="0"/>
      <c r="OFQ57" s="0"/>
      <c r="OFR57" s="0"/>
      <c r="OFS57" s="0"/>
      <c r="OFT57" s="0"/>
      <c r="OFU57" s="0"/>
      <c r="OFV57" s="0"/>
      <c r="OFW57" s="0"/>
      <c r="OFX57" s="0"/>
      <c r="OFY57" s="0"/>
      <c r="OFZ57" s="0"/>
      <c r="OGA57" s="0"/>
      <c r="OGB57" s="0"/>
      <c r="OGC57" s="0"/>
      <c r="OGD57" s="0"/>
      <c r="OGE57" s="0"/>
      <c r="OGF57" s="0"/>
      <c r="OGG57" s="0"/>
      <c r="OGH57" s="0"/>
      <c r="OGI57" s="0"/>
      <c r="OGJ57" s="0"/>
      <c r="OGK57" s="0"/>
      <c r="OGL57" s="0"/>
      <c r="OGM57" s="0"/>
      <c r="OGN57" s="0"/>
      <c r="OGO57" s="0"/>
      <c r="OGP57" s="0"/>
      <c r="OGQ57" s="0"/>
      <c r="OGR57" s="0"/>
      <c r="OGS57" s="0"/>
      <c r="OGT57" s="0"/>
      <c r="OGU57" s="0"/>
      <c r="OGV57" s="0"/>
      <c r="OGW57" s="0"/>
      <c r="OGX57" s="0"/>
      <c r="OGY57" s="0"/>
      <c r="OGZ57" s="0"/>
      <c r="OHA57" s="0"/>
      <c r="OHB57" s="0"/>
      <c r="OHC57" s="0"/>
      <c r="OHD57" s="0"/>
      <c r="OHE57" s="0"/>
      <c r="OHF57" s="0"/>
      <c r="OHG57" s="0"/>
      <c r="OHH57" s="0"/>
      <c r="OHI57" s="0"/>
      <c r="OHJ57" s="0"/>
      <c r="OHK57" s="0"/>
      <c r="OHL57" s="0"/>
      <c r="OHM57" s="0"/>
      <c r="OHN57" s="0"/>
      <c r="OHO57" s="0"/>
      <c r="OHP57" s="0"/>
      <c r="OHQ57" s="0"/>
      <c r="OHR57" s="0"/>
      <c r="OHS57" s="0"/>
      <c r="OHT57" s="0"/>
      <c r="OHU57" s="0"/>
      <c r="OHV57" s="0"/>
      <c r="OHW57" s="0"/>
      <c r="OHX57" s="0"/>
      <c r="OHY57" s="0"/>
      <c r="OHZ57" s="0"/>
      <c r="OIA57" s="0"/>
      <c r="OIB57" s="0"/>
      <c r="OIC57" s="0"/>
      <c r="OID57" s="0"/>
      <c r="OIE57" s="0"/>
      <c r="OIF57" s="0"/>
      <c r="OIG57" s="0"/>
      <c r="OIH57" s="0"/>
      <c r="OII57" s="0"/>
      <c r="OIJ57" s="0"/>
      <c r="OIK57" s="0"/>
      <c r="OIL57" s="0"/>
      <c r="OIM57" s="0"/>
      <c r="OIN57" s="0"/>
      <c r="OIO57" s="0"/>
      <c r="OIP57" s="0"/>
      <c r="OIQ57" s="0"/>
      <c r="OIR57" s="0"/>
      <c r="OIS57" s="0"/>
      <c r="OIT57" s="0"/>
      <c r="OIU57" s="0"/>
      <c r="OIV57" s="0"/>
      <c r="OIW57" s="0"/>
      <c r="OIX57" s="0"/>
      <c r="OIY57" s="0"/>
      <c r="OIZ57" s="0"/>
      <c r="OJA57" s="0"/>
      <c r="OJB57" s="0"/>
      <c r="OJC57" s="0"/>
      <c r="OJD57" s="0"/>
      <c r="OJE57" s="0"/>
      <c r="OJF57" s="0"/>
      <c r="OJG57" s="0"/>
      <c r="OJH57" s="0"/>
      <c r="OJI57" s="0"/>
      <c r="OJJ57" s="0"/>
      <c r="OJK57" s="0"/>
      <c r="OJL57" s="0"/>
      <c r="OJM57" s="0"/>
      <c r="OJN57" s="0"/>
      <c r="OJO57" s="0"/>
      <c r="OJP57" s="0"/>
      <c r="OJQ57" s="0"/>
      <c r="OJR57" s="0"/>
      <c r="OJS57" s="0"/>
      <c r="OJT57" s="0"/>
      <c r="OJU57" s="0"/>
      <c r="OJV57" s="0"/>
      <c r="OJW57" s="0"/>
      <c r="OJX57" s="0"/>
      <c r="OJY57" s="0"/>
      <c r="OJZ57" s="0"/>
      <c r="OKA57" s="0"/>
      <c r="OKB57" s="0"/>
      <c r="OKC57" s="0"/>
      <c r="OKD57" s="0"/>
      <c r="OKE57" s="0"/>
      <c r="OKF57" s="0"/>
      <c r="OKG57" s="0"/>
      <c r="OKH57" s="0"/>
      <c r="OKI57" s="0"/>
      <c r="OKJ57" s="0"/>
      <c r="OKK57" s="0"/>
      <c r="OKL57" s="0"/>
      <c r="OKM57" s="0"/>
      <c r="OKN57" s="0"/>
      <c r="OKO57" s="0"/>
      <c r="OKP57" s="0"/>
      <c r="OKQ57" s="0"/>
      <c r="OKR57" s="0"/>
      <c r="OKS57" s="0"/>
      <c r="OKT57" s="0"/>
      <c r="OKU57" s="0"/>
      <c r="OKV57" s="0"/>
      <c r="OKW57" s="0"/>
      <c r="OKX57" s="0"/>
      <c r="OKY57" s="0"/>
      <c r="OKZ57" s="0"/>
      <c r="OLA57" s="0"/>
      <c r="OLB57" s="0"/>
      <c r="OLC57" s="0"/>
      <c r="OLD57" s="0"/>
      <c r="OLE57" s="0"/>
      <c r="OLF57" s="0"/>
      <c r="OLG57" s="0"/>
      <c r="OLH57" s="0"/>
      <c r="OLI57" s="0"/>
      <c r="OLJ57" s="0"/>
      <c r="OLK57" s="0"/>
      <c r="OLL57" s="0"/>
      <c r="OLM57" s="0"/>
      <c r="OLN57" s="0"/>
      <c r="OLO57" s="0"/>
      <c r="OLP57" s="0"/>
      <c r="OLQ57" s="0"/>
      <c r="OLR57" s="0"/>
      <c r="OLS57" s="0"/>
      <c r="OLT57" s="0"/>
      <c r="OLU57" s="0"/>
      <c r="OLV57" s="0"/>
      <c r="OLW57" s="0"/>
      <c r="OLX57" s="0"/>
      <c r="OLY57" s="0"/>
      <c r="OLZ57" s="0"/>
      <c r="OMA57" s="0"/>
      <c r="OMB57" s="0"/>
      <c r="OMC57" s="0"/>
      <c r="OMD57" s="0"/>
      <c r="OME57" s="0"/>
      <c r="OMF57" s="0"/>
      <c r="OMG57" s="0"/>
      <c r="OMH57" s="0"/>
      <c r="OMI57" s="0"/>
      <c r="OMJ57" s="0"/>
      <c r="OMK57" s="0"/>
      <c r="OML57" s="0"/>
      <c r="OMM57" s="0"/>
      <c r="OMN57" s="0"/>
      <c r="OMO57" s="0"/>
      <c r="OMP57" s="0"/>
      <c r="OMQ57" s="0"/>
      <c r="OMR57" s="0"/>
      <c r="OMS57" s="0"/>
      <c r="OMT57" s="0"/>
      <c r="OMU57" s="0"/>
      <c r="OMV57" s="0"/>
      <c r="OMW57" s="0"/>
      <c r="OMX57" s="0"/>
      <c r="OMY57" s="0"/>
      <c r="OMZ57" s="0"/>
      <c r="ONA57" s="0"/>
      <c r="ONB57" s="0"/>
      <c r="ONC57" s="0"/>
      <c r="OND57" s="0"/>
      <c r="ONE57" s="0"/>
      <c r="ONF57" s="0"/>
      <c r="ONG57" s="0"/>
      <c r="ONH57" s="0"/>
      <c r="ONI57" s="0"/>
      <c r="ONJ57" s="0"/>
      <c r="ONK57" s="0"/>
      <c r="ONL57" s="0"/>
      <c r="ONM57" s="0"/>
      <c r="ONN57" s="0"/>
      <c r="ONO57" s="0"/>
      <c r="ONP57" s="0"/>
      <c r="ONQ57" s="0"/>
      <c r="ONR57" s="0"/>
      <c r="ONS57" s="0"/>
      <c r="ONT57" s="0"/>
      <c r="ONU57" s="0"/>
      <c r="ONV57" s="0"/>
      <c r="ONW57" s="0"/>
      <c r="ONX57" s="0"/>
      <c r="ONY57" s="0"/>
      <c r="ONZ57" s="0"/>
      <c r="OOA57" s="0"/>
      <c r="OOB57" s="0"/>
      <c r="OOC57" s="0"/>
      <c r="OOD57" s="0"/>
      <c r="OOE57" s="0"/>
      <c r="OOF57" s="0"/>
      <c r="OOG57" s="0"/>
      <c r="OOH57" s="0"/>
      <c r="OOI57" s="0"/>
      <c r="OOJ57" s="0"/>
      <c r="OOK57" s="0"/>
      <c r="OOL57" s="0"/>
      <c r="OOM57" s="0"/>
      <c r="OON57" s="0"/>
      <c r="OOO57" s="0"/>
      <c r="OOP57" s="0"/>
      <c r="OOQ57" s="0"/>
      <c r="OOR57" s="0"/>
      <c r="OOS57" s="0"/>
      <c r="OOT57" s="0"/>
      <c r="OOU57" s="0"/>
      <c r="OOV57" s="0"/>
      <c r="OOW57" s="0"/>
      <c r="OOX57" s="0"/>
      <c r="OOY57" s="0"/>
      <c r="OOZ57" s="0"/>
      <c r="OPA57" s="0"/>
      <c r="OPB57" s="0"/>
      <c r="OPC57" s="0"/>
      <c r="OPD57" s="0"/>
      <c r="OPE57" s="0"/>
      <c r="OPF57" s="0"/>
      <c r="OPG57" s="0"/>
      <c r="OPH57" s="0"/>
      <c r="OPI57" s="0"/>
      <c r="OPJ57" s="0"/>
      <c r="OPK57" s="0"/>
      <c r="OPL57" s="0"/>
      <c r="OPM57" s="0"/>
      <c r="OPN57" s="0"/>
      <c r="OPO57" s="0"/>
      <c r="OPP57" s="0"/>
      <c r="OPQ57" s="0"/>
      <c r="OPR57" s="0"/>
      <c r="OPS57" s="0"/>
      <c r="OPT57" s="0"/>
      <c r="OPU57" s="0"/>
      <c r="OPV57" s="0"/>
      <c r="OPW57" s="0"/>
      <c r="OPX57" s="0"/>
      <c r="OPY57" s="0"/>
      <c r="OPZ57" s="0"/>
      <c r="OQA57" s="0"/>
      <c r="OQB57" s="0"/>
      <c r="OQC57" s="0"/>
      <c r="OQD57" s="0"/>
      <c r="OQE57" s="0"/>
      <c r="OQF57" s="0"/>
      <c r="OQG57" s="0"/>
      <c r="OQH57" s="0"/>
      <c r="OQI57" s="0"/>
      <c r="OQJ57" s="0"/>
      <c r="OQK57" s="0"/>
      <c r="OQL57" s="0"/>
      <c r="OQM57" s="0"/>
      <c r="OQN57" s="0"/>
      <c r="OQO57" s="0"/>
      <c r="OQP57" s="0"/>
      <c r="OQQ57" s="0"/>
      <c r="OQR57" s="0"/>
      <c r="OQS57" s="0"/>
      <c r="OQT57" s="0"/>
      <c r="OQU57" s="0"/>
      <c r="OQV57" s="0"/>
      <c r="OQW57" s="0"/>
      <c r="OQX57" s="0"/>
      <c r="OQY57" s="0"/>
      <c r="OQZ57" s="0"/>
      <c r="ORA57" s="0"/>
      <c r="ORB57" s="0"/>
      <c r="ORC57" s="0"/>
      <c r="ORD57" s="0"/>
      <c r="ORE57" s="0"/>
      <c r="ORF57" s="0"/>
      <c r="ORG57" s="0"/>
      <c r="ORH57" s="0"/>
      <c r="ORI57" s="0"/>
      <c r="ORJ57" s="0"/>
      <c r="ORK57" s="0"/>
      <c r="ORL57" s="0"/>
      <c r="ORM57" s="0"/>
      <c r="ORN57" s="0"/>
      <c r="ORO57" s="0"/>
      <c r="ORP57" s="0"/>
      <c r="ORQ57" s="0"/>
      <c r="ORR57" s="0"/>
      <c r="ORS57" s="0"/>
      <c r="ORT57" s="0"/>
      <c r="ORU57" s="0"/>
      <c r="ORV57" s="0"/>
      <c r="ORW57" s="0"/>
      <c r="ORX57" s="0"/>
      <c r="ORY57" s="0"/>
      <c r="ORZ57" s="0"/>
      <c r="OSA57" s="0"/>
      <c r="OSB57" s="0"/>
      <c r="OSC57" s="0"/>
      <c r="OSD57" s="0"/>
      <c r="OSE57" s="0"/>
      <c r="OSF57" s="0"/>
      <c r="OSG57" s="0"/>
      <c r="OSH57" s="0"/>
      <c r="OSI57" s="0"/>
      <c r="OSJ57" s="0"/>
      <c r="OSK57" s="0"/>
      <c r="OSL57" s="0"/>
      <c r="OSM57" s="0"/>
      <c r="OSN57" s="0"/>
      <c r="OSO57" s="0"/>
      <c r="OSP57" s="0"/>
      <c r="OSQ57" s="0"/>
      <c r="OSR57" s="0"/>
      <c r="OSS57" s="0"/>
      <c r="OST57" s="0"/>
      <c r="OSU57" s="0"/>
      <c r="OSV57" s="0"/>
      <c r="OSW57" s="0"/>
      <c r="OSX57" s="0"/>
      <c r="OSY57" s="0"/>
      <c r="OSZ57" s="0"/>
      <c r="OTA57" s="0"/>
      <c r="OTB57" s="0"/>
      <c r="OTC57" s="0"/>
      <c r="OTD57" s="0"/>
      <c r="OTE57" s="0"/>
      <c r="OTF57" s="0"/>
      <c r="OTG57" s="0"/>
      <c r="OTH57" s="0"/>
      <c r="OTI57" s="0"/>
      <c r="OTJ57" s="0"/>
      <c r="OTK57" s="0"/>
      <c r="OTL57" s="0"/>
      <c r="OTM57" s="0"/>
      <c r="OTN57" s="0"/>
      <c r="OTO57" s="0"/>
      <c r="OTP57" s="0"/>
      <c r="OTQ57" s="0"/>
      <c r="OTR57" s="0"/>
      <c r="OTS57" s="0"/>
      <c r="OTT57" s="0"/>
      <c r="OTU57" s="0"/>
      <c r="OTV57" s="0"/>
      <c r="OTW57" s="0"/>
      <c r="OTX57" s="0"/>
      <c r="OTY57" s="0"/>
      <c r="OTZ57" s="0"/>
      <c r="OUA57" s="0"/>
      <c r="OUB57" s="0"/>
      <c r="OUC57" s="0"/>
      <c r="OUD57" s="0"/>
      <c r="OUE57" s="0"/>
      <c r="OUF57" s="0"/>
      <c r="OUG57" s="0"/>
      <c r="OUH57" s="0"/>
      <c r="OUI57" s="0"/>
      <c r="OUJ57" s="0"/>
      <c r="OUK57" s="0"/>
      <c r="OUL57" s="0"/>
      <c r="OUM57" s="0"/>
      <c r="OUN57" s="0"/>
      <c r="OUO57" s="0"/>
      <c r="OUP57" s="0"/>
      <c r="OUQ57" s="0"/>
      <c r="OUR57" s="0"/>
      <c r="OUS57" s="0"/>
      <c r="OUT57" s="0"/>
      <c r="OUU57" s="0"/>
      <c r="OUV57" s="0"/>
      <c r="OUW57" s="0"/>
      <c r="OUX57" s="0"/>
      <c r="OUY57" s="0"/>
      <c r="OUZ57" s="0"/>
      <c r="OVA57" s="0"/>
      <c r="OVB57" s="0"/>
      <c r="OVC57" s="0"/>
      <c r="OVD57" s="0"/>
      <c r="OVE57" s="0"/>
      <c r="OVF57" s="0"/>
      <c r="OVG57" s="0"/>
      <c r="OVH57" s="0"/>
      <c r="OVI57" s="0"/>
      <c r="OVJ57" s="0"/>
      <c r="OVK57" s="0"/>
      <c r="OVL57" s="0"/>
      <c r="OVM57" s="0"/>
      <c r="OVN57" s="0"/>
      <c r="OVO57" s="0"/>
      <c r="OVP57" s="0"/>
      <c r="OVQ57" s="0"/>
      <c r="OVR57" s="0"/>
      <c r="OVS57" s="0"/>
      <c r="OVT57" s="0"/>
      <c r="OVU57" s="0"/>
      <c r="OVV57" s="0"/>
      <c r="OVW57" s="0"/>
      <c r="OVX57" s="0"/>
      <c r="OVY57" s="0"/>
      <c r="OVZ57" s="0"/>
      <c r="OWA57" s="0"/>
      <c r="OWB57" s="0"/>
      <c r="OWC57" s="0"/>
      <c r="OWD57" s="0"/>
      <c r="OWE57" s="0"/>
      <c r="OWF57" s="0"/>
      <c r="OWG57" s="0"/>
      <c r="OWH57" s="0"/>
      <c r="OWI57" s="0"/>
      <c r="OWJ57" s="0"/>
      <c r="OWK57" s="0"/>
      <c r="OWL57" s="0"/>
      <c r="OWM57" s="0"/>
      <c r="OWN57" s="0"/>
      <c r="OWO57" s="0"/>
      <c r="OWP57" s="0"/>
      <c r="OWQ57" s="0"/>
      <c r="OWR57" s="0"/>
      <c r="OWS57" s="0"/>
      <c r="OWT57" s="0"/>
      <c r="OWU57" s="0"/>
      <c r="OWV57" s="0"/>
      <c r="OWW57" s="0"/>
      <c r="OWX57" s="0"/>
      <c r="OWY57" s="0"/>
      <c r="OWZ57" s="0"/>
      <c r="OXA57" s="0"/>
      <c r="OXB57" s="0"/>
      <c r="OXC57" s="0"/>
      <c r="OXD57" s="0"/>
      <c r="OXE57" s="0"/>
      <c r="OXF57" s="0"/>
      <c r="OXG57" s="0"/>
      <c r="OXH57" s="0"/>
      <c r="OXI57" s="0"/>
      <c r="OXJ57" s="0"/>
      <c r="OXK57" s="0"/>
      <c r="OXL57" s="0"/>
      <c r="OXM57" s="0"/>
      <c r="OXN57" s="0"/>
      <c r="OXO57" s="0"/>
      <c r="OXP57" s="0"/>
      <c r="OXQ57" s="0"/>
      <c r="OXR57" s="0"/>
      <c r="OXS57" s="0"/>
      <c r="OXT57" s="0"/>
      <c r="OXU57" s="0"/>
      <c r="OXV57" s="0"/>
      <c r="OXW57" s="0"/>
      <c r="OXX57" s="0"/>
      <c r="OXY57" s="0"/>
      <c r="OXZ57" s="0"/>
      <c r="OYA57" s="0"/>
      <c r="OYB57" s="0"/>
      <c r="OYC57" s="0"/>
      <c r="OYD57" s="0"/>
      <c r="OYE57" s="0"/>
      <c r="OYF57" s="0"/>
      <c r="OYG57" s="0"/>
      <c r="OYH57" s="0"/>
      <c r="OYI57" s="0"/>
      <c r="OYJ57" s="0"/>
      <c r="OYK57" s="0"/>
      <c r="OYL57" s="0"/>
      <c r="OYM57" s="0"/>
      <c r="OYN57" s="0"/>
      <c r="OYO57" s="0"/>
      <c r="OYP57" s="0"/>
      <c r="OYQ57" s="0"/>
      <c r="OYR57" s="0"/>
      <c r="OYS57" s="0"/>
      <c r="OYT57" s="0"/>
      <c r="OYU57" s="0"/>
      <c r="OYV57" s="0"/>
      <c r="OYW57" s="0"/>
      <c r="OYX57" s="0"/>
      <c r="OYY57" s="0"/>
      <c r="OYZ57" s="0"/>
      <c r="OZA57" s="0"/>
      <c r="OZB57" s="0"/>
      <c r="OZC57" s="0"/>
      <c r="OZD57" s="0"/>
      <c r="OZE57" s="0"/>
      <c r="OZF57" s="0"/>
      <c r="OZG57" s="0"/>
      <c r="OZH57" s="0"/>
      <c r="OZI57" s="0"/>
      <c r="OZJ57" s="0"/>
      <c r="OZK57" s="0"/>
      <c r="OZL57" s="0"/>
      <c r="OZM57" s="0"/>
      <c r="OZN57" s="0"/>
      <c r="OZO57" s="0"/>
      <c r="OZP57" s="0"/>
      <c r="OZQ57" s="0"/>
      <c r="OZR57" s="0"/>
      <c r="OZS57" s="0"/>
      <c r="OZT57" s="0"/>
      <c r="OZU57" s="0"/>
      <c r="OZV57" s="0"/>
      <c r="OZW57" s="0"/>
      <c r="OZX57" s="0"/>
      <c r="OZY57" s="0"/>
      <c r="OZZ57" s="0"/>
      <c r="PAA57" s="0"/>
      <c r="PAB57" s="0"/>
      <c r="PAC57" s="0"/>
      <c r="PAD57" s="0"/>
      <c r="PAE57" s="0"/>
      <c r="PAF57" s="0"/>
      <c r="PAG57" s="0"/>
      <c r="PAH57" s="0"/>
      <c r="PAI57" s="0"/>
      <c r="PAJ57" s="0"/>
      <c r="PAK57" s="0"/>
      <c r="PAL57" s="0"/>
      <c r="PAM57" s="0"/>
      <c r="PAN57" s="0"/>
      <c r="PAO57" s="0"/>
      <c r="PAP57" s="0"/>
      <c r="PAQ57" s="0"/>
      <c r="PAR57" s="0"/>
      <c r="PAS57" s="0"/>
      <c r="PAT57" s="0"/>
      <c r="PAU57" s="0"/>
      <c r="PAV57" s="0"/>
      <c r="PAW57" s="0"/>
      <c r="PAX57" s="0"/>
      <c r="PAY57" s="0"/>
      <c r="PAZ57" s="0"/>
      <c r="PBA57" s="0"/>
      <c r="PBB57" s="0"/>
      <c r="PBC57" s="0"/>
      <c r="PBD57" s="0"/>
      <c r="PBE57" s="0"/>
      <c r="PBF57" s="0"/>
      <c r="PBG57" s="0"/>
      <c r="PBH57" s="0"/>
      <c r="PBI57" s="0"/>
      <c r="PBJ57" s="0"/>
      <c r="PBK57" s="0"/>
      <c r="PBL57" s="0"/>
      <c r="PBM57" s="0"/>
      <c r="PBN57" s="0"/>
      <c r="PBO57" s="0"/>
      <c r="PBP57" s="0"/>
      <c r="PBQ57" s="0"/>
      <c r="PBR57" s="0"/>
      <c r="PBS57" s="0"/>
      <c r="PBT57" s="0"/>
      <c r="PBU57" s="0"/>
      <c r="PBV57" s="0"/>
      <c r="PBW57" s="0"/>
      <c r="PBX57" s="0"/>
      <c r="PBY57" s="0"/>
      <c r="PBZ57" s="0"/>
      <c r="PCA57" s="0"/>
      <c r="PCB57" s="0"/>
      <c r="PCC57" s="0"/>
      <c r="PCD57" s="0"/>
      <c r="PCE57" s="0"/>
      <c r="PCF57" s="0"/>
      <c r="PCG57" s="0"/>
      <c r="PCH57" s="0"/>
      <c r="PCI57" s="0"/>
      <c r="PCJ57" s="0"/>
      <c r="PCK57" s="0"/>
      <c r="PCL57" s="0"/>
      <c r="PCM57" s="0"/>
      <c r="PCN57" s="0"/>
      <c r="PCO57" s="0"/>
      <c r="PCP57" s="0"/>
      <c r="PCQ57" s="0"/>
      <c r="PCR57" s="0"/>
      <c r="PCS57" s="0"/>
      <c r="PCT57" s="0"/>
      <c r="PCU57" s="0"/>
      <c r="PCV57" s="0"/>
      <c r="PCW57" s="0"/>
      <c r="PCX57" s="0"/>
      <c r="PCY57" s="0"/>
      <c r="PCZ57" s="0"/>
      <c r="PDA57" s="0"/>
      <c r="PDB57" s="0"/>
      <c r="PDC57" s="0"/>
      <c r="PDD57" s="0"/>
      <c r="PDE57" s="0"/>
      <c r="PDF57" s="0"/>
      <c r="PDG57" s="0"/>
      <c r="PDH57" s="0"/>
      <c r="PDI57" s="0"/>
      <c r="PDJ57" s="0"/>
      <c r="PDK57" s="0"/>
      <c r="PDL57" s="0"/>
      <c r="PDM57" s="0"/>
      <c r="PDN57" s="0"/>
      <c r="PDO57" s="0"/>
      <c r="PDP57" s="0"/>
      <c r="PDQ57" s="0"/>
      <c r="PDR57" s="0"/>
      <c r="PDS57" s="0"/>
      <c r="PDT57" s="0"/>
      <c r="PDU57" s="0"/>
      <c r="PDV57" s="0"/>
      <c r="PDW57" s="0"/>
      <c r="PDX57" s="0"/>
      <c r="PDY57" s="0"/>
      <c r="PDZ57" s="0"/>
      <c r="PEA57" s="0"/>
      <c r="PEB57" s="0"/>
      <c r="PEC57" s="0"/>
      <c r="PED57" s="0"/>
      <c r="PEE57" s="0"/>
      <c r="PEF57" s="0"/>
      <c r="PEG57" s="0"/>
      <c r="PEH57" s="0"/>
      <c r="PEI57" s="0"/>
      <c r="PEJ57" s="0"/>
      <c r="PEK57" s="0"/>
      <c r="PEL57" s="0"/>
      <c r="PEM57" s="0"/>
      <c r="PEN57" s="0"/>
      <c r="PEO57" s="0"/>
      <c r="PEP57" s="0"/>
      <c r="PEQ57" s="0"/>
      <c r="PER57" s="0"/>
      <c r="PES57" s="0"/>
      <c r="PET57" s="0"/>
      <c r="PEU57" s="0"/>
      <c r="PEV57" s="0"/>
      <c r="PEW57" s="0"/>
      <c r="PEX57" s="0"/>
      <c r="PEY57" s="0"/>
      <c r="PEZ57" s="0"/>
      <c r="PFA57" s="0"/>
      <c r="PFB57" s="0"/>
      <c r="PFC57" s="0"/>
      <c r="PFD57" s="0"/>
      <c r="PFE57" s="0"/>
      <c r="PFF57" s="0"/>
      <c r="PFG57" s="0"/>
      <c r="PFH57" s="0"/>
      <c r="PFI57" s="0"/>
      <c r="PFJ57" s="0"/>
      <c r="PFK57" s="0"/>
      <c r="PFL57" s="0"/>
      <c r="PFM57" s="0"/>
      <c r="PFN57" s="0"/>
      <c r="PFO57" s="0"/>
      <c r="PFP57" s="0"/>
      <c r="PFQ57" s="0"/>
      <c r="PFR57" s="0"/>
      <c r="PFS57" s="0"/>
      <c r="PFT57" s="0"/>
      <c r="PFU57" s="0"/>
      <c r="PFV57" s="0"/>
      <c r="PFW57" s="0"/>
      <c r="PFX57" s="0"/>
      <c r="PFY57" s="0"/>
      <c r="PFZ57" s="0"/>
      <c r="PGA57" s="0"/>
      <c r="PGB57" s="0"/>
      <c r="PGC57" s="0"/>
      <c r="PGD57" s="0"/>
      <c r="PGE57" s="0"/>
      <c r="PGF57" s="0"/>
      <c r="PGG57" s="0"/>
      <c r="PGH57" s="0"/>
      <c r="PGI57" s="0"/>
      <c r="PGJ57" s="0"/>
      <c r="PGK57" s="0"/>
      <c r="PGL57" s="0"/>
      <c r="PGM57" s="0"/>
      <c r="PGN57" s="0"/>
      <c r="PGO57" s="0"/>
      <c r="PGP57" s="0"/>
      <c r="PGQ57" s="0"/>
      <c r="PGR57" s="0"/>
      <c r="PGS57" s="0"/>
      <c r="PGT57" s="0"/>
      <c r="PGU57" s="0"/>
      <c r="PGV57" s="0"/>
      <c r="PGW57" s="0"/>
      <c r="PGX57" s="0"/>
      <c r="PGY57" s="0"/>
      <c r="PGZ57" s="0"/>
      <c r="PHA57" s="0"/>
      <c r="PHB57" s="0"/>
      <c r="PHC57" s="0"/>
      <c r="PHD57" s="0"/>
      <c r="PHE57" s="0"/>
      <c r="PHF57" s="0"/>
      <c r="PHG57" s="0"/>
      <c r="PHH57" s="0"/>
      <c r="PHI57" s="0"/>
      <c r="PHJ57" s="0"/>
      <c r="PHK57" s="0"/>
      <c r="PHL57" s="0"/>
      <c r="PHM57" s="0"/>
      <c r="PHN57" s="0"/>
      <c r="PHO57" s="0"/>
      <c r="PHP57" s="0"/>
      <c r="PHQ57" s="0"/>
      <c r="PHR57" s="0"/>
      <c r="PHS57" s="0"/>
      <c r="PHT57" s="0"/>
      <c r="PHU57" s="0"/>
      <c r="PHV57" s="0"/>
      <c r="PHW57" s="0"/>
      <c r="PHX57" s="0"/>
      <c r="PHY57" s="0"/>
      <c r="PHZ57" s="0"/>
      <c r="PIA57" s="0"/>
      <c r="PIB57" s="0"/>
      <c r="PIC57" s="0"/>
      <c r="PID57" s="0"/>
      <c r="PIE57" s="0"/>
      <c r="PIF57" s="0"/>
      <c r="PIG57" s="0"/>
      <c r="PIH57" s="0"/>
      <c r="PII57" s="0"/>
      <c r="PIJ57" s="0"/>
      <c r="PIK57" s="0"/>
      <c r="PIL57" s="0"/>
      <c r="PIM57" s="0"/>
      <c r="PIN57" s="0"/>
      <c r="PIO57" s="0"/>
      <c r="PIP57" s="0"/>
      <c r="PIQ57" s="0"/>
      <c r="PIR57" s="0"/>
      <c r="PIS57" s="0"/>
      <c r="PIT57" s="0"/>
      <c r="PIU57" s="0"/>
      <c r="PIV57" s="0"/>
      <c r="PIW57" s="0"/>
      <c r="PIX57" s="0"/>
      <c r="PIY57" s="0"/>
      <c r="PIZ57" s="0"/>
      <c r="PJA57" s="0"/>
      <c r="PJB57" s="0"/>
      <c r="PJC57" s="0"/>
      <c r="PJD57" s="0"/>
      <c r="PJE57" s="0"/>
      <c r="PJF57" s="0"/>
      <c r="PJG57" s="0"/>
      <c r="PJH57" s="0"/>
      <c r="PJI57" s="0"/>
      <c r="PJJ57" s="0"/>
      <c r="PJK57" s="0"/>
      <c r="PJL57" s="0"/>
      <c r="PJM57" s="0"/>
      <c r="PJN57" s="0"/>
      <c r="PJO57" s="0"/>
      <c r="PJP57" s="0"/>
      <c r="PJQ57" s="0"/>
      <c r="PJR57" s="0"/>
      <c r="PJS57" s="0"/>
      <c r="PJT57" s="0"/>
      <c r="PJU57" s="0"/>
      <c r="PJV57" s="0"/>
      <c r="PJW57" s="0"/>
      <c r="PJX57" s="0"/>
      <c r="PJY57" s="0"/>
      <c r="PJZ57" s="0"/>
      <c r="PKA57" s="0"/>
      <c r="PKB57" s="0"/>
      <c r="PKC57" s="0"/>
      <c r="PKD57" s="0"/>
      <c r="PKE57" s="0"/>
      <c r="PKF57" s="0"/>
      <c r="PKG57" s="0"/>
      <c r="PKH57" s="0"/>
      <c r="PKI57" s="0"/>
      <c r="PKJ57" s="0"/>
      <c r="PKK57" s="0"/>
      <c r="PKL57" s="0"/>
      <c r="PKM57" s="0"/>
      <c r="PKN57" s="0"/>
      <c r="PKO57" s="0"/>
      <c r="PKP57" s="0"/>
      <c r="PKQ57" s="0"/>
      <c r="PKR57" s="0"/>
      <c r="PKS57" s="0"/>
      <c r="PKT57" s="0"/>
      <c r="PKU57" s="0"/>
      <c r="PKV57" s="0"/>
      <c r="PKW57" s="0"/>
      <c r="PKX57" s="0"/>
      <c r="PKY57" s="0"/>
      <c r="PKZ57" s="0"/>
      <c r="PLA57" s="0"/>
      <c r="PLB57" s="0"/>
      <c r="PLC57" s="0"/>
      <c r="PLD57" s="0"/>
      <c r="PLE57" s="0"/>
      <c r="PLF57" s="0"/>
      <c r="PLG57" s="0"/>
      <c r="PLH57" s="0"/>
      <c r="PLI57" s="0"/>
      <c r="PLJ57" s="0"/>
      <c r="PLK57" s="0"/>
      <c r="PLL57" s="0"/>
      <c r="PLM57" s="0"/>
      <c r="PLN57" s="0"/>
      <c r="PLO57" s="0"/>
      <c r="PLP57" s="0"/>
      <c r="PLQ57" s="0"/>
      <c r="PLR57" s="0"/>
      <c r="PLS57" s="0"/>
      <c r="PLT57" s="0"/>
      <c r="PLU57" s="0"/>
      <c r="PLV57" s="0"/>
      <c r="PLW57" s="0"/>
      <c r="PLX57" s="0"/>
      <c r="PLY57" s="0"/>
      <c r="PLZ57" s="0"/>
      <c r="PMA57" s="0"/>
      <c r="PMB57" s="0"/>
      <c r="PMC57" s="0"/>
      <c r="PMD57" s="0"/>
      <c r="PME57" s="0"/>
      <c r="PMF57" s="0"/>
      <c r="PMG57" s="0"/>
      <c r="PMH57" s="0"/>
      <c r="PMI57" s="0"/>
      <c r="PMJ57" s="0"/>
      <c r="PMK57" s="0"/>
      <c r="PML57" s="0"/>
      <c r="PMM57" s="0"/>
      <c r="PMN57" s="0"/>
      <c r="PMO57" s="0"/>
      <c r="PMP57" s="0"/>
      <c r="PMQ57" s="0"/>
      <c r="PMR57" s="0"/>
      <c r="PMS57" s="0"/>
      <c r="PMT57" s="0"/>
      <c r="PMU57" s="0"/>
      <c r="PMV57" s="0"/>
      <c r="PMW57" s="0"/>
      <c r="PMX57" s="0"/>
      <c r="PMY57" s="0"/>
      <c r="PMZ57" s="0"/>
      <c r="PNA57" s="0"/>
      <c r="PNB57" s="0"/>
      <c r="PNC57" s="0"/>
      <c r="PND57" s="0"/>
      <c r="PNE57" s="0"/>
      <c r="PNF57" s="0"/>
      <c r="PNG57" s="0"/>
      <c r="PNH57" s="0"/>
      <c r="PNI57" s="0"/>
      <c r="PNJ57" s="0"/>
      <c r="PNK57" s="0"/>
      <c r="PNL57" s="0"/>
      <c r="PNM57" s="0"/>
      <c r="PNN57" s="0"/>
      <c r="PNO57" s="0"/>
      <c r="PNP57" s="0"/>
      <c r="PNQ57" s="0"/>
      <c r="PNR57" s="0"/>
      <c r="PNS57" s="0"/>
      <c r="PNT57" s="0"/>
      <c r="PNU57" s="0"/>
      <c r="PNV57" s="0"/>
      <c r="PNW57" s="0"/>
      <c r="PNX57" s="0"/>
      <c r="PNY57" s="0"/>
      <c r="PNZ57" s="0"/>
      <c r="POA57" s="0"/>
      <c r="POB57" s="0"/>
      <c r="POC57" s="0"/>
      <c r="POD57" s="0"/>
      <c r="POE57" s="0"/>
      <c r="POF57" s="0"/>
      <c r="POG57" s="0"/>
      <c r="POH57" s="0"/>
      <c r="POI57" s="0"/>
      <c r="POJ57" s="0"/>
      <c r="POK57" s="0"/>
      <c r="POL57" s="0"/>
      <c r="POM57" s="0"/>
      <c r="PON57" s="0"/>
      <c r="POO57" s="0"/>
      <c r="POP57" s="0"/>
      <c r="POQ57" s="0"/>
      <c r="POR57" s="0"/>
      <c r="POS57" s="0"/>
      <c r="POT57" s="0"/>
      <c r="POU57" s="0"/>
      <c r="POV57" s="0"/>
      <c r="POW57" s="0"/>
      <c r="POX57" s="0"/>
      <c r="POY57" s="0"/>
      <c r="POZ57" s="0"/>
      <c r="PPA57" s="0"/>
      <c r="PPB57" s="0"/>
      <c r="PPC57" s="0"/>
      <c r="PPD57" s="0"/>
      <c r="PPE57" s="0"/>
      <c r="PPF57" s="0"/>
      <c r="PPG57" s="0"/>
      <c r="PPH57" s="0"/>
      <c r="PPI57" s="0"/>
      <c r="PPJ57" s="0"/>
      <c r="PPK57" s="0"/>
      <c r="PPL57" s="0"/>
      <c r="PPM57" s="0"/>
      <c r="PPN57" s="0"/>
      <c r="PPO57" s="0"/>
      <c r="PPP57" s="0"/>
      <c r="PPQ57" s="0"/>
      <c r="PPR57" s="0"/>
      <c r="PPS57" s="0"/>
      <c r="PPT57" s="0"/>
      <c r="PPU57" s="0"/>
      <c r="PPV57" s="0"/>
      <c r="PPW57" s="0"/>
      <c r="PPX57" s="0"/>
      <c r="PPY57" s="0"/>
      <c r="PPZ57" s="0"/>
      <c r="PQA57" s="0"/>
      <c r="PQB57" s="0"/>
      <c r="PQC57" s="0"/>
      <c r="PQD57" s="0"/>
      <c r="PQE57" s="0"/>
      <c r="PQF57" s="0"/>
      <c r="PQG57" s="0"/>
      <c r="PQH57" s="0"/>
      <c r="PQI57" s="0"/>
      <c r="PQJ57" s="0"/>
      <c r="PQK57" s="0"/>
      <c r="PQL57" s="0"/>
      <c r="PQM57" s="0"/>
      <c r="PQN57" s="0"/>
      <c r="PQO57" s="0"/>
      <c r="PQP57" s="0"/>
      <c r="PQQ57" s="0"/>
      <c r="PQR57" s="0"/>
      <c r="PQS57" s="0"/>
      <c r="PQT57" s="0"/>
      <c r="PQU57" s="0"/>
      <c r="PQV57" s="0"/>
      <c r="PQW57" s="0"/>
      <c r="PQX57" s="0"/>
      <c r="PQY57" s="0"/>
      <c r="PQZ57" s="0"/>
      <c r="PRA57" s="0"/>
      <c r="PRB57" s="0"/>
      <c r="PRC57" s="0"/>
      <c r="PRD57" s="0"/>
      <c r="PRE57" s="0"/>
      <c r="PRF57" s="0"/>
      <c r="PRG57" s="0"/>
      <c r="PRH57" s="0"/>
      <c r="PRI57" s="0"/>
      <c r="PRJ57" s="0"/>
      <c r="PRK57" s="0"/>
      <c r="PRL57" s="0"/>
      <c r="PRM57" s="0"/>
      <c r="PRN57" s="0"/>
      <c r="PRO57" s="0"/>
      <c r="PRP57" s="0"/>
      <c r="PRQ57" s="0"/>
      <c r="PRR57" s="0"/>
      <c r="PRS57" s="0"/>
      <c r="PRT57" s="0"/>
      <c r="PRU57" s="0"/>
      <c r="PRV57" s="0"/>
      <c r="PRW57" s="0"/>
      <c r="PRX57" s="0"/>
      <c r="PRY57" s="0"/>
      <c r="PRZ57" s="0"/>
      <c r="PSA57" s="0"/>
      <c r="PSB57" s="0"/>
      <c r="PSC57" s="0"/>
      <c r="PSD57" s="0"/>
      <c r="PSE57" s="0"/>
      <c r="PSF57" s="0"/>
      <c r="PSG57" s="0"/>
      <c r="PSH57" s="0"/>
      <c r="PSI57" s="0"/>
      <c r="PSJ57" s="0"/>
      <c r="PSK57" s="0"/>
      <c r="PSL57" s="0"/>
      <c r="PSM57" s="0"/>
      <c r="PSN57" s="0"/>
      <c r="PSO57" s="0"/>
      <c r="PSP57" s="0"/>
      <c r="PSQ57" s="0"/>
      <c r="PSR57" s="0"/>
      <c r="PSS57" s="0"/>
      <c r="PST57" s="0"/>
      <c r="PSU57" s="0"/>
      <c r="PSV57" s="0"/>
      <c r="PSW57" s="0"/>
      <c r="PSX57" s="0"/>
      <c r="PSY57" s="0"/>
      <c r="PSZ57" s="0"/>
      <c r="PTA57" s="0"/>
      <c r="PTB57" s="0"/>
      <c r="PTC57" s="0"/>
      <c r="PTD57" s="0"/>
      <c r="PTE57" s="0"/>
      <c r="PTF57" s="0"/>
      <c r="PTG57" s="0"/>
      <c r="PTH57" s="0"/>
      <c r="PTI57" s="0"/>
      <c r="PTJ57" s="0"/>
      <c r="PTK57" s="0"/>
      <c r="PTL57" s="0"/>
      <c r="PTM57" s="0"/>
      <c r="PTN57" s="0"/>
      <c r="PTO57" s="0"/>
      <c r="PTP57" s="0"/>
      <c r="PTQ57" s="0"/>
      <c r="PTR57" s="0"/>
      <c r="PTS57" s="0"/>
      <c r="PTT57" s="0"/>
      <c r="PTU57" s="0"/>
      <c r="PTV57" s="0"/>
      <c r="PTW57" s="0"/>
      <c r="PTX57" s="0"/>
      <c r="PTY57" s="0"/>
      <c r="PTZ57" s="0"/>
      <c r="PUA57" s="0"/>
      <c r="PUB57" s="0"/>
      <c r="PUC57" s="0"/>
      <c r="PUD57" s="0"/>
      <c r="PUE57" s="0"/>
      <c r="PUF57" s="0"/>
      <c r="PUG57" s="0"/>
      <c r="PUH57" s="0"/>
      <c r="PUI57" s="0"/>
      <c r="PUJ57" s="0"/>
      <c r="PUK57" s="0"/>
      <c r="PUL57" s="0"/>
      <c r="PUM57" s="0"/>
      <c r="PUN57" s="0"/>
      <c r="PUO57" s="0"/>
      <c r="PUP57" s="0"/>
      <c r="PUQ57" s="0"/>
      <c r="PUR57" s="0"/>
      <c r="PUS57" s="0"/>
      <c r="PUT57" s="0"/>
      <c r="PUU57" s="0"/>
      <c r="PUV57" s="0"/>
      <c r="PUW57" s="0"/>
      <c r="PUX57" s="0"/>
      <c r="PUY57" s="0"/>
      <c r="PUZ57" s="0"/>
      <c r="PVA57" s="0"/>
      <c r="PVB57" s="0"/>
      <c r="PVC57" s="0"/>
      <c r="PVD57" s="0"/>
      <c r="PVE57" s="0"/>
      <c r="PVF57" s="0"/>
      <c r="PVG57" s="0"/>
      <c r="PVH57" s="0"/>
      <c r="PVI57" s="0"/>
      <c r="PVJ57" s="0"/>
      <c r="PVK57" s="0"/>
      <c r="PVL57" s="0"/>
      <c r="PVM57" s="0"/>
      <c r="PVN57" s="0"/>
      <c r="PVO57" s="0"/>
      <c r="PVP57" s="0"/>
      <c r="PVQ57" s="0"/>
      <c r="PVR57" s="0"/>
      <c r="PVS57" s="0"/>
      <c r="PVT57" s="0"/>
      <c r="PVU57" s="0"/>
      <c r="PVV57" s="0"/>
      <c r="PVW57" s="0"/>
      <c r="PVX57" s="0"/>
      <c r="PVY57" s="0"/>
      <c r="PVZ57" s="0"/>
      <c r="PWA57" s="0"/>
      <c r="PWB57" s="0"/>
      <c r="PWC57" s="0"/>
      <c r="PWD57" s="0"/>
      <c r="PWE57" s="0"/>
      <c r="PWF57" s="0"/>
      <c r="PWG57" s="0"/>
      <c r="PWH57" s="0"/>
      <c r="PWI57" s="0"/>
      <c r="PWJ57" s="0"/>
      <c r="PWK57" s="0"/>
      <c r="PWL57" s="0"/>
      <c r="PWM57" s="0"/>
      <c r="PWN57" s="0"/>
      <c r="PWO57" s="0"/>
      <c r="PWP57" s="0"/>
      <c r="PWQ57" s="0"/>
      <c r="PWR57" s="0"/>
      <c r="PWS57" s="0"/>
      <c r="PWT57" s="0"/>
      <c r="PWU57" s="0"/>
      <c r="PWV57" s="0"/>
      <c r="PWW57" s="0"/>
      <c r="PWX57" s="0"/>
      <c r="PWY57" s="0"/>
      <c r="PWZ57" s="0"/>
      <c r="PXA57" s="0"/>
      <c r="PXB57" s="0"/>
      <c r="PXC57" s="0"/>
      <c r="PXD57" s="0"/>
      <c r="PXE57" s="0"/>
      <c r="PXF57" s="0"/>
      <c r="PXG57" s="0"/>
      <c r="PXH57" s="0"/>
      <c r="PXI57" s="0"/>
      <c r="PXJ57" s="0"/>
      <c r="PXK57" s="0"/>
      <c r="PXL57" s="0"/>
      <c r="PXM57" s="0"/>
      <c r="PXN57" s="0"/>
      <c r="PXO57" s="0"/>
      <c r="PXP57" s="0"/>
      <c r="PXQ57" s="0"/>
      <c r="PXR57" s="0"/>
      <c r="PXS57" s="0"/>
      <c r="PXT57" s="0"/>
      <c r="PXU57" s="0"/>
      <c r="PXV57" s="0"/>
      <c r="PXW57" s="0"/>
      <c r="PXX57" s="0"/>
      <c r="PXY57" s="0"/>
      <c r="PXZ57" s="0"/>
      <c r="PYA57" s="0"/>
      <c r="PYB57" s="0"/>
      <c r="PYC57" s="0"/>
      <c r="PYD57" s="0"/>
      <c r="PYE57" s="0"/>
      <c r="PYF57" s="0"/>
      <c r="PYG57" s="0"/>
      <c r="PYH57" s="0"/>
      <c r="PYI57" s="0"/>
      <c r="PYJ57" s="0"/>
      <c r="PYK57" s="0"/>
      <c r="PYL57" s="0"/>
      <c r="PYM57" s="0"/>
      <c r="PYN57" s="0"/>
      <c r="PYO57" s="0"/>
      <c r="PYP57" s="0"/>
      <c r="PYQ57" s="0"/>
      <c r="PYR57" s="0"/>
      <c r="PYS57" s="0"/>
      <c r="PYT57" s="0"/>
      <c r="PYU57" s="0"/>
      <c r="PYV57" s="0"/>
      <c r="PYW57" s="0"/>
      <c r="PYX57" s="0"/>
      <c r="PYY57" s="0"/>
      <c r="PYZ57" s="0"/>
      <c r="PZA57" s="0"/>
      <c r="PZB57" s="0"/>
      <c r="PZC57" s="0"/>
      <c r="PZD57" s="0"/>
      <c r="PZE57" s="0"/>
      <c r="PZF57" s="0"/>
      <c r="PZG57" s="0"/>
      <c r="PZH57" s="0"/>
      <c r="PZI57" s="0"/>
      <c r="PZJ57" s="0"/>
      <c r="PZK57" s="0"/>
      <c r="PZL57" s="0"/>
      <c r="PZM57" s="0"/>
      <c r="PZN57" s="0"/>
      <c r="PZO57" s="0"/>
      <c r="PZP57" s="0"/>
      <c r="PZQ57" s="0"/>
      <c r="PZR57" s="0"/>
      <c r="PZS57" s="0"/>
      <c r="PZT57" s="0"/>
      <c r="PZU57" s="0"/>
      <c r="PZV57" s="0"/>
      <c r="PZW57" s="0"/>
      <c r="PZX57" s="0"/>
      <c r="PZY57" s="0"/>
      <c r="PZZ57" s="0"/>
      <c r="QAA57" s="0"/>
      <c r="QAB57" s="0"/>
      <c r="QAC57" s="0"/>
      <c r="QAD57" s="0"/>
      <c r="QAE57" s="0"/>
      <c r="QAF57" s="0"/>
      <c r="QAG57" s="0"/>
      <c r="QAH57" s="0"/>
      <c r="QAI57" s="0"/>
      <c r="QAJ57" s="0"/>
      <c r="QAK57" s="0"/>
      <c r="QAL57" s="0"/>
      <c r="QAM57" s="0"/>
      <c r="QAN57" s="0"/>
      <c r="QAO57" s="0"/>
      <c r="QAP57" s="0"/>
      <c r="QAQ57" s="0"/>
      <c r="QAR57" s="0"/>
      <c r="QAS57" s="0"/>
      <c r="QAT57" s="0"/>
      <c r="QAU57" s="0"/>
      <c r="QAV57" s="0"/>
      <c r="QAW57" s="0"/>
      <c r="QAX57" s="0"/>
      <c r="QAY57" s="0"/>
      <c r="QAZ57" s="0"/>
      <c r="QBA57" s="0"/>
      <c r="QBB57" s="0"/>
      <c r="QBC57" s="0"/>
      <c r="QBD57" s="0"/>
      <c r="QBE57" s="0"/>
      <c r="QBF57" s="0"/>
      <c r="QBG57" s="0"/>
      <c r="QBH57" s="0"/>
      <c r="QBI57" s="0"/>
      <c r="QBJ57" s="0"/>
      <c r="QBK57" s="0"/>
      <c r="QBL57" s="0"/>
      <c r="QBM57" s="0"/>
      <c r="QBN57" s="0"/>
      <c r="QBO57" s="0"/>
      <c r="QBP57" s="0"/>
      <c r="QBQ57" s="0"/>
      <c r="QBR57" s="0"/>
      <c r="QBS57" s="0"/>
      <c r="QBT57" s="0"/>
      <c r="QBU57" s="0"/>
      <c r="QBV57" s="0"/>
      <c r="QBW57" s="0"/>
      <c r="QBX57" s="0"/>
      <c r="QBY57" s="0"/>
      <c r="QBZ57" s="0"/>
      <c r="QCA57" s="0"/>
      <c r="QCB57" s="0"/>
      <c r="QCC57" s="0"/>
      <c r="QCD57" s="0"/>
      <c r="QCE57" s="0"/>
      <c r="QCF57" s="0"/>
      <c r="QCG57" s="0"/>
      <c r="QCH57" s="0"/>
      <c r="QCI57" s="0"/>
      <c r="QCJ57" s="0"/>
      <c r="QCK57" s="0"/>
      <c r="QCL57" s="0"/>
      <c r="QCM57" s="0"/>
      <c r="QCN57" s="0"/>
      <c r="QCO57" s="0"/>
      <c r="QCP57" s="0"/>
      <c r="QCQ57" s="0"/>
      <c r="QCR57" s="0"/>
      <c r="QCS57" s="0"/>
      <c r="QCT57" s="0"/>
      <c r="QCU57" s="0"/>
      <c r="QCV57" s="0"/>
      <c r="QCW57" s="0"/>
      <c r="QCX57" s="0"/>
      <c r="QCY57" s="0"/>
      <c r="QCZ57" s="0"/>
      <c r="QDA57" s="0"/>
      <c r="QDB57" s="0"/>
      <c r="QDC57" s="0"/>
      <c r="QDD57" s="0"/>
      <c r="QDE57" s="0"/>
      <c r="QDF57" s="0"/>
      <c r="QDG57" s="0"/>
      <c r="QDH57" s="0"/>
      <c r="QDI57" s="0"/>
      <c r="QDJ57" s="0"/>
      <c r="QDK57" s="0"/>
      <c r="QDL57" s="0"/>
      <c r="QDM57" s="0"/>
      <c r="QDN57" s="0"/>
      <c r="QDO57" s="0"/>
      <c r="QDP57" s="0"/>
      <c r="QDQ57" s="0"/>
      <c r="QDR57" s="0"/>
      <c r="QDS57" s="0"/>
      <c r="QDT57" s="0"/>
      <c r="QDU57" s="0"/>
      <c r="QDV57" s="0"/>
      <c r="QDW57" s="0"/>
      <c r="QDX57" s="0"/>
      <c r="QDY57" s="0"/>
      <c r="QDZ57" s="0"/>
      <c r="QEA57" s="0"/>
      <c r="QEB57" s="0"/>
      <c r="QEC57" s="0"/>
      <c r="QED57" s="0"/>
      <c r="QEE57" s="0"/>
      <c r="QEF57" s="0"/>
      <c r="QEG57" s="0"/>
      <c r="QEH57" s="0"/>
      <c r="QEI57" s="0"/>
      <c r="QEJ57" s="0"/>
      <c r="QEK57" s="0"/>
      <c r="QEL57" s="0"/>
      <c r="QEM57" s="0"/>
      <c r="QEN57" s="0"/>
      <c r="QEO57" s="0"/>
      <c r="QEP57" s="0"/>
      <c r="QEQ57" s="0"/>
      <c r="QER57" s="0"/>
      <c r="QES57" s="0"/>
      <c r="QET57" s="0"/>
      <c r="QEU57" s="0"/>
      <c r="QEV57" s="0"/>
      <c r="QEW57" s="0"/>
      <c r="QEX57" s="0"/>
      <c r="QEY57" s="0"/>
      <c r="QEZ57" s="0"/>
      <c r="QFA57" s="0"/>
      <c r="QFB57" s="0"/>
      <c r="QFC57" s="0"/>
      <c r="QFD57" s="0"/>
      <c r="QFE57" s="0"/>
      <c r="QFF57" s="0"/>
      <c r="QFG57" s="0"/>
      <c r="QFH57" s="0"/>
      <c r="QFI57" s="0"/>
      <c r="QFJ57" s="0"/>
      <c r="QFK57" s="0"/>
      <c r="QFL57" s="0"/>
      <c r="QFM57" s="0"/>
      <c r="QFN57" s="0"/>
      <c r="QFO57" s="0"/>
      <c r="QFP57" s="0"/>
      <c r="QFQ57" s="0"/>
      <c r="QFR57" s="0"/>
      <c r="QFS57" s="0"/>
      <c r="QFT57" s="0"/>
      <c r="QFU57" s="0"/>
      <c r="QFV57" s="0"/>
      <c r="QFW57" s="0"/>
      <c r="QFX57" s="0"/>
      <c r="QFY57" s="0"/>
      <c r="QFZ57" s="0"/>
      <c r="QGA57" s="0"/>
      <c r="QGB57" s="0"/>
      <c r="QGC57" s="0"/>
      <c r="QGD57" s="0"/>
      <c r="QGE57" s="0"/>
      <c r="QGF57" s="0"/>
      <c r="QGG57" s="0"/>
      <c r="QGH57" s="0"/>
      <c r="QGI57" s="0"/>
      <c r="QGJ57" s="0"/>
      <c r="QGK57" s="0"/>
      <c r="QGL57" s="0"/>
      <c r="QGM57" s="0"/>
      <c r="QGN57" s="0"/>
      <c r="QGO57" s="0"/>
      <c r="QGP57" s="0"/>
      <c r="QGQ57" s="0"/>
      <c r="QGR57" s="0"/>
      <c r="QGS57" s="0"/>
      <c r="QGT57" s="0"/>
      <c r="QGU57" s="0"/>
      <c r="QGV57" s="0"/>
      <c r="QGW57" s="0"/>
      <c r="QGX57" s="0"/>
      <c r="QGY57" s="0"/>
      <c r="QGZ57" s="0"/>
      <c r="QHA57" s="0"/>
      <c r="QHB57" s="0"/>
      <c r="QHC57" s="0"/>
      <c r="QHD57" s="0"/>
      <c r="QHE57" s="0"/>
      <c r="QHF57" s="0"/>
      <c r="QHG57" s="0"/>
      <c r="QHH57" s="0"/>
      <c r="QHI57" s="0"/>
      <c r="QHJ57" s="0"/>
      <c r="QHK57" s="0"/>
      <c r="QHL57" s="0"/>
      <c r="QHM57" s="0"/>
      <c r="QHN57" s="0"/>
      <c r="QHO57" s="0"/>
      <c r="QHP57" s="0"/>
      <c r="QHQ57" s="0"/>
      <c r="QHR57" s="0"/>
      <c r="QHS57" s="0"/>
      <c r="QHT57" s="0"/>
      <c r="QHU57" s="0"/>
      <c r="QHV57" s="0"/>
      <c r="QHW57" s="0"/>
      <c r="QHX57" s="0"/>
      <c r="QHY57" s="0"/>
      <c r="QHZ57" s="0"/>
      <c r="QIA57" s="0"/>
      <c r="QIB57" s="0"/>
      <c r="QIC57" s="0"/>
      <c r="QID57" s="0"/>
      <c r="QIE57" s="0"/>
      <c r="QIF57" s="0"/>
      <c r="QIG57" s="0"/>
      <c r="QIH57" s="0"/>
      <c r="QII57" s="0"/>
      <c r="QIJ57" s="0"/>
      <c r="QIK57" s="0"/>
      <c r="QIL57" s="0"/>
      <c r="QIM57" s="0"/>
      <c r="QIN57" s="0"/>
      <c r="QIO57" s="0"/>
      <c r="QIP57" s="0"/>
      <c r="QIQ57" s="0"/>
      <c r="QIR57" s="0"/>
      <c r="QIS57" s="0"/>
      <c r="QIT57" s="0"/>
      <c r="QIU57" s="0"/>
      <c r="QIV57" s="0"/>
      <c r="QIW57" s="0"/>
      <c r="QIX57" s="0"/>
      <c r="QIY57" s="0"/>
      <c r="QIZ57" s="0"/>
      <c r="QJA57" s="0"/>
      <c r="QJB57" s="0"/>
      <c r="QJC57" s="0"/>
      <c r="QJD57" s="0"/>
      <c r="QJE57" s="0"/>
      <c r="QJF57" s="0"/>
      <c r="QJG57" s="0"/>
      <c r="QJH57" s="0"/>
      <c r="QJI57" s="0"/>
      <c r="QJJ57" s="0"/>
      <c r="QJK57" s="0"/>
      <c r="QJL57" s="0"/>
      <c r="QJM57" s="0"/>
      <c r="QJN57" s="0"/>
      <c r="QJO57" s="0"/>
      <c r="QJP57" s="0"/>
      <c r="QJQ57" s="0"/>
      <c r="QJR57" s="0"/>
      <c r="QJS57" s="0"/>
      <c r="QJT57" s="0"/>
      <c r="QJU57" s="0"/>
      <c r="QJV57" s="0"/>
      <c r="QJW57" s="0"/>
      <c r="QJX57" s="0"/>
      <c r="QJY57" s="0"/>
      <c r="QJZ57" s="0"/>
      <c r="QKA57" s="0"/>
      <c r="QKB57" s="0"/>
      <c r="QKC57" s="0"/>
      <c r="QKD57" s="0"/>
      <c r="QKE57" s="0"/>
      <c r="QKF57" s="0"/>
      <c r="QKG57" s="0"/>
      <c r="QKH57" s="0"/>
      <c r="QKI57" s="0"/>
      <c r="QKJ57" s="0"/>
      <c r="QKK57" s="0"/>
      <c r="QKL57" s="0"/>
      <c r="QKM57" s="0"/>
      <c r="QKN57" s="0"/>
      <c r="QKO57" s="0"/>
      <c r="QKP57" s="0"/>
      <c r="QKQ57" s="0"/>
      <c r="QKR57" s="0"/>
      <c r="QKS57" s="0"/>
      <c r="QKT57" s="0"/>
      <c r="QKU57" s="0"/>
      <c r="QKV57" s="0"/>
      <c r="QKW57" s="0"/>
      <c r="QKX57" s="0"/>
      <c r="QKY57" s="0"/>
      <c r="QKZ57" s="0"/>
      <c r="QLA57" s="0"/>
      <c r="QLB57" s="0"/>
      <c r="QLC57" s="0"/>
      <c r="QLD57" s="0"/>
      <c r="QLE57" s="0"/>
      <c r="QLF57" s="0"/>
      <c r="QLG57" s="0"/>
      <c r="QLH57" s="0"/>
      <c r="QLI57" s="0"/>
      <c r="QLJ57" s="0"/>
      <c r="QLK57" s="0"/>
      <c r="QLL57" s="0"/>
      <c r="QLM57" s="0"/>
      <c r="QLN57" s="0"/>
      <c r="QLO57" s="0"/>
      <c r="QLP57" s="0"/>
      <c r="QLQ57" s="0"/>
      <c r="QLR57" s="0"/>
      <c r="QLS57" s="0"/>
      <c r="QLT57" s="0"/>
      <c r="QLU57" s="0"/>
      <c r="QLV57" s="0"/>
      <c r="QLW57" s="0"/>
      <c r="QLX57" s="0"/>
      <c r="QLY57" s="0"/>
      <c r="QLZ57" s="0"/>
      <c r="QMA57" s="0"/>
      <c r="QMB57" s="0"/>
      <c r="QMC57" s="0"/>
      <c r="QMD57" s="0"/>
      <c r="QME57" s="0"/>
      <c r="QMF57" s="0"/>
      <c r="QMG57" s="0"/>
      <c r="QMH57" s="0"/>
      <c r="QMI57" s="0"/>
      <c r="QMJ57" s="0"/>
      <c r="QMK57" s="0"/>
      <c r="QML57" s="0"/>
      <c r="QMM57" s="0"/>
      <c r="QMN57" s="0"/>
      <c r="QMO57" s="0"/>
      <c r="QMP57" s="0"/>
      <c r="QMQ57" s="0"/>
      <c r="QMR57" s="0"/>
      <c r="QMS57" s="0"/>
      <c r="QMT57" s="0"/>
      <c r="QMU57" s="0"/>
      <c r="QMV57" s="0"/>
      <c r="QMW57" s="0"/>
      <c r="QMX57" s="0"/>
      <c r="QMY57" s="0"/>
      <c r="QMZ57" s="0"/>
      <c r="QNA57" s="0"/>
      <c r="QNB57" s="0"/>
      <c r="QNC57" s="0"/>
      <c r="QND57" s="0"/>
      <c r="QNE57" s="0"/>
      <c r="QNF57" s="0"/>
      <c r="QNG57" s="0"/>
      <c r="QNH57" s="0"/>
      <c r="QNI57" s="0"/>
      <c r="QNJ57" s="0"/>
      <c r="QNK57" s="0"/>
      <c r="QNL57" s="0"/>
      <c r="QNM57" s="0"/>
      <c r="QNN57" s="0"/>
      <c r="QNO57" s="0"/>
      <c r="QNP57" s="0"/>
      <c r="QNQ57" s="0"/>
      <c r="QNR57" s="0"/>
      <c r="QNS57" s="0"/>
      <c r="QNT57" s="0"/>
      <c r="QNU57" s="0"/>
      <c r="QNV57" s="0"/>
      <c r="QNW57" s="0"/>
      <c r="QNX57" s="0"/>
      <c r="QNY57" s="0"/>
      <c r="QNZ57" s="0"/>
      <c r="QOA57" s="0"/>
      <c r="QOB57" s="0"/>
      <c r="QOC57" s="0"/>
      <c r="QOD57" s="0"/>
      <c r="QOE57" s="0"/>
      <c r="QOF57" s="0"/>
      <c r="QOG57" s="0"/>
      <c r="QOH57" s="0"/>
      <c r="QOI57" s="0"/>
      <c r="QOJ57" s="0"/>
      <c r="QOK57" s="0"/>
      <c r="QOL57" s="0"/>
      <c r="QOM57" s="0"/>
      <c r="QON57" s="0"/>
      <c r="QOO57" s="0"/>
      <c r="QOP57" s="0"/>
      <c r="QOQ57" s="0"/>
      <c r="QOR57" s="0"/>
      <c r="QOS57" s="0"/>
      <c r="QOT57" s="0"/>
      <c r="QOU57" s="0"/>
      <c r="QOV57" s="0"/>
      <c r="QOW57" s="0"/>
      <c r="QOX57" s="0"/>
      <c r="QOY57" s="0"/>
      <c r="QOZ57" s="0"/>
      <c r="QPA57" s="0"/>
      <c r="QPB57" s="0"/>
      <c r="QPC57" s="0"/>
      <c r="QPD57" s="0"/>
      <c r="QPE57" s="0"/>
      <c r="QPF57" s="0"/>
      <c r="QPG57" s="0"/>
      <c r="QPH57" s="0"/>
      <c r="QPI57" s="0"/>
      <c r="QPJ57" s="0"/>
      <c r="QPK57" s="0"/>
      <c r="QPL57" s="0"/>
      <c r="QPM57" s="0"/>
      <c r="QPN57" s="0"/>
      <c r="QPO57" s="0"/>
      <c r="QPP57" s="0"/>
      <c r="QPQ57" s="0"/>
      <c r="QPR57" s="0"/>
      <c r="QPS57" s="0"/>
      <c r="QPT57" s="0"/>
      <c r="QPU57" s="0"/>
      <c r="QPV57" s="0"/>
      <c r="QPW57" s="0"/>
      <c r="QPX57" s="0"/>
      <c r="QPY57" s="0"/>
      <c r="QPZ57" s="0"/>
      <c r="QQA57" s="0"/>
      <c r="QQB57" s="0"/>
      <c r="QQC57" s="0"/>
      <c r="QQD57" s="0"/>
      <c r="QQE57" s="0"/>
      <c r="QQF57" s="0"/>
      <c r="QQG57" s="0"/>
      <c r="QQH57" s="0"/>
      <c r="QQI57" s="0"/>
      <c r="QQJ57" s="0"/>
      <c r="QQK57" s="0"/>
      <c r="QQL57" s="0"/>
      <c r="QQM57" s="0"/>
      <c r="QQN57" s="0"/>
      <c r="QQO57" s="0"/>
      <c r="QQP57" s="0"/>
      <c r="QQQ57" s="0"/>
      <c r="QQR57" s="0"/>
      <c r="QQS57" s="0"/>
      <c r="QQT57" s="0"/>
      <c r="QQU57" s="0"/>
      <c r="QQV57" s="0"/>
      <c r="QQW57" s="0"/>
      <c r="QQX57" s="0"/>
      <c r="QQY57" s="0"/>
      <c r="QQZ57" s="0"/>
      <c r="QRA57" s="0"/>
      <c r="QRB57" s="0"/>
      <c r="QRC57" s="0"/>
      <c r="QRD57" s="0"/>
      <c r="QRE57" s="0"/>
      <c r="QRF57" s="0"/>
      <c r="QRG57" s="0"/>
      <c r="QRH57" s="0"/>
      <c r="QRI57" s="0"/>
      <c r="QRJ57" s="0"/>
      <c r="QRK57" s="0"/>
      <c r="QRL57" s="0"/>
      <c r="QRM57" s="0"/>
      <c r="QRN57" s="0"/>
      <c r="QRO57" s="0"/>
      <c r="QRP57" s="0"/>
      <c r="QRQ57" s="0"/>
      <c r="QRR57" s="0"/>
      <c r="QRS57" s="0"/>
      <c r="QRT57" s="0"/>
      <c r="QRU57" s="0"/>
      <c r="QRV57" s="0"/>
      <c r="QRW57" s="0"/>
      <c r="QRX57" s="0"/>
      <c r="QRY57" s="0"/>
      <c r="QRZ57" s="0"/>
      <c r="QSA57" s="0"/>
      <c r="QSB57" s="0"/>
      <c r="QSC57" s="0"/>
      <c r="QSD57" s="0"/>
      <c r="QSE57" s="0"/>
      <c r="QSF57" s="0"/>
      <c r="QSG57" s="0"/>
      <c r="QSH57" s="0"/>
      <c r="QSI57" s="0"/>
      <c r="QSJ57" s="0"/>
      <c r="QSK57" s="0"/>
      <c r="QSL57" s="0"/>
      <c r="QSM57" s="0"/>
      <c r="QSN57" s="0"/>
      <c r="QSO57" s="0"/>
      <c r="QSP57" s="0"/>
      <c r="QSQ57" s="0"/>
      <c r="QSR57" s="0"/>
      <c r="QSS57" s="0"/>
      <c r="QST57" s="0"/>
      <c r="QSU57" s="0"/>
      <c r="QSV57" s="0"/>
      <c r="QSW57" s="0"/>
      <c r="QSX57" s="0"/>
      <c r="QSY57" s="0"/>
      <c r="QSZ57" s="0"/>
      <c r="QTA57" s="0"/>
      <c r="QTB57" s="0"/>
      <c r="QTC57" s="0"/>
      <c r="QTD57" s="0"/>
      <c r="QTE57" s="0"/>
      <c r="QTF57" s="0"/>
      <c r="QTG57" s="0"/>
      <c r="QTH57" s="0"/>
      <c r="QTI57" s="0"/>
      <c r="QTJ57" s="0"/>
      <c r="QTK57" s="0"/>
      <c r="QTL57" s="0"/>
      <c r="QTM57" s="0"/>
      <c r="QTN57" s="0"/>
      <c r="QTO57" s="0"/>
      <c r="QTP57" s="0"/>
      <c r="QTQ57" s="0"/>
      <c r="QTR57" s="0"/>
      <c r="QTS57" s="0"/>
      <c r="QTT57" s="0"/>
      <c r="QTU57" s="0"/>
      <c r="QTV57" s="0"/>
      <c r="QTW57" s="0"/>
      <c r="QTX57" s="0"/>
      <c r="QTY57" s="0"/>
      <c r="QTZ57" s="0"/>
      <c r="QUA57" s="0"/>
      <c r="QUB57" s="0"/>
      <c r="QUC57" s="0"/>
      <c r="QUD57" s="0"/>
      <c r="QUE57" s="0"/>
      <c r="QUF57" s="0"/>
      <c r="QUG57" s="0"/>
      <c r="QUH57" s="0"/>
      <c r="QUI57" s="0"/>
      <c r="QUJ57" s="0"/>
      <c r="QUK57" s="0"/>
      <c r="QUL57" s="0"/>
      <c r="QUM57" s="0"/>
      <c r="QUN57" s="0"/>
      <c r="QUO57" s="0"/>
      <c r="QUP57" s="0"/>
      <c r="QUQ57" s="0"/>
      <c r="QUR57" s="0"/>
      <c r="QUS57" s="0"/>
      <c r="QUT57" s="0"/>
      <c r="QUU57" s="0"/>
      <c r="QUV57" s="0"/>
      <c r="QUW57" s="0"/>
      <c r="QUX57" s="0"/>
      <c r="QUY57" s="0"/>
      <c r="QUZ57" s="0"/>
      <c r="QVA57" s="0"/>
      <c r="QVB57" s="0"/>
      <c r="QVC57" s="0"/>
      <c r="QVD57" s="0"/>
      <c r="QVE57" s="0"/>
      <c r="QVF57" s="0"/>
      <c r="QVG57" s="0"/>
      <c r="QVH57" s="0"/>
      <c r="QVI57" s="0"/>
      <c r="QVJ57" s="0"/>
      <c r="QVK57" s="0"/>
      <c r="QVL57" s="0"/>
      <c r="QVM57" s="0"/>
      <c r="QVN57" s="0"/>
      <c r="QVO57" s="0"/>
      <c r="QVP57" s="0"/>
      <c r="QVQ57" s="0"/>
      <c r="QVR57" s="0"/>
      <c r="QVS57" s="0"/>
      <c r="QVT57" s="0"/>
      <c r="QVU57" s="0"/>
      <c r="QVV57" s="0"/>
      <c r="QVW57" s="0"/>
      <c r="QVX57" s="0"/>
      <c r="QVY57" s="0"/>
      <c r="QVZ57" s="0"/>
      <c r="QWA57" s="0"/>
      <c r="QWB57" s="0"/>
      <c r="QWC57" s="0"/>
      <c r="QWD57" s="0"/>
      <c r="QWE57" s="0"/>
      <c r="QWF57" s="0"/>
      <c r="QWG57" s="0"/>
      <c r="QWH57" s="0"/>
      <c r="QWI57" s="0"/>
      <c r="QWJ57" s="0"/>
      <c r="QWK57" s="0"/>
      <c r="QWL57" s="0"/>
      <c r="QWM57" s="0"/>
      <c r="QWN57" s="0"/>
      <c r="QWO57" s="0"/>
      <c r="QWP57" s="0"/>
      <c r="QWQ57" s="0"/>
      <c r="QWR57" s="0"/>
      <c r="QWS57" s="0"/>
      <c r="QWT57" s="0"/>
      <c r="QWU57" s="0"/>
      <c r="QWV57" s="0"/>
      <c r="QWW57" s="0"/>
      <c r="QWX57" s="0"/>
      <c r="QWY57" s="0"/>
      <c r="QWZ57" s="0"/>
      <c r="QXA57" s="0"/>
      <c r="QXB57" s="0"/>
      <c r="QXC57" s="0"/>
      <c r="QXD57" s="0"/>
      <c r="QXE57" s="0"/>
      <c r="QXF57" s="0"/>
      <c r="QXG57" s="0"/>
      <c r="QXH57" s="0"/>
      <c r="QXI57" s="0"/>
      <c r="QXJ57" s="0"/>
      <c r="QXK57" s="0"/>
      <c r="QXL57" s="0"/>
      <c r="QXM57" s="0"/>
      <c r="QXN57" s="0"/>
      <c r="QXO57" s="0"/>
      <c r="QXP57" s="0"/>
      <c r="QXQ57" s="0"/>
      <c r="QXR57" s="0"/>
      <c r="QXS57" s="0"/>
      <c r="QXT57" s="0"/>
      <c r="QXU57" s="0"/>
      <c r="QXV57" s="0"/>
      <c r="QXW57" s="0"/>
      <c r="QXX57" s="0"/>
      <c r="QXY57" s="0"/>
      <c r="QXZ57" s="0"/>
      <c r="QYA57" s="0"/>
      <c r="QYB57" s="0"/>
      <c r="QYC57" s="0"/>
      <c r="QYD57" s="0"/>
      <c r="QYE57" s="0"/>
      <c r="QYF57" s="0"/>
      <c r="QYG57" s="0"/>
      <c r="QYH57" s="0"/>
      <c r="QYI57" s="0"/>
      <c r="QYJ57" s="0"/>
      <c r="QYK57" s="0"/>
      <c r="QYL57" s="0"/>
      <c r="QYM57" s="0"/>
      <c r="QYN57" s="0"/>
      <c r="QYO57" s="0"/>
      <c r="QYP57" s="0"/>
      <c r="QYQ57" s="0"/>
      <c r="QYR57" s="0"/>
      <c r="QYS57" s="0"/>
      <c r="QYT57" s="0"/>
      <c r="QYU57" s="0"/>
      <c r="QYV57" s="0"/>
      <c r="QYW57" s="0"/>
      <c r="QYX57" s="0"/>
      <c r="QYY57" s="0"/>
      <c r="QYZ57" s="0"/>
      <c r="QZA57" s="0"/>
      <c r="QZB57" s="0"/>
      <c r="QZC57" s="0"/>
      <c r="QZD57" s="0"/>
      <c r="QZE57" s="0"/>
      <c r="QZF57" s="0"/>
      <c r="QZG57" s="0"/>
      <c r="QZH57" s="0"/>
      <c r="QZI57" s="0"/>
      <c r="QZJ57" s="0"/>
      <c r="QZK57" s="0"/>
      <c r="QZL57" s="0"/>
      <c r="QZM57" s="0"/>
      <c r="QZN57" s="0"/>
      <c r="QZO57" s="0"/>
      <c r="QZP57" s="0"/>
      <c r="QZQ57" s="0"/>
      <c r="QZR57" s="0"/>
      <c r="QZS57" s="0"/>
      <c r="QZT57" s="0"/>
      <c r="QZU57" s="0"/>
      <c r="QZV57" s="0"/>
      <c r="QZW57" s="0"/>
      <c r="QZX57" s="0"/>
      <c r="QZY57" s="0"/>
      <c r="QZZ57" s="0"/>
      <c r="RAA57" s="0"/>
      <c r="RAB57" s="0"/>
      <c r="RAC57" s="0"/>
      <c r="RAD57" s="0"/>
      <c r="RAE57" s="0"/>
      <c r="RAF57" s="0"/>
      <c r="RAG57" s="0"/>
      <c r="RAH57" s="0"/>
      <c r="RAI57" s="0"/>
      <c r="RAJ57" s="0"/>
      <c r="RAK57" s="0"/>
      <c r="RAL57" s="0"/>
      <c r="RAM57" s="0"/>
      <c r="RAN57" s="0"/>
      <c r="RAO57" s="0"/>
      <c r="RAP57" s="0"/>
      <c r="RAQ57" s="0"/>
      <c r="RAR57" s="0"/>
      <c r="RAS57" s="0"/>
      <c r="RAT57" s="0"/>
      <c r="RAU57" s="0"/>
      <c r="RAV57" s="0"/>
      <c r="RAW57" s="0"/>
      <c r="RAX57" s="0"/>
      <c r="RAY57" s="0"/>
      <c r="RAZ57" s="0"/>
      <c r="RBA57" s="0"/>
      <c r="RBB57" s="0"/>
      <c r="RBC57" s="0"/>
      <c r="RBD57" s="0"/>
      <c r="RBE57" s="0"/>
      <c r="RBF57" s="0"/>
      <c r="RBG57" s="0"/>
      <c r="RBH57" s="0"/>
      <c r="RBI57" s="0"/>
      <c r="RBJ57" s="0"/>
      <c r="RBK57" s="0"/>
      <c r="RBL57" s="0"/>
      <c r="RBM57" s="0"/>
      <c r="RBN57" s="0"/>
      <c r="RBO57" s="0"/>
      <c r="RBP57" s="0"/>
      <c r="RBQ57" s="0"/>
      <c r="RBR57" s="0"/>
      <c r="RBS57" s="0"/>
      <c r="RBT57" s="0"/>
      <c r="RBU57" s="0"/>
      <c r="RBV57" s="0"/>
      <c r="RBW57" s="0"/>
      <c r="RBX57" s="0"/>
      <c r="RBY57" s="0"/>
      <c r="RBZ57" s="0"/>
      <c r="RCA57" s="0"/>
      <c r="RCB57" s="0"/>
      <c r="RCC57" s="0"/>
      <c r="RCD57" s="0"/>
      <c r="RCE57" s="0"/>
      <c r="RCF57" s="0"/>
      <c r="RCG57" s="0"/>
      <c r="RCH57" s="0"/>
      <c r="RCI57" s="0"/>
      <c r="RCJ57" s="0"/>
      <c r="RCK57" s="0"/>
      <c r="RCL57" s="0"/>
      <c r="RCM57" s="0"/>
      <c r="RCN57" s="0"/>
      <c r="RCO57" s="0"/>
      <c r="RCP57" s="0"/>
      <c r="RCQ57" s="0"/>
      <c r="RCR57" s="0"/>
      <c r="RCS57" s="0"/>
      <c r="RCT57" s="0"/>
      <c r="RCU57" s="0"/>
      <c r="RCV57" s="0"/>
      <c r="RCW57" s="0"/>
      <c r="RCX57" s="0"/>
      <c r="RCY57" s="0"/>
      <c r="RCZ57" s="0"/>
      <c r="RDA57" s="0"/>
      <c r="RDB57" s="0"/>
      <c r="RDC57" s="0"/>
      <c r="RDD57" s="0"/>
      <c r="RDE57" s="0"/>
      <c r="RDF57" s="0"/>
      <c r="RDG57" s="0"/>
      <c r="RDH57" s="0"/>
      <c r="RDI57" s="0"/>
      <c r="RDJ57" s="0"/>
      <c r="RDK57" s="0"/>
      <c r="RDL57" s="0"/>
      <c r="RDM57" s="0"/>
      <c r="RDN57" s="0"/>
      <c r="RDO57" s="0"/>
      <c r="RDP57" s="0"/>
      <c r="RDQ57" s="0"/>
      <c r="RDR57" s="0"/>
      <c r="RDS57" s="0"/>
      <c r="RDT57" s="0"/>
      <c r="RDU57" s="0"/>
      <c r="RDV57" s="0"/>
      <c r="RDW57" s="0"/>
      <c r="RDX57" s="0"/>
      <c r="RDY57" s="0"/>
      <c r="RDZ57" s="0"/>
      <c r="REA57" s="0"/>
      <c r="REB57" s="0"/>
      <c r="REC57" s="0"/>
      <c r="RED57" s="0"/>
      <c r="REE57" s="0"/>
      <c r="REF57" s="0"/>
      <c r="REG57" s="0"/>
      <c r="REH57" s="0"/>
      <c r="REI57" s="0"/>
      <c r="REJ57" s="0"/>
      <c r="REK57" s="0"/>
      <c r="REL57" s="0"/>
      <c r="REM57" s="0"/>
      <c r="REN57" s="0"/>
      <c r="REO57" s="0"/>
      <c r="REP57" s="0"/>
      <c r="REQ57" s="0"/>
      <c r="RER57" s="0"/>
      <c r="RES57" s="0"/>
      <c r="RET57" s="0"/>
      <c r="REU57" s="0"/>
      <c r="REV57" s="0"/>
      <c r="REW57" s="0"/>
      <c r="REX57" s="0"/>
      <c r="REY57" s="0"/>
      <c r="REZ57" s="0"/>
      <c r="RFA57" s="0"/>
      <c r="RFB57" s="0"/>
      <c r="RFC57" s="0"/>
      <c r="RFD57" s="0"/>
      <c r="RFE57" s="0"/>
      <c r="RFF57" s="0"/>
      <c r="RFG57" s="0"/>
      <c r="RFH57" s="0"/>
      <c r="RFI57" s="0"/>
      <c r="RFJ57" s="0"/>
      <c r="RFK57" s="0"/>
      <c r="RFL57" s="0"/>
      <c r="RFM57" s="0"/>
      <c r="RFN57" s="0"/>
      <c r="RFO57" s="0"/>
      <c r="RFP57" s="0"/>
      <c r="RFQ57" s="0"/>
      <c r="RFR57" s="0"/>
      <c r="RFS57" s="0"/>
      <c r="RFT57" s="0"/>
      <c r="RFU57" s="0"/>
      <c r="RFV57" s="0"/>
      <c r="RFW57" s="0"/>
      <c r="RFX57" s="0"/>
      <c r="RFY57" s="0"/>
      <c r="RFZ57" s="0"/>
      <c r="RGA57" s="0"/>
      <c r="RGB57" s="0"/>
      <c r="RGC57" s="0"/>
      <c r="RGD57" s="0"/>
      <c r="RGE57" s="0"/>
      <c r="RGF57" s="0"/>
      <c r="RGG57" s="0"/>
      <c r="RGH57" s="0"/>
      <c r="RGI57" s="0"/>
      <c r="RGJ57" s="0"/>
      <c r="RGK57" s="0"/>
      <c r="RGL57" s="0"/>
      <c r="RGM57" s="0"/>
      <c r="RGN57" s="0"/>
      <c r="RGO57" s="0"/>
      <c r="RGP57" s="0"/>
      <c r="RGQ57" s="0"/>
      <c r="RGR57" s="0"/>
      <c r="RGS57" s="0"/>
      <c r="RGT57" s="0"/>
      <c r="RGU57" s="0"/>
      <c r="RGV57" s="0"/>
      <c r="RGW57" s="0"/>
      <c r="RGX57" s="0"/>
      <c r="RGY57" s="0"/>
      <c r="RGZ57" s="0"/>
      <c r="RHA57" s="0"/>
      <c r="RHB57" s="0"/>
      <c r="RHC57" s="0"/>
      <c r="RHD57" s="0"/>
      <c r="RHE57" s="0"/>
      <c r="RHF57" s="0"/>
      <c r="RHG57" s="0"/>
      <c r="RHH57" s="0"/>
      <c r="RHI57" s="0"/>
      <c r="RHJ57" s="0"/>
      <c r="RHK57" s="0"/>
      <c r="RHL57" s="0"/>
      <c r="RHM57" s="0"/>
      <c r="RHN57" s="0"/>
      <c r="RHO57" s="0"/>
      <c r="RHP57" s="0"/>
      <c r="RHQ57" s="0"/>
      <c r="RHR57" s="0"/>
      <c r="RHS57" s="0"/>
      <c r="RHT57" s="0"/>
      <c r="RHU57" s="0"/>
      <c r="RHV57" s="0"/>
      <c r="RHW57" s="0"/>
      <c r="RHX57" s="0"/>
      <c r="RHY57" s="0"/>
      <c r="RHZ57" s="0"/>
      <c r="RIA57" s="0"/>
      <c r="RIB57" s="0"/>
      <c r="RIC57" s="0"/>
      <c r="RID57" s="0"/>
      <c r="RIE57" s="0"/>
      <c r="RIF57" s="0"/>
      <c r="RIG57" s="0"/>
      <c r="RIH57" s="0"/>
      <c r="RII57" s="0"/>
      <c r="RIJ57" s="0"/>
      <c r="RIK57" s="0"/>
      <c r="RIL57" s="0"/>
      <c r="RIM57" s="0"/>
      <c r="RIN57" s="0"/>
      <c r="RIO57" s="0"/>
      <c r="RIP57" s="0"/>
      <c r="RIQ57" s="0"/>
      <c r="RIR57" s="0"/>
      <c r="RIS57" s="0"/>
      <c r="RIT57" s="0"/>
      <c r="RIU57" s="0"/>
      <c r="RIV57" s="0"/>
      <c r="RIW57" s="0"/>
      <c r="RIX57" s="0"/>
      <c r="RIY57" s="0"/>
      <c r="RIZ57" s="0"/>
      <c r="RJA57" s="0"/>
      <c r="RJB57" s="0"/>
      <c r="RJC57" s="0"/>
      <c r="RJD57" s="0"/>
      <c r="RJE57" s="0"/>
      <c r="RJF57" s="0"/>
      <c r="RJG57" s="0"/>
      <c r="RJH57" s="0"/>
      <c r="RJI57" s="0"/>
      <c r="RJJ57" s="0"/>
      <c r="RJK57" s="0"/>
      <c r="RJL57" s="0"/>
      <c r="RJM57" s="0"/>
      <c r="RJN57" s="0"/>
      <c r="RJO57" s="0"/>
      <c r="RJP57" s="0"/>
      <c r="RJQ57" s="0"/>
      <c r="RJR57" s="0"/>
      <c r="RJS57" s="0"/>
      <c r="RJT57" s="0"/>
      <c r="RJU57" s="0"/>
      <c r="RJV57" s="0"/>
      <c r="RJW57" s="0"/>
      <c r="RJX57" s="0"/>
      <c r="RJY57" s="0"/>
      <c r="RJZ57" s="0"/>
      <c r="RKA57" s="0"/>
      <c r="RKB57" s="0"/>
      <c r="RKC57" s="0"/>
      <c r="RKD57" s="0"/>
      <c r="RKE57" s="0"/>
      <c r="RKF57" s="0"/>
      <c r="RKG57" s="0"/>
      <c r="RKH57" s="0"/>
      <c r="RKI57" s="0"/>
      <c r="RKJ57" s="0"/>
      <c r="RKK57" s="0"/>
      <c r="RKL57" s="0"/>
      <c r="RKM57" s="0"/>
      <c r="RKN57" s="0"/>
      <c r="RKO57" s="0"/>
      <c r="RKP57" s="0"/>
      <c r="RKQ57" s="0"/>
      <c r="RKR57" s="0"/>
      <c r="RKS57" s="0"/>
      <c r="RKT57" s="0"/>
      <c r="RKU57" s="0"/>
      <c r="RKV57" s="0"/>
      <c r="RKW57" s="0"/>
      <c r="RKX57" s="0"/>
      <c r="RKY57" s="0"/>
      <c r="RKZ57" s="0"/>
      <c r="RLA57" s="0"/>
      <c r="RLB57" s="0"/>
      <c r="RLC57" s="0"/>
      <c r="RLD57" s="0"/>
      <c r="RLE57" s="0"/>
      <c r="RLF57" s="0"/>
      <c r="RLG57" s="0"/>
      <c r="RLH57" s="0"/>
      <c r="RLI57" s="0"/>
      <c r="RLJ57" s="0"/>
      <c r="RLK57" s="0"/>
      <c r="RLL57" s="0"/>
      <c r="RLM57" s="0"/>
      <c r="RLN57" s="0"/>
      <c r="RLO57" s="0"/>
      <c r="RLP57" s="0"/>
      <c r="RLQ57" s="0"/>
      <c r="RLR57" s="0"/>
      <c r="RLS57" s="0"/>
      <c r="RLT57" s="0"/>
      <c r="RLU57" s="0"/>
      <c r="RLV57" s="0"/>
      <c r="RLW57" s="0"/>
      <c r="RLX57" s="0"/>
      <c r="RLY57" s="0"/>
      <c r="RLZ57" s="0"/>
      <c r="RMA57" s="0"/>
      <c r="RMB57" s="0"/>
      <c r="RMC57" s="0"/>
      <c r="RMD57" s="0"/>
      <c r="RME57" s="0"/>
      <c r="RMF57" s="0"/>
      <c r="RMG57" s="0"/>
      <c r="RMH57" s="0"/>
      <c r="RMI57" s="0"/>
      <c r="RMJ57" s="0"/>
      <c r="RMK57" s="0"/>
      <c r="RML57" s="0"/>
      <c r="RMM57" s="0"/>
      <c r="RMN57" s="0"/>
      <c r="RMO57" s="0"/>
      <c r="RMP57" s="0"/>
      <c r="RMQ57" s="0"/>
      <c r="RMR57" s="0"/>
      <c r="RMS57" s="0"/>
      <c r="RMT57" s="0"/>
      <c r="RMU57" s="0"/>
      <c r="RMV57" s="0"/>
      <c r="RMW57" s="0"/>
      <c r="RMX57" s="0"/>
      <c r="RMY57" s="0"/>
      <c r="RMZ57" s="0"/>
      <c r="RNA57" s="0"/>
      <c r="RNB57" s="0"/>
      <c r="RNC57" s="0"/>
      <c r="RND57" s="0"/>
      <c r="RNE57" s="0"/>
      <c r="RNF57" s="0"/>
      <c r="RNG57" s="0"/>
      <c r="RNH57" s="0"/>
      <c r="RNI57" s="0"/>
      <c r="RNJ57" s="0"/>
      <c r="RNK57" s="0"/>
      <c r="RNL57" s="0"/>
      <c r="RNM57" s="0"/>
      <c r="RNN57" s="0"/>
      <c r="RNO57" s="0"/>
      <c r="RNP57" s="0"/>
      <c r="RNQ57" s="0"/>
      <c r="RNR57" s="0"/>
      <c r="RNS57" s="0"/>
      <c r="RNT57" s="0"/>
      <c r="RNU57" s="0"/>
      <c r="RNV57" s="0"/>
      <c r="RNW57" s="0"/>
      <c r="RNX57" s="0"/>
      <c r="RNY57" s="0"/>
      <c r="RNZ57" s="0"/>
      <c r="ROA57" s="0"/>
      <c r="ROB57" s="0"/>
      <c r="ROC57" s="0"/>
      <c r="ROD57" s="0"/>
      <c r="ROE57" s="0"/>
      <c r="ROF57" s="0"/>
      <c r="ROG57" s="0"/>
      <c r="ROH57" s="0"/>
      <c r="ROI57" s="0"/>
      <c r="ROJ57" s="0"/>
      <c r="ROK57" s="0"/>
      <c r="ROL57" s="0"/>
      <c r="ROM57" s="0"/>
      <c r="RON57" s="0"/>
      <c r="ROO57" s="0"/>
      <c r="ROP57" s="0"/>
      <c r="ROQ57" s="0"/>
      <c r="ROR57" s="0"/>
      <c r="ROS57" s="0"/>
      <c r="ROT57" s="0"/>
      <c r="ROU57" s="0"/>
      <c r="ROV57" s="0"/>
      <c r="ROW57" s="0"/>
      <c r="ROX57" s="0"/>
      <c r="ROY57" s="0"/>
      <c r="ROZ57" s="0"/>
      <c r="RPA57" s="0"/>
      <c r="RPB57" s="0"/>
      <c r="RPC57" s="0"/>
      <c r="RPD57" s="0"/>
      <c r="RPE57" s="0"/>
      <c r="RPF57" s="0"/>
      <c r="RPG57" s="0"/>
      <c r="RPH57" s="0"/>
      <c r="RPI57" s="0"/>
      <c r="RPJ57" s="0"/>
      <c r="RPK57" s="0"/>
      <c r="RPL57" s="0"/>
      <c r="RPM57" s="0"/>
      <c r="RPN57" s="0"/>
      <c r="RPO57" s="0"/>
      <c r="RPP57" s="0"/>
      <c r="RPQ57" s="0"/>
      <c r="RPR57" s="0"/>
      <c r="RPS57" s="0"/>
      <c r="RPT57" s="0"/>
      <c r="RPU57" s="0"/>
      <c r="RPV57" s="0"/>
      <c r="RPW57" s="0"/>
      <c r="RPX57" s="0"/>
      <c r="RPY57" s="0"/>
      <c r="RPZ57" s="0"/>
      <c r="RQA57" s="0"/>
      <c r="RQB57" s="0"/>
      <c r="RQC57" s="0"/>
      <c r="RQD57" s="0"/>
      <c r="RQE57" s="0"/>
      <c r="RQF57" s="0"/>
      <c r="RQG57" s="0"/>
      <c r="RQH57" s="0"/>
      <c r="RQI57" s="0"/>
      <c r="RQJ57" s="0"/>
      <c r="RQK57" s="0"/>
      <c r="RQL57" s="0"/>
      <c r="RQM57" s="0"/>
      <c r="RQN57" s="0"/>
      <c r="RQO57" s="0"/>
      <c r="RQP57" s="0"/>
      <c r="RQQ57" s="0"/>
      <c r="RQR57" s="0"/>
      <c r="RQS57" s="0"/>
      <c r="RQT57" s="0"/>
      <c r="RQU57" s="0"/>
      <c r="RQV57" s="0"/>
      <c r="RQW57" s="0"/>
      <c r="RQX57" s="0"/>
      <c r="RQY57" s="0"/>
      <c r="RQZ57" s="0"/>
      <c r="RRA57" s="0"/>
      <c r="RRB57" s="0"/>
      <c r="RRC57" s="0"/>
      <c r="RRD57" s="0"/>
      <c r="RRE57" s="0"/>
      <c r="RRF57" s="0"/>
      <c r="RRG57" s="0"/>
      <c r="RRH57" s="0"/>
      <c r="RRI57" s="0"/>
      <c r="RRJ57" s="0"/>
      <c r="RRK57" s="0"/>
      <c r="RRL57" s="0"/>
      <c r="RRM57" s="0"/>
      <c r="RRN57" s="0"/>
      <c r="RRO57" s="0"/>
      <c r="RRP57" s="0"/>
      <c r="RRQ57" s="0"/>
      <c r="RRR57" s="0"/>
      <c r="RRS57" s="0"/>
      <c r="RRT57" s="0"/>
      <c r="RRU57" s="0"/>
      <c r="RRV57" s="0"/>
      <c r="RRW57" s="0"/>
      <c r="RRX57" s="0"/>
      <c r="RRY57" s="0"/>
      <c r="RRZ57" s="0"/>
      <c r="RSA57" s="0"/>
      <c r="RSB57" s="0"/>
      <c r="RSC57" s="0"/>
      <c r="RSD57" s="0"/>
      <c r="RSE57" s="0"/>
      <c r="RSF57" s="0"/>
      <c r="RSG57" s="0"/>
      <c r="RSH57" s="0"/>
      <c r="RSI57" s="0"/>
      <c r="RSJ57" s="0"/>
      <c r="RSK57" s="0"/>
      <c r="RSL57" s="0"/>
      <c r="RSM57" s="0"/>
      <c r="RSN57" s="0"/>
      <c r="RSO57" s="0"/>
      <c r="RSP57" s="0"/>
      <c r="RSQ57" s="0"/>
      <c r="RSR57" s="0"/>
      <c r="RSS57" s="0"/>
      <c r="RST57" s="0"/>
      <c r="RSU57" s="0"/>
      <c r="RSV57" s="0"/>
      <c r="RSW57" s="0"/>
      <c r="RSX57" s="0"/>
      <c r="RSY57" s="0"/>
      <c r="RSZ57" s="0"/>
      <c r="RTA57" s="0"/>
      <c r="RTB57" s="0"/>
      <c r="RTC57" s="0"/>
      <c r="RTD57" s="0"/>
      <c r="RTE57" s="0"/>
      <c r="RTF57" s="0"/>
      <c r="RTG57" s="0"/>
      <c r="RTH57" s="0"/>
      <c r="RTI57" s="0"/>
      <c r="RTJ57" s="0"/>
      <c r="RTK57" s="0"/>
      <c r="RTL57" s="0"/>
      <c r="RTM57" s="0"/>
      <c r="RTN57" s="0"/>
      <c r="RTO57" s="0"/>
      <c r="RTP57" s="0"/>
      <c r="RTQ57" s="0"/>
      <c r="RTR57" s="0"/>
      <c r="RTS57" s="0"/>
      <c r="RTT57" s="0"/>
      <c r="RTU57" s="0"/>
      <c r="RTV57" s="0"/>
      <c r="RTW57" s="0"/>
      <c r="RTX57" s="0"/>
      <c r="RTY57" s="0"/>
      <c r="RTZ57" s="0"/>
      <c r="RUA57" s="0"/>
      <c r="RUB57" s="0"/>
      <c r="RUC57" s="0"/>
      <c r="RUD57" s="0"/>
      <c r="RUE57" s="0"/>
      <c r="RUF57" s="0"/>
      <c r="RUG57" s="0"/>
      <c r="RUH57" s="0"/>
      <c r="RUI57" s="0"/>
      <c r="RUJ57" s="0"/>
      <c r="RUK57" s="0"/>
      <c r="RUL57" s="0"/>
      <c r="RUM57" s="0"/>
      <c r="RUN57" s="0"/>
      <c r="RUO57" s="0"/>
      <c r="RUP57" s="0"/>
      <c r="RUQ57" s="0"/>
      <c r="RUR57" s="0"/>
      <c r="RUS57" s="0"/>
      <c r="RUT57" s="0"/>
      <c r="RUU57" s="0"/>
      <c r="RUV57" s="0"/>
      <c r="RUW57" s="0"/>
      <c r="RUX57" s="0"/>
      <c r="RUY57" s="0"/>
      <c r="RUZ57" s="0"/>
      <c r="RVA57" s="0"/>
      <c r="RVB57" s="0"/>
      <c r="RVC57" s="0"/>
      <c r="RVD57" s="0"/>
      <c r="RVE57" s="0"/>
      <c r="RVF57" s="0"/>
      <c r="RVG57" s="0"/>
      <c r="RVH57" s="0"/>
      <c r="RVI57" s="0"/>
      <c r="RVJ57" s="0"/>
      <c r="RVK57" s="0"/>
      <c r="RVL57" s="0"/>
      <c r="RVM57" s="0"/>
      <c r="RVN57" s="0"/>
      <c r="RVO57" s="0"/>
      <c r="RVP57" s="0"/>
      <c r="RVQ57" s="0"/>
      <c r="RVR57" s="0"/>
      <c r="RVS57" s="0"/>
      <c r="RVT57" s="0"/>
      <c r="RVU57" s="0"/>
      <c r="RVV57" s="0"/>
      <c r="RVW57" s="0"/>
      <c r="RVX57" s="0"/>
      <c r="RVY57" s="0"/>
      <c r="RVZ57" s="0"/>
      <c r="RWA57" s="0"/>
      <c r="RWB57" s="0"/>
      <c r="RWC57" s="0"/>
      <c r="RWD57" s="0"/>
      <c r="RWE57" s="0"/>
      <c r="RWF57" s="0"/>
      <c r="RWG57" s="0"/>
      <c r="RWH57" s="0"/>
      <c r="RWI57" s="0"/>
      <c r="RWJ57" s="0"/>
      <c r="RWK57" s="0"/>
      <c r="RWL57" s="0"/>
      <c r="RWM57" s="0"/>
      <c r="RWN57" s="0"/>
      <c r="RWO57" s="0"/>
      <c r="RWP57" s="0"/>
      <c r="RWQ57" s="0"/>
      <c r="RWR57" s="0"/>
      <c r="RWS57" s="0"/>
      <c r="RWT57" s="0"/>
      <c r="RWU57" s="0"/>
      <c r="RWV57" s="0"/>
      <c r="RWW57" s="0"/>
      <c r="RWX57" s="0"/>
      <c r="RWY57" s="0"/>
      <c r="RWZ57" s="0"/>
      <c r="RXA57" s="0"/>
      <c r="RXB57" s="0"/>
      <c r="RXC57" s="0"/>
      <c r="RXD57" s="0"/>
      <c r="RXE57" s="0"/>
      <c r="RXF57" s="0"/>
      <c r="RXG57" s="0"/>
      <c r="RXH57" s="0"/>
      <c r="RXI57" s="0"/>
      <c r="RXJ57" s="0"/>
      <c r="RXK57" s="0"/>
      <c r="RXL57" s="0"/>
      <c r="RXM57" s="0"/>
      <c r="RXN57" s="0"/>
      <c r="RXO57" s="0"/>
      <c r="RXP57" s="0"/>
      <c r="RXQ57" s="0"/>
      <c r="RXR57" s="0"/>
      <c r="RXS57" s="0"/>
      <c r="RXT57" s="0"/>
      <c r="RXU57" s="0"/>
      <c r="RXV57" s="0"/>
      <c r="RXW57" s="0"/>
      <c r="RXX57" s="0"/>
      <c r="RXY57" s="0"/>
      <c r="RXZ57" s="0"/>
      <c r="RYA57" s="0"/>
      <c r="RYB57" s="0"/>
      <c r="RYC57" s="0"/>
      <c r="RYD57" s="0"/>
      <c r="RYE57" s="0"/>
      <c r="RYF57" s="0"/>
      <c r="RYG57" s="0"/>
      <c r="RYH57" s="0"/>
      <c r="RYI57" s="0"/>
      <c r="RYJ57" s="0"/>
      <c r="RYK57" s="0"/>
      <c r="RYL57" s="0"/>
      <c r="RYM57" s="0"/>
      <c r="RYN57" s="0"/>
      <c r="RYO57" s="0"/>
      <c r="RYP57" s="0"/>
      <c r="RYQ57" s="0"/>
      <c r="RYR57" s="0"/>
      <c r="RYS57" s="0"/>
      <c r="RYT57" s="0"/>
      <c r="RYU57" s="0"/>
      <c r="RYV57" s="0"/>
      <c r="RYW57" s="0"/>
      <c r="RYX57" s="0"/>
      <c r="RYY57" s="0"/>
      <c r="RYZ57" s="0"/>
      <c r="RZA57" s="0"/>
      <c r="RZB57" s="0"/>
      <c r="RZC57" s="0"/>
      <c r="RZD57" s="0"/>
      <c r="RZE57" s="0"/>
      <c r="RZF57" s="0"/>
      <c r="RZG57" s="0"/>
      <c r="RZH57" s="0"/>
      <c r="RZI57" s="0"/>
      <c r="RZJ57" s="0"/>
      <c r="RZK57" s="0"/>
      <c r="RZL57" s="0"/>
      <c r="RZM57" s="0"/>
      <c r="RZN57" s="0"/>
      <c r="RZO57" s="0"/>
      <c r="RZP57" s="0"/>
      <c r="RZQ57" s="0"/>
      <c r="RZR57" s="0"/>
      <c r="RZS57" s="0"/>
      <c r="RZT57" s="0"/>
      <c r="RZU57" s="0"/>
      <c r="RZV57" s="0"/>
      <c r="RZW57" s="0"/>
      <c r="RZX57" s="0"/>
      <c r="RZY57" s="0"/>
      <c r="RZZ57" s="0"/>
      <c r="SAA57" s="0"/>
      <c r="SAB57" s="0"/>
      <c r="SAC57" s="0"/>
      <c r="SAD57" s="0"/>
      <c r="SAE57" s="0"/>
      <c r="SAF57" s="0"/>
      <c r="SAG57" s="0"/>
      <c r="SAH57" s="0"/>
      <c r="SAI57" s="0"/>
      <c r="SAJ57" s="0"/>
      <c r="SAK57" s="0"/>
      <c r="SAL57" s="0"/>
      <c r="SAM57" s="0"/>
      <c r="SAN57" s="0"/>
      <c r="SAO57" s="0"/>
      <c r="SAP57" s="0"/>
      <c r="SAQ57" s="0"/>
      <c r="SAR57" s="0"/>
      <c r="SAS57" s="0"/>
      <c r="SAT57" s="0"/>
      <c r="SAU57" s="0"/>
      <c r="SAV57" s="0"/>
      <c r="SAW57" s="0"/>
      <c r="SAX57" s="0"/>
      <c r="SAY57" s="0"/>
      <c r="SAZ57" s="0"/>
      <c r="SBA57" s="0"/>
      <c r="SBB57" s="0"/>
      <c r="SBC57" s="0"/>
      <c r="SBD57" s="0"/>
      <c r="SBE57" s="0"/>
      <c r="SBF57" s="0"/>
      <c r="SBG57" s="0"/>
      <c r="SBH57" s="0"/>
      <c r="SBI57" s="0"/>
      <c r="SBJ57" s="0"/>
      <c r="SBK57" s="0"/>
      <c r="SBL57" s="0"/>
      <c r="SBM57" s="0"/>
      <c r="SBN57" s="0"/>
      <c r="SBO57" s="0"/>
      <c r="SBP57" s="0"/>
      <c r="SBQ57" s="0"/>
      <c r="SBR57" s="0"/>
      <c r="SBS57" s="0"/>
      <c r="SBT57" s="0"/>
      <c r="SBU57" s="0"/>
      <c r="SBV57" s="0"/>
      <c r="SBW57" s="0"/>
      <c r="SBX57" s="0"/>
      <c r="SBY57" s="0"/>
      <c r="SBZ57" s="0"/>
      <c r="SCA57" s="0"/>
      <c r="SCB57" s="0"/>
      <c r="SCC57" s="0"/>
      <c r="SCD57" s="0"/>
      <c r="SCE57" s="0"/>
      <c r="SCF57" s="0"/>
      <c r="SCG57" s="0"/>
      <c r="SCH57" s="0"/>
      <c r="SCI57" s="0"/>
      <c r="SCJ57" s="0"/>
      <c r="SCK57" s="0"/>
      <c r="SCL57" s="0"/>
      <c r="SCM57" s="0"/>
      <c r="SCN57" s="0"/>
      <c r="SCO57" s="0"/>
      <c r="SCP57" s="0"/>
      <c r="SCQ57" s="0"/>
      <c r="SCR57" s="0"/>
      <c r="SCS57" s="0"/>
      <c r="SCT57" s="0"/>
      <c r="SCU57" s="0"/>
      <c r="SCV57" s="0"/>
      <c r="SCW57" s="0"/>
      <c r="SCX57" s="0"/>
      <c r="SCY57" s="0"/>
      <c r="SCZ57" s="0"/>
      <c r="SDA57" s="0"/>
      <c r="SDB57" s="0"/>
      <c r="SDC57" s="0"/>
      <c r="SDD57" s="0"/>
      <c r="SDE57" s="0"/>
      <c r="SDF57" s="0"/>
      <c r="SDG57" s="0"/>
      <c r="SDH57" s="0"/>
      <c r="SDI57" s="0"/>
      <c r="SDJ57" s="0"/>
      <c r="SDK57" s="0"/>
      <c r="SDL57" s="0"/>
      <c r="SDM57" s="0"/>
      <c r="SDN57" s="0"/>
      <c r="SDO57" s="0"/>
      <c r="SDP57" s="0"/>
      <c r="SDQ57" s="0"/>
      <c r="SDR57" s="0"/>
      <c r="SDS57" s="0"/>
      <c r="SDT57" s="0"/>
      <c r="SDU57" s="0"/>
      <c r="SDV57" s="0"/>
      <c r="SDW57" s="0"/>
      <c r="SDX57" s="0"/>
      <c r="SDY57" s="0"/>
      <c r="SDZ57" s="0"/>
      <c r="SEA57" s="0"/>
      <c r="SEB57" s="0"/>
      <c r="SEC57" s="0"/>
      <c r="SED57" s="0"/>
      <c r="SEE57" s="0"/>
      <c r="SEF57" s="0"/>
      <c r="SEG57" s="0"/>
      <c r="SEH57" s="0"/>
      <c r="SEI57" s="0"/>
      <c r="SEJ57" s="0"/>
      <c r="SEK57" s="0"/>
      <c r="SEL57" s="0"/>
      <c r="SEM57" s="0"/>
      <c r="SEN57" s="0"/>
      <c r="SEO57" s="0"/>
      <c r="SEP57" s="0"/>
      <c r="SEQ57" s="0"/>
      <c r="SER57" s="0"/>
      <c r="SES57" s="0"/>
      <c r="SET57" s="0"/>
      <c r="SEU57" s="0"/>
      <c r="SEV57" s="0"/>
      <c r="SEW57" s="0"/>
      <c r="SEX57" s="0"/>
      <c r="SEY57" s="0"/>
      <c r="SEZ57" s="0"/>
      <c r="SFA57" s="0"/>
      <c r="SFB57" s="0"/>
      <c r="SFC57" s="0"/>
      <c r="SFD57" s="0"/>
      <c r="SFE57" s="0"/>
      <c r="SFF57" s="0"/>
      <c r="SFG57" s="0"/>
      <c r="SFH57" s="0"/>
      <c r="SFI57" s="0"/>
      <c r="SFJ57" s="0"/>
      <c r="SFK57" s="0"/>
      <c r="SFL57" s="0"/>
      <c r="SFM57" s="0"/>
      <c r="SFN57" s="0"/>
      <c r="SFO57" s="0"/>
      <c r="SFP57" s="0"/>
      <c r="SFQ57" s="0"/>
      <c r="SFR57" s="0"/>
      <c r="SFS57" s="0"/>
      <c r="SFT57" s="0"/>
      <c r="SFU57" s="0"/>
      <c r="SFV57" s="0"/>
      <c r="SFW57" s="0"/>
      <c r="SFX57" s="0"/>
      <c r="SFY57" s="0"/>
      <c r="SFZ57" s="0"/>
      <c r="SGA57" s="0"/>
      <c r="SGB57" s="0"/>
      <c r="SGC57" s="0"/>
      <c r="SGD57" s="0"/>
      <c r="SGE57" s="0"/>
      <c r="SGF57" s="0"/>
      <c r="SGG57" s="0"/>
      <c r="SGH57" s="0"/>
      <c r="SGI57" s="0"/>
      <c r="SGJ57" s="0"/>
      <c r="SGK57" s="0"/>
      <c r="SGL57" s="0"/>
      <c r="SGM57" s="0"/>
      <c r="SGN57" s="0"/>
      <c r="SGO57" s="0"/>
      <c r="SGP57" s="0"/>
      <c r="SGQ57" s="0"/>
      <c r="SGR57" s="0"/>
      <c r="SGS57" s="0"/>
      <c r="SGT57" s="0"/>
      <c r="SGU57" s="0"/>
      <c r="SGV57" s="0"/>
      <c r="SGW57" s="0"/>
      <c r="SGX57" s="0"/>
      <c r="SGY57" s="0"/>
      <c r="SGZ57" s="0"/>
      <c r="SHA57" s="0"/>
      <c r="SHB57" s="0"/>
      <c r="SHC57" s="0"/>
      <c r="SHD57" s="0"/>
      <c r="SHE57" s="0"/>
      <c r="SHF57" s="0"/>
      <c r="SHG57" s="0"/>
      <c r="SHH57" s="0"/>
      <c r="SHI57" s="0"/>
      <c r="SHJ57" s="0"/>
      <c r="SHK57" s="0"/>
      <c r="SHL57" s="0"/>
      <c r="SHM57" s="0"/>
      <c r="SHN57" s="0"/>
      <c r="SHO57" s="0"/>
      <c r="SHP57" s="0"/>
      <c r="SHQ57" s="0"/>
      <c r="SHR57" s="0"/>
      <c r="SHS57" s="0"/>
      <c r="SHT57" s="0"/>
      <c r="SHU57" s="0"/>
      <c r="SHV57" s="0"/>
      <c r="SHW57" s="0"/>
      <c r="SHX57" s="0"/>
      <c r="SHY57" s="0"/>
      <c r="SHZ57" s="0"/>
      <c r="SIA57" s="0"/>
      <c r="SIB57" s="0"/>
      <c r="SIC57" s="0"/>
      <c r="SID57" s="0"/>
      <c r="SIE57" s="0"/>
      <c r="SIF57" s="0"/>
      <c r="SIG57" s="0"/>
      <c r="SIH57" s="0"/>
      <c r="SII57" s="0"/>
      <c r="SIJ57" s="0"/>
      <c r="SIK57" s="0"/>
      <c r="SIL57" s="0"/>
      <c r="SIM57" s="0"/>
      <c r="SIN57" s="0"/>
      <c r="SIO57" s="0"/>
      <c r="SIP57" s="0"/>
      <c r="SIQ57" s="0"/>
      <c r="SIR57" s="0"/>
      <c r="SIS57" s="0"/>
      <c r="SIT57" s="0"/>
      <c r="SIU57" s="0"/>
      <c r="SIV57" s="0"/>
      <c r="SIW57" s="0"/>
      <c r="SIX57" s="0"/>
      <c r="SIY57" s="0"/>
      <c r="SIZ57" s="0"/>
      <c r="SJA57" s="0"/>
      <c r="SJB57" s="0"/>
      <c r="SJC57" s="0"/>
      <c r="SJD57" s="0"/>
      <c r="SJE57" s="0"/>
      <c r="SJF57" s="0"/>
      <c r="SJG57" s="0"/>
      <c r="SJH57" s="0"/>
      <c r="SJI57" s="0"/>
      <c r="SJJ57" s="0"/>
      <c r="SJK57" s="0"/>
      <c r="SJL57" s="0"/>
      <c r="SJM57" s="0"/>
      <c r="SJN57" s="0"/>
      <c r="SJO57" s="0"/>
      <c r="SJP57" s="0"/>
      <c r="SJQ57" s="0"/>
      <c r="SJR57" s="0"/>
      <c r="SJS57" s="0"/>
      <c r="SJT57" s="0"/>
      <c r="SJU57" s="0"/>
      <c r="SJV57" s="0"/>
      <c r="SJW57" s="0"/>
      <c r="SJX57" s="0"/>
      <c r="SJY57" s="0"/>
      <c r="SJZ57" s="0"/>
      <c r="SKA57" s="0"/>
      <c r="SKB57" s="0"/>
      <c r="SKC57" s="0"/>
      <c r="SKD57" s="0"/>
      <c r="SKE57" s="0"/>
      <c r="SKF57" s="0"/>
      <c r="SKG57" s="0"/>
      <c r="SKH57" s="0"/>
      <c r="SKI57" s="0"/>
      <c r="SKJ57" s="0"/>
      <c r="SKK57" s="0"/>
      <c r="SKL57" s="0"/>
      <c r="SKM57" s="0"/>
      <c r="SKN57" s="0"/>
      <c r="SKO57" s="0"/>
      <c r="SKP57" s="0"/>
      <c r="SKQ57" s="0"/>
      <c r="SKR57" s="0"/>
      <c r="SKS57" s="0"/>
      <c r="SKT57" s="0"/>
      <c r="SKU57" s="0"/>
      <c r="SKV57" s="0"/>
      <c r="SKW57" s="0"/>
      <c r="SKX57" s="0"/>
      <c r="SKY57" s="0"/>
      <c r="SKZ57" s="0"/>
      <c r="SLA57" s="0"/>
      <c r="SLB57" s="0"/>
      <c r="SLC57" s="0"/>
      <c r="SLD57" s="0"/>
      <c r="SLE57" s="0"/>
      <c r="SLF57" s="0"/>
      <c r="SLG57" s="0"/>
      <c r="SLH57" s="0"/>
      <c r="SLI57" s="0"/>
      <c r="SLJ57" s="0"/>
      <c r="SLK57" s="0"/>
      <c r="SLL57" s="0"/>
      <c r="SLM57" s="0"/>
      <c r="SLN57" s="0"/>
      <c r="SLO57" s="0"/>
      <c r="SLP57" s="0"/>
      <c r="SLQ57" s="0"/>
      <c r="SLR57" s="0"/>
      <c r="SLS57" s="0"/>
      <c r="SLT57" s="0"/>
      <c r="SLU57" s="0"/>
      <c r="SLV57" s="0"/>
      <c r="SLW57" s="0"/>
      <c r="SLX57" s="0"/>
      <c r="SLY57" s="0"/>
      <c r="SLZ57" s="0"/>
      <c r="SMA57" s="0"/>
      <c r="SMB57" s="0"/>
      <c r="SMC57" s="0"/>
      <c r="SMD57" s="0"/>
      <c r="SME57" s="0"/>
      <c r="SMF57" s="0"/>
      <c r="SMG57" s="0"/>
      <c r="SMH57" s="0"/>
      <c r="SMI57" s="0"/>
      <c r="SMJ57" s="0"/>
      <c r="SMK57" s="0"/>
      <c r="SML57" s="0"/>
      <c r="SMM57" s="0"/>
      <c r="SMN57" s="0"/>
      <c r="SMO57" s="0"/>
      <c r="SMP57" s="0"/>
      <c r="SMQ57" s="0"/>
      <c r="SMR57" s="0"/>
      <c r="SMS57" s="0"/>
      <c r="SMT57" s="0"/>
      <c r="SMU57" s="0"/>
      <c r="SMV57" s="0"/>
      <c r="SMW57" s="0"/>
      <c r="SMX57" s="0"/>
      <c r="SMY57" s="0"/>
      <c r="SMZ57" s="0"/>
      <c r="SNA57" s="0"/>
      <c r="SNB57" s="0"/>
      <c r="SNC57" s="0"/>
      <c r="SND57" s="0"/>
      <c r="SNE57" s="0"/>
      <c r="SNF57" s="0"/>
      <c r="SNG57" s="0"/>
      <c r="SNH57" s="0"/>
      <c r="SNI57" s="0"/>
      <c r="SNJ57" s="0"/>
      <c r="SNK57" s="0"/>
      <c r="SNL57" s="0"/>
      <c r="SNM57" s="0"/>
      <c r="SNN57" s="0"/>
      <c r="SNO57" s="0"/>
      <c r="SNP57" s="0"/>
      <c r="SNQ57" s="0"/>
      <c r="SNR57" s="0"/>
      <c r="SNS57" s="0"/>
      <c r="SNT57" s="0"/>
      <c r="SNU57" s="0"/>
      <c r="SNV57" s="0"/>
      <c r="SNW57" s="0"/>
      <c r="SNX57" s="0"/>
      <c r="SNY57" s="0"/>
      <c r="SNZ57" s="0"/>
      <c r="SOA57" s="0"/>
      <c r="SOB57" s="0"/>
      <c r="SOC57" s="0"/>
      <c r="SOD57" s="0"/>
      <c r="SOE57" s="0"/>
      <c r="SOF57" s="0"/>
      <c r="SOG57" s="0"/>
      <c r="SOH57" s="0"/>
      <c r="SOI57" s="0"/>
      <c r="SOJ57" s="0"/>
      <c r="SOK57" s="0"/>
      <c r="SOL57" s="0"/>
      <c r="SOM57" s="0"/>
      <c r="SON57" s="0"/>
      <c r="SOO57" s="0"/>
      <c r="SOP57" s="0"/>
      <c r="SOQ57" s="0"/>
      <c r="SOR57" s="0"/>
      <c r="SOS57" s="0"/>
      <c r="SOT57" s="0"/>
      <c r="SOU57" s="0"/>
      <c r="SOV57" s="0"/>
      <c r="SOW57" s="0"/>
      <c r="SOX57" s="0"/>
      <c r="SOY57" s="0"/>
      <c r="SOZ57" s="0"/>
      <c r="SPA57" s="0"/>
      <c r="SPB57" s="0"/>
      <c r="SPC57" s="0"/>
      <c r="SPD57" s="0"/>
      <c r="SPE57" s="0"/>
      <c r="SPF57" s="0"/>
      <c r="SPG57" s="0"/>
      <c r="SPH57" s="0"/>
      <c r="SPI57" s="0"/>
      <c r="SPJ57" s="0"/>
      <c r="SPK57" s="0"/>
      <c r="SPL57" s="0"/>
      <c r="SPM57" s="0"/>
      <c r="SPN57" s="0"/>
      <c r="SPO57" s="0"/>
      <c r="SPP57" s="0"/>
      <c r="SPQ57" s="0"/>
      <c r="SPR57" s="0"/>
      <c r="SPS57" s="0"/>
      <c r="SPT57" s="0"/>
      <c r="SPU57" s="0"/>
      <c r="SPV57" s="0"/>
      <c r="SPW57" s="0"/>
      <c r="SPX57" s="0"/>
      <c r="SPY57" s="0"/>
      <c r="SPZ57" s="0"/>
      <c r="SQA57" s="0"/>
      <c r="SQB57" s="0"/>
      <c r="SQC57" s="0"/>
      <c r="SQD57" s="0"/>
      <c r="SQE57" s="0"/>
      <c r="SQF57" s="0"/>
      <c r="SQG57" s="0"/>
      <c r="SQH57" s="0"/>
      <c r="SQI57" s="0"/>
      <c r="SQJ57" s="0"/>
      <c r="SQK57" s="0"/>
      <c r="SQL57" s="0"/>
      <c r="SQM57" s="0"/>
      <c r="SQN57" s="0"/>
      <c r="SQO57" s="0"/>
      <c r="SQP57" s="0"/>
      <c r="SQQ57" s="0"/>
      <c r="SQR57" s="0"/>
      <c r="SQS57" s="0"/>
      <c r="SQT57" s="0"/>
      <c r="SQU57" s="0"/>
      <c r="SQV57" s="0"/>
      <c r="SQW57" s="0"/>
      <c r="SQX57" s="0"/>
      <c r="SQY57" s="0"/>
      <c r="SQZ57" s="0"/>
      <c r="SRA57" s="0"/>
      <c r="SRB57" s="0"/>
      <c r="SRC57" s="0"/>
      <c r="SRD57" s="0"/>
      <c r="SRE57" s="0"/>
      <c r="SRF57" s="0"/>
      <c r="SRG57" s="0"/>
      <c r="SRH57" s="0"/>
      <c r="SRI57" s="0"/>
      <c r="SRJ57" s="0"/>
      <c r="SRK57" s="0"/>
      <c r="SRL57" s="0"/>
      <c r="SRM57" s="0"/>
      <c r="SRN57" s="0"/>
      <c r="SRO57" s="0"/>
      <c r="SRP57" s="0"/>
      <c r="SRQ57" s="0"/>
      <c r="SRR57" s="0"/>
      <c r="SRS57" s="0"/>
      <c r="SRT57" s="0"/>
      <c r="SRU57" s="0"/>
      <c r="SRV57" s="0"/>
      <c r="SRW57" s="0"/>
      <c r="SRX57" s="0"/>
      <c r="SRY57" s="0"/>
      <c r="SRZ57" s="0"/>
      <c r="SSA57" s="0"/>
      <c r="SSB57" s="0"/>
      <c r="SSC57" s="0"/>
      <c r="SSD57" s="0"/>
      <c r="SSE57" s="0"/>
      <c r="SSF57" s="0"/>
      <c r="SSG57" s="0"/>
      <c r="SSH57" s="0"/>
      <c r="SSI57" s="0"/>
      <c r="SSJ57" s="0"/>
      <c r="SSK57" s="0"/>
      <c r="SSL57" s="0"/>
      <c r="SSM57" s="0"/>
      <c r="SSN57" s="0"/>
      <c r="SSO57" s="0"/>
      <c r="SSP57" s="0"/>
      <c r="SSQ57" s="0"/>
      <c r="SSR57" s="0"/>
      <c r="SSS57" s="0"/>
      <c r="SST57" s="0"/>
      <c r="SSU57" s="0"/>
      <c r="SSV57" s="0"/>
      <c r="SSW57" s="0"/>
      <c r="SSX57" s="0"/>
      <c r="SSY57" s="0"/>
      <c r="SSZ57" s="0"/>
      <c r="STA57" s="0"/>
      <c r="STB57" s="0"/>
      <c r="STC57" s="0"/>
      <c r="STD57" s="0"/>
      <c r="STE57" s="0"/>
      <c r="STF57" s="0"/>
      <c r="STG57" s="0"/>
      <c r="STH57" s="0"/>
      <c r="STI57" s="0"/>
      <c r="STJ57" s="0"/>
      <c r="STK57" s="0"/>
      <c r="STL57" s="0"/>
      <c r="STM57" s="0"/>
      <c r="STN57" s="0"/>
      <c r="STO57" s="0"/>
      <c r="STP57" s="0"/>
      <c r="STQ57" s="0"/>
      <c r="STR57" s="0"/>
      <c r="STS57" s="0"/>
      <c r="STT57" s="0"/>
      <c r="STU57" s="0"/>
      <c r="STV57" s="0"/>
      <c r="STW57" s="0"/>
      <c r="STX57" s="0"/>
      <c r="STY57" s="0"/>
      <c r="STZ57" s="0"/>
      <c r="SUA57" s="0"/>
      <c r="SUB57" s="0"/>
      <c r="SUC57" s="0"/>
      <c r="SUD57" s="0"/>
      <c r="SUE57" s="0"/>
      <c r="SUF57" s="0"/>
      <c r="SUG57" s="0"/>
      <c r="SUH57" s="0"/>
      <c r="SUI57" s="0"/>
      <c r="SUJ57" s="0"/>
      <c r="SUK57" s="0"/>
      <c r="SUL57" s="0"/>
      <c r="SUM57" s="0"/>
      <c r="SUN57" s="0"/>
      <c r="SUO57" s="0"/>
      <c r="SUP57" s="0"/>
      <c r="SUQ57" s="0"/>
      <c r="SUR57" s="0"/>
      <c r="SUS57" s="0"/>
      <c r="SUT57" s="0"/>
      <c r="SUU57" s="0"/>
      <c r="SUV57" s="0"/>
      <c r="SUW57" s="0"/>
      <c r="SUX57" s="0"/>
      <c r="SUY57" s="0"/>
      <c r="SUZ57" s="0"/>
      <c r="SVA57" s="0"/>
      <c r="SVB57" s="0"/>
      <c r="SVC57" s="0"/>
      <c r="SVD57" s="0"/>
      <c r="SVE57" s="0"/>
      <c r="SVF57" s="0"/>
      <c r="SVG57" s="0"/>
      <c r="SVH57" s="0"/>
      <c r="SVI57" s="0"/>
      <c r="SVJ57" s="0"/>
      <c r="SVK57" s="0"/>
      <c r="SVL57" s="0"/>
      <c r="SVM57" s="0"/>
      <c r="SVN57" s="0"/>
      <c r="SVO57" s="0"/>
      <c r="SVP57" s="0"/>
      <c r="SVQ57" s="0"/>
      <c r="SVR57" s="0"/>
      <c r="SVS57" s="0"/>
      <c r="SVT57" s="0"/>
      <c r="SVU57" s="0"/>
      <c r="SVV57" s="0"/>
      <c r="SVW57" s="0"/>
      <c r="SVX57" s="0"/>
      <c r="SVY57" s="0"/>
      <c r="SVZ57" s="0"/>
      <c r="SWA57" s="0"/>
      <c r="SWB57" s="0"/>
      <c r="SWC57" s="0"/>
      <c r="SWD57" s="0"/>
      <c r="SWE57" s="0"/>
      <c r="SWF57" s="0"/>
      <c r="SWG57" s="0"/>
      <c r="SWH57" s="0"/>
      <c r="SWI57" s="0"/>
      <c r="SWJ57" s="0"/>
      <c r="SWK57" s="0"/>
      <c r="SWL57" s="0"/>
      <c r="SWM57" s="0"/>
      <c r="SWN57" s="0"/>
      <c r="SWO57" s="0"/>
      <c r="SWP57" s="0"/>
      <c r="SWQ57" s="0"/>
      <c r="SWR57" s="0"/>
      <c r="SWS57" s="0"/>
      <c r="SWT57" s="0"/>
      <c r="SWU57" s="0"/>
      <c r="SWV57" s="0"/>
      <c r="SWW57" s="0"/>
      <c r="SWX57" s="0"/>
      <c r="SWY57" s="0"/>
      <c r="SWZ57" s="0"/>
      <c r="SXA57" s="0"/>
      <c r="SXB57" s="0"/>
      <c r="SXC57" s="0"/>
      <c r="SXD57" s="0"/>
      <c r="SXE57" s="0"/>
      <c r="SXF57" s="0"/>
      <c r="SXG57" s="0"/>
      <c r="SXH57" s="0"/>
      <c r="SXI57" s="0"/>
      <c r="SXJ57" s="0"/>
      <c r="SXK57" s="0"/>
      <c r="SXL57" s="0"/>
      <c r="SXM57" s="0"/>
      <c r="SXN57" s="0"/>
      <c r="SXO57" s="0"/>
      <c r="SXP57" s="0"/>
      <c r="SXQ57" s="0"/>
      <c r="SXR57" s="0"/>
      <c r="SXS57" s="0"/>
      <c r="SXT57" s="0"/>
      <c r="SXU57" s="0"/>
      <c r="SXV57" s="0"/>
      <c r="SXW57" s="0"/>
      <c r="SXX57" s="0"/>
      <c r="SXY57" s="0"/>
      <c r="SXZ57" s="0"/>
      <c r="SYA57" s="0"/>
      <c r="SYB57" s="0"/>
      <c r="SYC57" s="0"/>
      <c r="SYD57" s="0"/>
      <c r="SYE57" s="0"/>
      <c r="SYF57" s="0"/>
      <c r="SYG57" s="0"/>
      <c r="SYH57" s="0"/>
      <c r="SYI57" s="0"/>
      <c r="SYJ57" s="0"/>
      <c r="SYK57" s="0"/>
      <c r="SYL57" s="0"/>
      <c r="SYM57" s="0"/>
      <c r="SYN57" s="0"/>
      <c r="SYO57" s="0"/>
      <c r="SYP57" s="0"/>
      <c r="SYQ57" s="0"/>
      <c r="SYR57" s="0"/>
      <c r="SYS57" s="0"/>
      <c r="SYT57" s="0"/>
      <c r="SYU57" s="0"/>
      <c r="SYV57" s="0"/>
      <c r="SYW57" s="0"/>
      <c r="SYX57" s="0"/>
      <c r="SYY57" s="0"/>
      <c r="SYZ57" s="0"/>
      <c r="SZA57" s="0"/>
      <c r="SZB57" s="0"/>
      <c r="SZC57" s="0"/>
      <c r="SZD57" s="0"/>
      <c r="SZE57" s="0"/>
      <c r="SZF57" s="0"/>
      <c r="SZG57" s="0"/>
      <c r="SZH57" s="0"/>
      <c r="SZI57" s="0"/>
      <c r="SZJ57" s="0"/>
      <c r="SZK57" s="0"/>
      <c r="SZL57" s="0"/>
      <c r="SZM57" s="0"/>
      <c r="SZN57" s="0"/>
      <c r="SZO57" s="0"/>
      <c r="SZP57" s="0"/>
      <c r="SZQ57" s="0"/>
      <c r="SZR57" s="0"/>
      <c r="SZS57" s="0"/>
      <c r="SZT57" s="0"/>
      <c r="SZU57" s="0"/>
      <c r="SZV57" s="0"/>
      <c r="SZW57" s="0"/>
      <c r="SZX57" s="0"/>
      <c r="SZY57" s="0"/>
      <c r="SZZ57" s="0"/>
      <c r="TAA57" s="0"/>
      <c r="TAB57" s="0"/>
      <c r="TAC57" s="0"/>
      <c r="TAD57" s="0"/>
      <c r="TAE57" s="0"/>
      <c r="TAF57" s="0"/>
      <c r="TAG57" s="0"/>
      <c r="TAH57" s="0"/>
      <c r="TAI57" s="0"/>
      <c r="TAJ57" s="0"/>
      <c r="TAK57" s="0"/>
      <c r="TAL57" s="0"/>
      <c r="TAM57" s="0"/>
      <c r="TAN57" s="0"/>
      <c r="TAO57" s="0"/>
      <c r="TAP57" s="0"/>
      <c r="TAQ57" s="0"/>
      <c r="TAR57" s="0"/>
      <c r="TAS57" s="0"/>
      <c r="TAT57" s="0"/>
      <c r="TAU57" s="0"/>
      <c r="TAV57" s="0"/>
      <c r="TAW57" s="0"/>
      <c r="TAX57" s="0"/>
      <c r="TAY57" s="0"/>
      <c r="TAZ57" s="0"/>
      <c r="TBA57" s="0"/>
      <c r="TBB57" s="0"/>
      <c r="TBC57" s="0"/>
      <c r="TBD57" s="0"/>
      <c r="TBE57" s="0"/>
      <c r="TBF57" s="0"/>
      <c r="TBG57" s="0"/>
      <c r="TBH57" s="0"/>
      <c r="TBI57" s="0"/>
      <c r="TBJ57" s="0"/>
      <c r="TBK57" s="0"/>
      <c r="TBL57" s="0"/>
      <c r="TBM57" s="0"/>
      <c r="TBN57" s="0"/>
      <c r="TBO57" s="0"/>
      <c r="TBP57" s="0"/>
      <c r="TBQ57" s="0"/>
      <c r="TBR57" s="0"/>
      <c r="TBS57" s="0"/>
      <c r="TBT57" s="0"/>
      <c r="TBU57" s="0"/>
      <c r="TBV57" s="0"/>
      <c r="TBW57" s="0"/>
      <c r="TBX57" s="0"/>
      <c r="TBY57" s="0"/>
      <c r="TBZ57" s="0"/>
      <c r="TCA57" s="0"/>
      <c r="TCB57" s="0"/>
      <c r="TCC57" s="0"/>
      <c r="TCD57" s="0"/>
      <c r="TCE57" s="0"/>
      <c r="TCF57" s="0"/>
      <c r="TCG57" s="0"/>
      <c r="TCH57" s="0"/>
      <c r="TCI57" s="0"/>
      <c r="TCJ57" s="0"/>
      <c r="TCK57" s="0"/>
      <c r="TCL57" s="0"/>
      <c r="TCM57" s="0"/>
      <c r="TCN57" s="0"/>
      <c r="TCO57" s="0"/>
      <c r="TCP57" s="0"/>
      <c r="TCQ57" s="0"/>
      <c r="TCR57" s="0"/>
      <c r="TCS57" s="0"/>
      <c r="TCT57" s="0"/>
      <c r="TCU57" s="0"/>
      <c r="TCV57" s="0"/>
      <c r="TCW57" s="0"/>
      <c r="TCX57" s="0"/>
      <c r="TCY57" s="0"/>
      <c r="TCZ57" s="0"/>
      <c r="TDA57" s="0"/>
      <c r="TDB57" s="0"/>
      <c r="TDC57" s="0"/>
      <c r="TDD57" s="0"/>
      <c r="TDE57" s="0"/>
      <c r="TDF57" s="0"/>
      <c r="TDG57" s="0"/>
      <c r="TDH57" s="0"/>
      <c r="TDI57" s="0"/>
      <c r="TDJ57" s="0"/>
      <c r="TDK57" s="0"/>
      <c r="TDL57" s="0"/>
      <c r="TDM57" s="0"/>
      <c r="TDN57" s="0"/>
      <c r="TDO57" s="0"/>
      <c r="TDP57" s="0"/>
      <c r="TDQ57" s="0"/>
      <c r="TDR57" s="0"/>
      <c r="TDS57" s="0"/>
      <c r="TDT57" s="0"/>
      <c r="TDU57" s="0"/>
      <c r="TDV57" s="0"/>
      <c r="TDW57" s="0"/>
      <c r="TDX57" s="0"/>
      <c r="TDY57" s="0"/>
      <c r="TDZ57" s="0"/>
      <c r="TEA57" s="0"/>
      <c r="TEB57" s="0"/>
      <c r="TEC57" s="0"/>
      <c r="TED57" s="0"/>
      <c r="TEE57" s="0"/>
      <c r="TEF57" s="0"/>
      <c r="TEG57" s="0"/>
      <c r="TEH57" s="0"/>
      <c r="TEI57" s="0"/>
      <c r="TEJ57" s="0"/>
      <c r="TEK57" s="0"/>
      <c r="TEL57" s="0"/>
      <c r="TEM57" s="0"/>
      <c r="TEN57" s="0"/>
      <c r="TEO57" s="0"/>
      <c r="TEP57" s="0"/>
      <c r="TEQ57" s="0"/>
      <c r="TER57" s="0"/>
      <c r="TES57" s="0"/>
      <c r="TET57" s="0"/>
      <c r="TEU57" s="0"/>
      <c r="TEV57" s="0"/>
      <c r="TEW57" s="0"/>
      <c r="TEX57" s="0"/>
      <c r="TEY57" s="0"/>
      <c r="TEZ57" s="0"/>
      <c r="TFA57" s="0"/>
      <c r="TFB57" s="0"/>
      <c r="TFC57" s="0"/>
      <c r="TFD57" s="0"/>
      <c r="TFE57" s="0"/>
      <c r="TFF57" s="0"/>
      <c r="TFG57" s="0"/>
      <c r="TFH57" s="0"/>
      <c r="TFI57" s="0"/>
      <c r="TFJ57" s="0"/>
      <c r="TFK57" s="0"/>
      <c r="TFL57" s="0"/>
      <c r="TFM57" s="0"/>
      <c r="TFN57" s="0"/>
      <c r="TFO57" s="0"/>
      <c r="TFP57" s="0"/>
      <c r="TFQ57" s="0"/>
      <c r="TFR57" s="0"/>
      <c r="TFS57" s="0"/>
      <c r="TFT57" s="0"/>
      <c r="TFU57" s="0"/>
      <c r="TFV57" s="0"/>
      <c r="TFW57" s="0"/>
      <c r="TFX57" s="0"/>
      <c r="TFY57" s="0"/>
      <c r="TFZ57" s="0"/>
      <c r="TGA57" s="0"/>
      <c r="TGB57" s="0"/>
      <c r="TGC57" s="0"/>
      <c r="TGD57" s="0"/>
      <c r="TGE57" s="0"/>
      <c r="TGF57" s="0"/>
      <c r="TGG57" s="0"/>
      <c r="TGH57" s="0"/>
      <c r="TGI57" s="0"/>
      <c r="TGJ57" s="0"/>
      <c r="TGK57" s="0"/>
      <c r="TGL57" s="0"/>
      <c r="TGM57" s="0"/>
      <c r="TGN57" s="0"/>
      <c r="TGO57" s="0"/>
      <c r="TGP57" s="0"/>
      <c r="TGQ57" s="0"/>
      <c r="TGR57" s="0"/>
      <c r="TGS57" s="0"/>
      <c r="TGT57" s="0"/>
      <c r="TGU57" s="0"/>
      <c r="TGV57" s="0"/>
      <c r="TGW57" s="0"/>
      <c r="TGX57" s="0"/>
      <c r="TGY57" s="0"/>
      <c r="TGZ57" s="0"/>
      <c r="THA57" s="0"/>
      <c r="THB57" s="0"/>
      <c r="THC57" s="0"/>
      <c r="THD57" s="0"/>
      <c r="THE57" s="0"/>
      <c r="THF57" s="0"/>
      <c r="THG57" s="0"/>
      <c r="THH57" s="0"/>
      <c r="THI57" s="0"/>
      <c r="THJ57" s="0"/>
      <c r="THK57" s="0"/>
      <c r="THL57" s="0"/>
      <c r="THM57" s="0"/>
      <c r="THN57" s="0"/>
      <c r="THO57" s="0"/>
      <c r="THP57" s="0"/>
      <c r="THQ57" s="0"/>
      <c r="THR57" s="0"/>
      <c r="THS57" s="0"/>
      <c r="THT57" s="0"/>
      <c r="THU57" s="0"/>
      <c r="THV57" s="0"/>
      <c r="THW57" s="0"/>
      <c r="THX57" s="0"/>
      <c r="THY57" s="0"/>
      <c r="THZ57" s="0"/>
      <c r="TIA57" s="0"/>
      <c r="TIB57" s="0"/>
      <c r="TIC57" s="0"/>
      <c r="TID57" s="0"/>
      <c r="TIE57" s="0"/>
      <c r="TIF57" s="0"/>
      <c r="TIG57" s="0"/>
      <c r="TIH57" s="0"/>
      <c r="TII57" s="0"/>
      <c r="TIJ57" s="0"/>
      <c r="TIK57" s="0"/>
      <c r="TIL57" s="0"/>
      <c r="TIM57" s="0"/>
      <c r="TIN57" s="0"/>
      <c r="TIO57" s="0"/>
      <c r="TIP57" s="0"/>
      <c r="TIQ57" s="0"/>
      <c r="TIR57" s="0"/>
      <c r="TIS57" s="0"/>
      <c r="TIT57" s="0"/>
      <c r="TIU57" s="0"/>
      <c r="TIV57" s="0"/>
      <c r="TIW57" s="0"/>
      <c r="TIX57" s="0"/>
      <c r="TIY57" s="0"/>
      <c r="TIZ57" s="0"/>
      <c r="TJA57" s="0"/>
      <c r="TJB57" s="0"/>
      <c r="TJC57" s="0"/>
      <c r="TJD57" s="0"/>
      <c r="TJE57" s="0"/>
      <c r="TJF57" s="0"/>
      <c r="TJG57" s="0"/>
      <c r="TJH57" s="0"/>
      <c r="TJI57" s="0"/>
      <c r="TJJ57" s="0"/>
      <c r="TJK57" s="0"/>
      <c r="TJL57" s="0"/>
      <c r="TJM57" s="0"/>
      <c r="TJN57" s="0"/>
      <c r="TJO57" s="0"/>
      <c r="TJP57" s="0"/>
      <c r="TJQ57" s="0"/>
      <c r="TJR57" s="0"/>
      <c r="TJS57" s="0"/>
      <c r="TJT57" s="0"/>
      <c r="TJU57" s="0"/>
      <c r="TJV57" s="0"/>
      <c r="TJW57" s="0"/>
      <c r="TJX57" s="0"/>
      <c r="TJY57" s="0"/>
      <c r="TJZ57" s="0"/>
      <c r="TKA57" s="0"/>
      <c r="TKB57" s="0"/>
      <c r="TKC57" s="0"/>
      <c r="TKD57" s="0"/>
      <c r="TKE57" s="0"/>
      <c r="TKF57" s="0"/>
      <c r="TKG57" s="0"/>
      <c r="TKH57" s="0"/>
      <c r="TKI57" s="0"/>
      <c r="TKJ57" s="0"/>
      <c r="TKK57" s="0"/>
      <c r="TKL57" s="0"/>
      <c r="TKM57" s="0"/>
      <c r="TKN57" s="0"/>
      <c r="TKO57" s="0"/>
      <c r="TKP57" s="0"/>
      <c r="TKQ57" s="0"/>
      <c r="TKR57" s="0"/>
      <c r="TKS57" s="0"/>
      <c r="TKT57" s="0"/>
      <c r="TKU57" s="0"/>
      <c r="TKV57" s="0"/>
      <c r="TKW57" s="0"/>
      <c r="TKX57" s="0"/>
      <c r="TKY57" s="0"/>
      <c r="TKZ57" s="0"/>
      <c r="TLA57" s="0"/>
      <c r="TLB57" s="0"/>
      <c r="TLC57" s="0"/>
      <c r="TLD57" s="0"/>
      <c r="TLE57" s="0"/>
      <c r="TLF57" s="0"/>
      <c r="TLG57" s="0"/>
      <c r="TLH57" s="0"/>
      <c r="TLI57" s="0"/>
      <c r="TLJ57" s="0"/>
      <c r="TLK57" s="0"/>
      <c r="TLL57" s="0"/>
      <c r="TLM57" s="0"/>
      <c r="TLN57" s="0"/>
      <c r="TLO57" s="0"/>
      <c r="TLP57" s="0"/>
      <c r="TLQ57" s="0"/>
      <c r="TLR57" s="0"/>
      <c r="TLS57" s="0"/>
      <c r="TLT57" s="0"/>
      <c r="TLU57" s="0"/>
      <c r="TLV57" s="0"/>
      <c r="TLW57" s="0"/>
      <c r="TLX57" s="0"/>
      <c r="TLY57" s="0"/>
      <c r="TLZ57" s="0"/>
      <c r="TMA57" s="0"/>
      <c r="TMB57" s="0"/>
      <c r="TMC57" s="0"/>
      <c r="TMD57" s="0"/>
      <c r="TME57" s="0"/>
      <c r="TMF57" s="0"/>
      <c r="TMG57" s="0"/>
      <c r="TMH57" s="0"/>
      <c r="TMI57" s="0"/>
      <c r="TMJ57" s="0"/>
      <c r="TMK57" s="0"/>
      <c r="TML57" s="0"/>
      <c r="TMM57" s="0"/>
      <c r="TMN57" s="0"/>
      <c r="TMO57" s="0"/>
      <c r="TMP57" s="0"/>
      <c r="TMQ57" s="0"/>
      <c r="TMR57" s="0"/>
      <c r="TMS57" s="0"/>
      <c r="TMT57" s="0"/>
      <c r="TMU57" s="0"/>
      <c r="TMV57" s="0"/>
      <c r="TMW57" s="0"/>
      <c r="TMX57" s="0"/>
      <c r="TMY57" s="0"/>
      <c r="TMZ57" s="0"/>
      <c r="TNA57" s="0"/>
      <c r="TNB57" s="0"/>
      <c r="TNC57" s="0"/>
      <c r="TND57" s="0"/>
      <c r="TNE57" s="0"/>
      <c r="TNF57" s="0"/>
      <c r="TNG57" s="0"/>
      <c r="TNH57" s="0"/>
      <c r="TNI57" s="0"/>
      <c r="TNJ57" s="0"/>
      <c r="TNK57" s="0"/>
      <c r="TNL57" s="0"/>
      <c r="TNM57" s="0"/>
      <c r="TNN57" s="0"/>
      <c r="TNO57" s="0"/>
      <c r="TNP57" s="0"/>
      <c r="TNQ57" s="0"/>
      <c r="TNR57" s="0"/>
      <c r="TNS57" s="0"/>
      <c r="TNT57" s="0"/>
      <c r="TNU57" s="0"/>
      <c r="TNV57" s="0"/>
      <c r="TNW57" s="0"/>
      <c r="TNX57" s="0"/>
      <c r="TNY57" s="0"/>
      <c r="TNZ57" s="0"/>
      <c r="TOA57" s="0"/>
      <c r="TOB57" s="0"/>
      <c r="TOC57" s="0"/>
      <c r="TOD57" s="0"/>
      <c r="TOE57" s="0"/>
      <c r="TOF57" s="0"/>
      <c r="TOG57" s="0"/>
      <c r="TOH57" s="0"/>
      <c r="TOI57" s="0"/>
      <c r="TOJ57" s="0"/>
      <c r="TOK57" s="0"/>
      <c r="TOL57" s="0"/>
      <c r="TOM57" s="0"/>
      <c r="TON57" s="0"/>
      <c r="TOO57" s="0"/>
      <c r="TOP57" s="0"/>
      <c r="TOQ57" s="0"/>
      <c r="TOR57" s="0"/>
      <c r="TOS57" s="0"/>
      <c r="TOT57" s="0"/>
      <c r="TOU57" s="0"/>
      <c r="TOV57" s="0"/>
      <c r="TOW57" s="0"/>
      <c r="TOX57" s="0"/>
      <c r="TOY57" s="0"/>
      <c r="TOZ57" s="0"/>
      <c r="TPA57" s="0"/>
      <c r="TPB57" s="0"/>
      <c r="TPC57" s="0"/>
      <c r="TPD57" s="0"/>
      <c r="TPE57" s="0"/>
      <c r="TPF57" s="0"/>
      <c r="TPG57" s="0"/>
      <c r="TPH57" s="0"/>
      <c r="TPI57" s="0"/>
      <c r="TPJ57" s="0"/>
      <c r="TPK57" s="0"/>
      <c r="TPL57" s="0"/>
      <c r="TPM57" s="0"/>
      <c r="TPN57" s="0"/>
      <c r="TPO57" s="0"/>
      <c r="TPP57" s="0"/>
      <c r="TPQ57" s="0"/>
      <c r="TPR57" s="0"/>
      <c r="TPS57" s="0"/>
      <c r="TPT57" s="0"/>
      <c r="TPU57" s="0"/>
      <c r="TPV57" s="0"/>
      <c r="TPW57" s="0"/>
      <c r="TPX57" s="0"/>
      <c r="TPY57" s="0"/>
      <c r="TPZ57" s="0"/>
      <c r="TQA57" s="0"/>
      <c r="TQB57" s="0"/>
      <c r="TQC57" s="0"/>
      <c r="TQD57" s="0"/>
      <c r="TQE57" s="0"/>
      <c r="TQF57" s="0"/>
      <c r="TQG57" s="0"/>
      <c r="TQH57" s="0"/>
      <c r="TQI57" s="0"/>
      <c r="TQJ57" s="0"/>
      <c r="TQK57" s="0"/>
      <c r="TQL57" s="0"/>
      <c r="TQM57" s="0"/>
      <c r="TQN57" s="0"/>
      <c r="TQO57" s="0"/>
      <c r="TQP57" s="0"/>
      <c r="TQQ57" s="0"/>
      <c r="TQR57" s="0"/>
      <c r="TQS57" s="0"/>
      <c r="TQT57" s="0"/>
      <c r="TQU57" s="0"/>
      <c r="TQV57" s="0"/>
      <c r="TQW57" s="0"/>
      <c r="TQX57" s="0"/>
      <c r="TQY57" s="0"/>
      <c r="TQZ57" s="0"/>
      <c r="TRA57" s="0"/>
      <c r="TRB57" s="0"/>
      <c r="TRC57" s="0"/>
      <c r="TRD57" s="0"/>
      <c r="TRE57" s="0"/>
      <c r="TRF57" s="0"/>
      <c r="TRG57" s="0"/>
      <c r="TRH57" s="0"/>
      <c r="TRI57" s="0"/>
      <c r="TRJ57" s="0"/>
      <c r="TRK57" s="0"/>
      <c r="TRL57" s="0"/>
      <c r="TRM57" s="0"/>
      <c r="TRN57" s="0"/>
      <c r="TRO57" s="0"/>
      <c r="TRP57" s="0"/>
      <c r="TRQ57" s="0"/>
      <c r="TRR57" s="0"/>
      <c r="TRS57" s="0"/>
      <c r="TRT57" s="0"/>
      <c r="TRU57" s="0"/>
      <c r="TRV57" s="0"/>
      <c r="TRW57" s="0"/>
      <c r="TRX57" s="0"/>
      <c r="TRY57" s="0"/>
      <c r="TRZ57" s="0"/>
      <c r="TSA57" s="0"/>
      <c r="TSB57" s="0"/>
      <c r="TSC57" s="0"/>
      <c r="TSD57" s="0"/>
      <c r="TSE57" s="0"/>
      <c r="TSF57" s="0"/>
      <c r="TSG57" s="0"/>
      <c r="TSH57" s="0"/>
      <c r="TSI57" s="0"/>
      <c r="TSJ57" s="0"/>
      <c r="TSK57" s="0"/>
      <c r="TSL57" s="0"/>
      <c r="TSM57" s="0"/>
      <c r="TSN57" s="0"/>
      <c r="TSO57" s="0"/>
      <c r="TSP57" s="0"/>
      <c r="TSQ57" s="0"/>
      <c r="TSR57" s="0"/>
      <c r="TSS57" s="0"/>
      <c r="TST57" s="0"/>
      <c r="TSU57" s="0"/>
      <c r="TSV57" s="0"/>
      <c r="TSW57" s="0"/>
      <c r="TSX57" s="0"/>
      <c r="TSY57" s="0"/>
      <c r="TSZ57" s="0"/>
      <c r="TTA57" s="0"/>
      <c r="TTB57" s="0"/>
      <c r="TTC57" s="0"/>
      <c r="TTD57" s="0"/>
      <c r="TTE57" s="0"/>
      <c r="TTF57" s="0"/>
      <c r="TTG57" s="0"/>
      <c r="TTH57" s="0"/>
      <c r="TTI57" s="0"/>
      <c r="TTJ57" s="0"/>
      <c r="TTK57" s="0"/>
      <c r="TTL57" s="0"/>
      <c r="TTM57" s="0"/>
      <c r="TTN57" s="0"/>
      <c r="TTO57" s="0"/>
      <c r="TTP57" s="0"/>
      <c r="TTQ57" s="0"/>
      <c r="TTR57" s="0"/>
      <c r="TTS57" s="0"/>
      <c r="TTT57" s="0"/>
      <c r="TTU57" s="0"/>
      <c r="TTV57" s="0"/>
      <c r="TTW57" s="0"/>
      <c r="TTX57" s="0"/>
      <c r="TTY57" s="0"/>
      <c r="TTZ57" s="0"/>
      <c r="TUA57" s="0"/>
      <c r="TUB57" s="0"/>
      <c r="TUC57" s="0"/>
      <c r="TUD57" s="0"/>
      <c r="TUE57" s="0"/>
      <c r="TUF57" s="0"/>
      <c r="TUG57" s="0"/>
      <c r="TUH57" s="0"/>
      <c r="TUI57" s="0"/>
      <c r="TUJ57" s="0"/>
      <c r="TUK57" s="0"/>
      <c r="TUL57" s="0"/>
      <c r="TUM57" s="0"/>
      <c r="TUN57" s="0"/>
      <c r="TUO57" s="0"/>
      <c r="TUP57" s="0"/>
      <c r="TUQ57" s="0"/>
      <c r="TUR57" s="0"/>
      <c r="TUS57" s="0"/>
      <c r="TUT57" s="0"/>
      <c r="TUU57" s="0"/>
      <c r="TUV57" s="0"/>
      <c r="TUW57" s="0"/>
      <c r="TUX57" s="0"/>
      <c r="TUY57" s="0"/>
      <c r="TUZ57" s="0"/>
      <c r="TVA57" s="0"/>
      <c r="TVB57" s="0"/>
      <c r="TVC57" s="0"/>
      <c r="TVD57" s="0"/>
      <c r="TVE57" s="0"/>
      <c r="TVF57" s="0"/>
      <c r="TVG57" s="0"/>
      <c r="TVH57" s="0"/>
      <c r="TVI57" s="0"/>
      <c r="TVJ57" s="0"/>
      <c r="TVK57" s="0"/>
      <c r="TVL57" s="0"/>
      <c r="TVM57" s="0"/>
      <c r="TVN57" s="0"/>
      <c r="TVO57" s="0"/>
      <c r="TVP57" s="0"/>
      <c r="TVQ57" s="0"/>
      <c r="TVR57" s="0"/>
      <c r="TVS57" s="0"/>
      <c r="TVT57" s="0"/>
      <c r="TVU57" s="0"/>
      <c r="TVV57" s="0"/>
      <c r="TVW57" s="0"/>
      <c r="TVX57" s="0"/>
      <c r="TVY57" s="0"/>
      <c r="TVZ57" s="0"/>
      <c r="TWA57" s="0"/>
      <c r="TWB57" s="0"/>
      <c r="TWC57" s="0"/>
      <c r="TWD57" s="0"/>
      <c r="TWE57" s="0"/>
      <c r="TWF57" s="0"/>
      <c r="TWG57" s="0"/>
      <c r="TWH57" s="0"/>
      <c r="TWI57" s="0"/>
      <c r="TWJ57" s="0"/>
      <c r="TWK57" s="0"/>
      <c r="TWL57" s="0"/>
      <c r="TWM57" s="0"/>
      <c r="TWN57" s="0"/>
      <c r="TWO57" s="0"/>
      <c r="TWP57" s="0"/>
      <c r="TWQ57" s="0"/>
      <c r="TWR57" s="0"/>
      <c r="TWS57" s="0"/>
      <c r="TWT57" s="0"/>
      <c r="TWU57" s="0"/>
      <c r="TWV57" s="0"/>
      <c r="TWW57" s="0"/>
      <c r="TWX57" s="0"/>
      <c r="TWY57" s="0"/>
      <c r="TWZ57" s="0"/>
      <c r="TXA57" s="0"/>
      <c r="TXB57" s="0"/>
      <c r="TXC57" s="0"/>
      <c r="TXD57" s="0"/>
      <c r="TXE57" s="0"/>
      <c r="TXF57" s="0"/>
      <c r="TXG57" s="0"/>
      <c r="TXH57" s="0"/>
      <c r="TXI57" s="0"/>
      <c r="TXJ57" s="0"/>
      <c r="TXK57" s="0"/>
      <c r="TXL57" s="0"/>
      <c r="TXM57" s="0"/>
      <c r="TXN57" s="0"/>
      <c r="TXO57" s="0"/>
      <c r="TXP57" s="0"/>
      <c r="TXQ57" s="0"/>
      <c r="TXR57" s="0"/>
      <c r="TXS57" s="0"/>
      <c r="TXT57" s="0"/>
      <c r="TXU57" s="0"/>
      <c r="TXV57" s="0"/>
      <c r="TXW57" s="0"/>
      <c r="TXX57" s="0"/>
      <c r="TXY57" s="0"/>
      <c r="TXZ57" s="0"/>
      <c r="TYA57" s="0"/>
      <c r="TYB57" s="0"/>
      <c r="TYC57" s="0"/>
      <c r="TYD57" s="0"/>
      <c r="TYE57" s="0"/>
      <c r="TYF57" s="0"/>
      <c r="TYG57" s="0"/>
      <c r="TYH57" s="0"/>
      <c r="TYI57" s="0"/>
      <c r="TYJ57" s="0"/>
      <c r="TYK57" s="0"/>
      <c r="TYL57" s="0"/>
      <c r="TYM57" s="0"/>
      <c r="TYN57" s="0"/>
      <c r="TYO57" s="0"/>
      <c r="TYP57" s="0"/>
      <c r="TYQ57" s="0"/>
      <c r="TYR57" s="0"/>
      <c r="TYS57" s="0"/>
      <c r="TYT57" s="0"/>
      <c r="TYU57" s="0"/>
      <c r="TYV57" s="0"/>
      <c r="TYW57" s="0"/>
      <c r="TYX57" s="0"/>
      <c r="TYY57" s="0"/>
      <c r="TYZ57" s="0"/>
      <c r="TZA57" s="0"/>
      <c r="TZB57" s="0"/>
      <c r="TZC57" s="0"/>
      <c r="TZD57" s="0"/>
      <c r="TZE57" s="0"/>
      <c r="TZF57" s="0"/>
      <c r="TZG57" s="0"/>
      <c r="TZH57" s="0"/>
      <c r="TZI57" s="0"/>
      <c r="TZJ57" s="0"/>
      <c r="TZK57" s="0"/>
      <c r="TZL57" s="0"/>
      <c r="TZM57" s="0"/>
      <c r="TZN57" s="0"/>
      <c r="TZO57" s="0"/>
      <c r="TZP57" s="0"/>
      <c r="TZQ57" s="0"/>
      <c r="TZR57" s="0"/>
      <c r="TZS57" s="0"/>
      <c r="TZT57" s="0"/>
      <c r="TZU57" s="0"/>
      <c r="TZV57" s="0"/>
      <c r="TZW57" s="0"/>
      <c r="TZX57" s="0"/>
      <c r="TZY57" s="0"/>
      <c r="TZZ57" s="0"/>
      <c r="UAA57" s="0"/>
      <c r="UAB57" s="0"/>
      <c r="UAC57" s="0"/>
      <c r="UAD57" s="0"/>
      <c r="UAE57" s="0"/>
      <c r="UAF57" s="0"/>
      <c r="UAG57" s="0"/>
      <c r="UAH57" s="0"/>
      <c r="UAI57" s="0"/>
      <c r="UAJ57" s="0"/>
      <c r="UAK57" s="0"/>
      <c r="UAL57" s="0"/>
      <c r="UAM57" s="0"/>
      <c r="UAN57" s="0"/>
      <c r="UAO57" s="0"/>
      <c r="UAP57" s="0"/>
      <c r="UAQ57" s="0"/>
      <c r="UAR57" s="0"/>
      <c r="UAS57" s="0"/>
      <c r="UAT57" s="0"/>
      <c r="UAU57" s="0"/>
      <c r="UAV57" s="0"/>
      <c r="UAW57" s="0"/>
      <c r="UAX57" s="0"/>
      <c r="UAY57" s="0"/>
      <c r="UAZ57" s="0"/>
      <c r="UBA57" s="0"/>
      <c r="UBB57" s="0"/>
      <c r="UBC57" s="0"/>
      <c r="UBD57" s="0"/>
      <c r="UBE57" s="0"/>
      <c r="UBF57" s="0"/>
      <c r="UBG57" s="0"/>
      <c r="UBH57" s="0"/>
      <c r="UBI57" s="0"/>
      <c r="UBJ57" s="0"/>
      <c r="UBK57" s="0"/>
      <c r="UBL57" s="0"/>
      <c r="UBM57" s="0"/>
      <c r="UBN57" s="0"/>
      <c r="UBO57" s="0"/>
      <c r="UBP57" s="0"/>
      <c r="UBQ57" s="0"/>
      <c r="UBR57" s="0"/>
      <c r="UBS57" s="0"/>
      <c r="UBT57" s="0"/>
      <c r="UBU57" s="0"/>
      <c r="UBV57" s="0"/>
      <c r="UBW57" s="0"/>
      <c r="UBX57" s="0"/>
      <c r="UBY57" s="0"/>
      <c r="UBZ57" s="0"/>
      <c r="UCA57" s="0"/>
      <c r="UCB57" s="0"/>
      <c r="UCC57" s="0"/>
      <c r="UCD57" s="0"/>
      <c r="UCE57" s="0"/>
      <c r="UCF57" s="0"/>
      <c r="UCG57" s="0"/>
      <c r="UCH57" s="0"/>
      <c r="UCI57" s="0"/>
      <c r="UCJ57" s="0"/>
      <c r="UCK57" s="0"/>
      <c r="UCL57" s="0"/>
      <c r="UCM57" s="0"/>
      <c r="UCN57" s="0"/>
      <c r="UCO57" s="0"/>
      <c r="UCP57" s="0"/>
      <c r="UCQ57" s="0"/>
      <c r="UCR57" s="0"/>
      <c r="UCS57" s="0"/>
      <c r="UCT57" s="0"/>
      <c r="UCU57" s="0"/>
      <c r="UCV57" s="0"/>
      <c r="UCW57" s="0"/>
      <c r="UCX57" s="0"/>
      <c r="UCY57" s="0"/>
      <c r="UCZ57" s="0"/>
      <c r="UDA57" s="0"/>
      <c r="UDB57" s="0"/>
      <c r="UDC57" s="0"/>
      <c r="UDD57" s="0"/>
      <c r="UDE57" s="0"/>
      <c r="UDF57" s="0"/>
      <c r="UDG57" s="0"/>
      <c r="UDH57" s="0"/>
      <c r="UDI57" s="0"/>
      <c r="UDJ57" s="0"/>
      <c r="UDK57" s="0"/>
      <c r="UDL57" s="0"/>
      <c r="UDM57" s="0"/>
      <c r="UDN57" s="0"/>
      <c r="UDO57" s="0"/>
      <c r="UDP57" s="0"/>
      <c r="UDQ57" s="0"/>
      <c r="UDR57" s="0"/>
      <c r="UDS57" s="0"/>
      <c r="UDT57" s="0"/>
      <c r="UDU57" s="0"/>
      <c r="UDV57" s="0"/>
      <c r="UDW57" s="0"/>
      <c r="UDX57" s="0"/>
      <c r="UDY57" s="0"/>
      <c r="UDZ57" s="0"/>
      <c r="UEA57" s="0"/>
      <c r="UEB57" s="0"/>
      <c r="UEC57" s="0"/>
      <c r="UED57" s="0"/>
      <c r="UEE57" s="0"/>
      <c r="UEF57" s="0"/>
      <c r="UEG57" s="0"/>
      <c r="UEH57" s="0"/>
      <c r="UEI57" s="0"/>
      <c r="UEJ57" s="0"/>
      <c r="UEK57" s="0"/>
      <c r="UEL57" s="0"/>
      <c r="UEM57" s="0"/>
      <c r="UEN57" s="0"/>
      <c r="UEO57" s="0"/>
      <c r="UEP57" s="0"/>
      <c r="UEQ57" s="0"/>
      <c r="UER57" s="0"/>
      <c r="UES57" s="0"/>
      <c r="UET57" s="0"/>
      <c r="UEU57" s="0"/>
      <c r="UEV57" s="0"/>
      <c r="UEW57" s="0"/>
      <c r="UEX57" s="0"/>
      <c r="UEY57" s="0"/>
      <c r="UEZ57" s="0"/>
      <c r="UFA57" s="0"/>
      <c r="UFB57" s="0"/>
      <c r="UFC57" s="0"/>
      <c r="UFD57" s="0"/>
      <c r="UFE57" s="0"/>
      <c r="UFF57" s="0"/>
      <c r="UFG57" s="0"/>
      <c r="UFH57" s="0"/>
      <c r="UFI57" s="0"/>
      <c r="UFJ57" s="0"/>
      <c r="UFK57" s="0"/>
      <c r="UFL57" s="0"/>
      <c r="UFM57" s="0"/>
      <c r="UFN57" s="0"/>
      <c r="UFO57" s="0"/>
      <c r="UFP57" s="0"/>
      <c r="UFQ57" s="0"/>
      <c r="UFR57" s="0"/>
      <c r="UFS57" s="0"/>
      <c r="UFT57" s="0"/>
      <c r="UFU57" s="0"/>
      <c r="UFV57" s="0"/>
      <c r="UFW57" s="0"/>
      <c r="UFX57" s="0"/>
      <c r="UFY57" s="0"/>
      <c r="UFZ57" s="0"/>
      <c r="UGA57" s="0"/>
      <c r="UGB57" s="0"/>
      <c r="UGC57" s="0"/>
      <c r="UGD57" s="0"/>
      <c r="UGE57" s="0"/>
      <c r="UGF57" s="0"/>
      <c r="UGG57" s="0"/>
      <c r="UGH57" s="0"/>
      <c r="UGI57" s="0"/>
      <c r="UGJ57" s="0"/>
      <c r="UGK57" s="0"/>
      <c r="UGL57" s="0"/>
      <c r="UGM57" s="0"/>
      <c r="UGN57" s="0"/>
      <c r="UGO57" s="0"/>
      <c r="UGP57" s="0"/>
      <c r="UGQ57" s="0"/>
      <c r="UGR57" s="0"/>
      <c r="UGS57" s="0"/>
      <c r="UGT57" s="0"/>
      <c r="UGU57" s="0"/>
      <c r="UGV57" s="0"/>
      <c r="UGW57" s="0"/>
      <c r="UGX57" s="0"/>
      <c r="UGY57" s="0"/>
      <c r="UGZ57" s="0"/>
      <c r="UHA57" s="0"/>
      <c r="UHB57" s="0"/>
      <c r="UHC57" s="0"/>
      <c r="UHD57" s="0"/>
      <c r="UHE57" s="0"/>
      <c r="UHF57" s="0"/>
      <c r="UHG57" s="0"/>
      <c r="UHH57" s="0"/>
      <c r="UHI57" s="0"/>
      <c r="UHJ57" s="0"/>
      <c r="UHK57" s="0"/>
      <c r="UHL57" s="0"/>
      <c r="UHM57" s="0"/>
      <c r="UHN57" s="0"/>
      <c r="UHO57" s="0"/>
      <c r="UHP57" s="0"/>
      <c r="UHQ57" s="0"/>
      <c r="UHR57" s="0"/>
      <c r="UHS57" s="0"/>
      <c r="UHT57" s="0"/>
      <c r="UHU57" s="0"/>
      <c r="UHV57" s="0"/>
      <c r="UHW57" s="0"/>
      <c r="UHX57" s="0"/>
      <c r="UHY57" s="0"/>
      <c r="UHZ57" s="0"/>
      <c r="UIA57" s="0"/>
      <c r="UIB57" s="0"/>
      <c r="UIC57" s="0"/>
      <c r="UID57" s="0"/>
      <c r="UIE57" s="0"/>
      <c r="UIF57" s="0"/>
      <c r="UIG57" s="0"/>
      <c r="UIH57" s="0"/>
      <c r="UII57" s="0"/>
      <c r="UIJ57" s="0"/>
      <c r="UIK57" s="0"/>
      <c r="UIL57" s="0"/>
      <c r="UIM57" s="0"/>
      <c r="UIN57" s="0"/>
      <c r="UIO57" s="0"/>
      <c r="UIP57" s="0"/>
      <c r="UIQ57" s="0"/>
      <c r="UIR57" s="0"/>
      <c r="UIS57" s="0"/>
      <c r="UIT57" s="0"/>
      <c r="UIU57" s="0"/>
      <c r="UIV57" s="0"/>
      <c r="UIW57" s="0"/>
      <c r="UIX57" s="0"/>
      <c r="UIY57" s="0"/>
      <c r="UIZ57" s="0"/>
      <c r="UJA57" s="0"/>
      <c r="UJB57" s="0"/>
      <c r="UJC57" s="0"/>
      <c r="UJD57" s="0"/>
      <c r="UJE57" s="0"/>
      <c r="UJF57" s="0"/>
      <c r="UJG57" s="0"/>
      <c r="UJH57" s="0"/>
      <c r="UJI57" s="0"/>
      <c r="UJJ57" s="0"/>
      <c r="UJK57" s="0"/>
      <c r="UJL57" s="0"/>
      <c r="UJM57" s="0"/>
      <c r="UJN57" s="0"/>
      <c r="UJO57" s="0"/>
      <c r="UJP57" s="0"/>
      <c r="UJQ57" s="0"/>
      <c r="UJR57" s="0"/>
      <c r="UJS57" s="0"/>
      <c r="UJT57" s="0"/>
      <c r="UJU57" s="0"/>
      <c r="UJV57" s="0"/>
      <c r="UJW57" s="0"/>
      <c r="UJX57" s="0"/>
      <c r="UJY57" s="0"/>
      <c r="UJZ57" s="0"/>
      <c r="UKA57" s="0"/>
      <c r="UKB57" s="0"/>
      <c r="UKC57" s="0"/>
      <c r="UKD57" s="0"/>
      <c r="UKE57" s="0"/>
      <c r="UKF57" s="0"/>
      <c r="UKG57" s="0"/>
      <c r="UKH57" s="0"/>
      <c r="UKI57" s="0"/>
      <c r="UKJ57" s="0"/>
      <c r="UKK57" s="0"/>
      <c r="UKL57" s="0"/>
      <c r="UKM57" s="0"/>
      <c r="UKN57" s="0"/>
      <c r="UKO57" s="0"/>
      <c r="UKP57" s="0"/>
      <c r="UKQ57" s="0"/>
      <c r="UKR57" s="0"/>
      <c r="UKS57" s="0"/>
      <c r="UKT57" s="0"/>
      <c r="UKU57" s="0"/>
      <c r="UKV57" s="0"/>
      <c r="UKW57" s="0"/>
      <c r="UKX57" s="0"/>
      <c r="UKY57" s="0"/>
      <c r="UKZ57" s="0"/>
      <c r="ULA57" s="0"/>
      <c r="ULB57" s="0"/>
      <c r="ULC57" s="0"/>
      <c r="ULD57" s="0"/>
      <c r="ULE57" s="0"/>
      <c r="ULF57" s="0"/>
      <c r="ULG57" s="0"/>
      <c r="ULH57" s="0"/>
      <c r="ULI57" s="0"/>
      <c r="ULJ57" s="0"/>
      <c r="ULK57" s="0"/>
      <c r="ULL57" s="0"/>
      <c r="ULM57" s="0"/>
      <c r="ULN57" s="0"/>
      <c r="ULO57" s="0"/>
      <c r="ULP57" s="0"/>
      <c r="ULQ57" s="0"/>
      <c r="ULR57" s="0"/>
      <c r="ULS57" s="0"/>
      <c r="ULT57" s="0"/>
      <c r="ULU57" s="0"/>
      <c r="ULV57" s="0"/>
      <c r="ULW57" s="0"/>
      <c r="ULX57" s="0"/>
      <c r="ULY57" s="0"/>
      <c r="ULZ57" s="0"/>
      <c r="UMA57" s="0"/>
      <c r="UMB57" s="0"/>
      <c r="UMC57" s="0"/>
      <c r="UMD57" s="0"/>
      <c r="UME57" s="0"/>
      <c r="UMF57" s="0"/>
      <c r="UMG57" s="0"/>
      <c r="UMH57" s="0"/>
      <c r="UMI57" s="0"/>
      <c r="UMJ57" s="0"/>
      <c r="UMK57" s="0"/>
      <c r="UML57" s="0"/>
      <c r="UMM57" s="0"/>
      <c r="UMN57" s="0"/>
      <c r="UMO57" s="0"/>
      <c r="UMP57" s="0"/>
      <c r="UMQ57" s="0"/>
      <c r="UMR57" s="0"/>
      <c r="UMS57" s="0"/>
      <c r="UMT57" s="0"/>
      <c r="UMU57" s="0"/>
      <c r="UMV57" s="0"/>
      <c r="UMW57" s="0"/>
      <c r="UMX57" s="0"/>
      <c r="UMY57" s="0"/>
      <c r="UMZ57" s="0"/>
      <c r="UNA57" s="0"/>
      <c r="UNB57" s="0"/>
      <c r="UNC57" s="0"/>
      <c r="UND57" s="0"/>
      <c r="UNE57" s="0"/>
      <c r="UNF57" s="0"/>
      <c r="UNG57" s="0"/>
      <c r="UNH57" s="0"/>
      <c r="UNI57" s="0"/>
      <c r="UNJ57" s="0"/>
      <c r="UNK57" s="0"/>
      <c r="UNL57" s="0"/>
      <c r="UNM57" s="0"/>
      <c r="UNN57" s="0"/>
      <c r="UNO57" s="0"/>
      <c r="UNP57" s="0"/>
      <c r="UNQ57" s="0"/>
      <c r="UNR57" s="0"/>
      <c r="UNS57" s="0"/>
      <c r="UNT57" s="0"/>
      <c r="UNU57" s="0"/>
      <c r="UNV57" s="0"/>
      <c r="UNW57" s="0"/>
      <c r="UNX57" s="0"/>
      <c r="UNY57" s="0"/>
      <c r="UNZ57" s="0"/>
      <c r="UOA57" s="0"/>
      <c r="UOB57" s="0"/>
      <c r="UOC57" s="0"/>
      <c r="UOD57" s="0"/>
      <c r="UOE57" s="0"/>
      <c r="UOF57" s="0"/>
      <c r="UOG57" s="0"/>
      <c r="UOH57" s="0"/>
      <c r="UOI57" s="0"/>
      <c r="UOJ57" s="0"/>
      <c r="UOK57" s="0"/>
      <c r="UOL57" s="0"/>
      <c r="UOM57" s="0"/>
      <c r="UON57" s="0"/>
      <c r="UOO57" s="0"/>
      <c r="UOP57" s="0"/>
      <c r="UOQ57" s="0"/>
      <c r="UOR57" s="0"/>
      <c r="UOS57" s="0"/>
      <c r="UOT57" s="0"/>
      <c r="UOU57" s="0"/>
      <c r="UOV57" s="0"/>
      <c r="UOW57" s="0"/>
      <c r="UOX57" s="0"/>
      <c r="UOY57" s="0"/>
      <c r="UOZ57" s="0"/>
      <c r="UPA57" s="0"/>
      <c r="UPB57" s="0"/>
      <c r="UPC57" s="0"/>
      <c r="UPD57" s="0"/>
      <c r="UPE57" s="0"/>
      <c r="UPF57" s="0"/>
      <c r="UPG57" s="0"/>
      <c r="UPH57" s="0"/>
      <c r="UPI57" s="0"/>
      <c r="UPJ57" s="0"/>
      <c r="UPK57" s="0"/>
      <c r="UPL57" s="0"/>
      <c r="UPM57" s="0"/>
      <c r="UPN57" s="0"/>
      <c r="UPO57" s="0"/>
      <c r="UPP57" s="0"/>
      <c r="UPQ57" s="0"/>
      <c r="UPR57" s="0"/>
      <c r="UPS57" s="0"/>
      <c r="UPT57" s="0"/>
      <c r="UPU57" s="0"/>
      <c r="UPV57" s="0"/>
      <c r="UPW57" s="0"/>
      <c r="UPX57" s="0"/>
      <c r="UPY57" s="0"/>
      <c r="UPZ57" s="0"/>
      <c r="UQA57" s="0"/>
      <c r="UQB57" s="0"/>
      <c r="UQC57" s="0"/>
      <c r="UQD57" s="0"/>
      <c r="UQE57" s="0"/>
      <c r="UQF57" s="0"/>
      <c r="UQG57" s="0"/>
      <c r="UQH57" s="0"/>
      <c r="UQI57" s="0"/>
      <c r="UQJ57" s="0"/>
      <c r="UQK57" s="0"/>
      <c r="UQL57" s="0"/>
      <c r="UQM57" s="0"/>
      <c r="UQN57" s="0"/>
      <c r="UQO57" s="0"/>
      <c r="UQP57" s="0"/>
      <c r="UQQ57" s="0"/>
      <c r="UQR57" s="0"/>
      <c r="UQS57" s="0"/>
      <c r="UQT57" s="0"/>
      <c r="UQU57" s="0"/>
      <c r="UQV57" s="0"/>
      <c r="UQW57" s="0"/>
      <c r="UQX57" s="0"/>
      <c r="UQY57" s="0"/>
      <c r="UQZ57" s="0"/>
      <c r="URA57" s="0"/>
      <c r="URB57" s="0"/>
      <c r="URC57" s="0"/>
      <c r="URD57" s="0"/>
      <c r="URE57" s="0"/>
      <c r="URF57" s="0"/>
      <c r="URG57" s="0"/>
      <c r="URH57" s="0"/>
      <c r="URI57" s="0"/>
      <c r="URJ57" s="0"/>
      <c r="URK57" s="0"/>
      <c r="URL57" s="0"/>
      <c r="URM57" s="0"/>
      <c r="URN57" s="0"/>
      <c r="URO57" s="0"/>
      <c r="URP57" s="0"/>
      <c r="URQ57" s="0"/>
      <c r="URR57" s="0"/>
      <c r="URS57" s="0"/>
      <c r="URT57" s="0"/>
      <c r="URU57" s="0"/>
      <c r="URV57" s="0"/>
      <c r="URW57" s="0"/>
      <c r="URX57" s="0"/>
      <c r="URY57" s="0"/>
      <c r="URZ57" s="0"/>
      <c r="USA57" s="0"/>
      <c r="USB57" s="0"/>
      <c r="USC57" s="0"/>
      <c r="USD57" s="0"/>
      <c r="USE57" s="0"/>
      <c r="USF57" s="0"/>
      <c r="USG57" s="0"/>
      <c r="USH57" s="0"/>
      <c r="USI57" s="0"/>
      <c r="USJ57" s="0"/>
      <c r="USK57" s="0"/>
      <c r="USL57" s="0"/>
      <c r="USM57" s="0"/>
      <c r="USN57" s="0"/>
      <c r="USO57" s="0"/>
      <c r="USP57" s="0"/>
      <c r="USQ57" s="0"/>
      <c r="USR57" s="0"/>
      <c r="USS57" s="0"/>
      <c r="UST57" s="0"/>
      <c r="USU57" s="0"/>
      <c r="USV57" s="0"/>
      <c r="USW57" s="0"/>
      <c r="USX57" s="0"/>
      <c r="USY57" s="0"/>
      <c r="USZ57" s="0"/>
      <c r="UTA57" s="0"/>
      <c r="UTB57" s="0"/>
      <c r="UTC57" s="0"/>
      <c r="UTD57" s="0"/>
      <c r="UTE57" s="0"/>
      <c r="UTF57" s="0"/>
      <c r="UTG57" s="0"/>
      <c r="UTH57" s="0"/>
      <c r="UTI57" s="0"/>
      <c r="UTJ57" s="0"/>
      <c r="UTK57" s="0"/>
      <c r="UTL57" s="0"/>
      <c r="UTM57" s="0"/>
      <c r="UTN57" s="0"/>
      <c r="UTO57" s="0"/>
      <c r="UTP57" s="0"/>
      <c r="UTQ57" s="0"/>
      <c r="UTR57" s="0"/>
      <c r="UTS57" s="0"/>
      <c r="UTT57" s="0"/>
      <c r="UTU57" s="0"/>
      <c r="UTV57" s="0"/>
      <c r="UTW57" s="0"/>
      <c r="UTX57" s="0"/>
      <c r="UTY57" s="0"/>
      <c r="UTZ57" s="0"/>
      <c r="UUA57" s="0"/>
      <c r="UUB57" s="0"/>
      <c r="UUC57" s="0"/>
      <c r="UUD57" s="0"/>
      <c r="UUE57" s="0"/>
      <c r="UUF57" s="0"/>
      <c r="UUG57" s="0"/>
      <c r="UUH57" s="0"/>
      <c r="UUI57" s="0"/>
      <c r="UUJ57" s="0"/>
      <c r="UUK57" s="0"/>
      <c r="UUL57" s="0"/>
      <c r="UUM57" s="0"/>
      <c r="UUN57" s="0"/>
      <c r="UUO57" s="0"/>
      <c r="UUP57" s="0"/>
      <c r="UUQ57" s="0"/>
      <c r="UUR57" s="0"/>
      <c r="UUS57" s="0"/>
      <c r="UUT57" s="0"/>
      <c r="UUU57" s="0"/>
      <c r="UUV57" s="0"/>
      <c r="UUW57" s="0"/>
      <c r="UUX57" s="0"/>
      <c r="UUY57" s="0"/>
      <c r="UUZ57" s="0"/>
      <c r="UVA57" s="0"/>
      <c r="UVB57" s="0"/>
      <c r="UVC57" s="0"/>
      <c r="UVD57" s="0"/>
      <c r="UVE57" s="0"/>
      <c r="UVF57" s="0"/>
      <c r="UVG57" s="0"/>
      <c r="UVH57" s="0"/>
      <c r="UVI57" s="0"/>
      <c r="UVJ57" s="0"/>
      <c r="UVK57" s="0"/>
      <c r="UVL57" s="0"/>
      <c r="UVM57" s="0"/>
      <c r="UVN57" s="0"/>
      <c r="UVO57" s="0"/>
      <c r="UVP57" s="0"/>
      <c r="UVQ57" s="0"/>
      <c r="UVR57" s="0"/>
      <c r="UVS57" s="0"/>
      <c r="UVT57" s="0"/>
      <c r="UVU57" s="0"/>
      <c r="UVV57" s="0"/>
      <c r="UVW57" s="0"/>
      <c r="UVX57" s="0"/>
      <c r="UVY57" s="0"/>
      <c r="UVZ57" s="0"/>
      <c r="UWA57" s="0"/>
      <c r="UWB57" s="0"/>
      <c r="UWC57" s="0"/>
      <c r="UWD57" s="0"/>
      <c r="UWE57" s="0"/>
      <c r="UWF57" s="0"/>
      <c r="UWG57" s="0"/>
      <c r="UWH57" s="0"/>
      <c r="UWI57" s="0"/>
      <c r="UWJ57" s="0"/>
      <c r="UWK57" s="0"/>
      <c r="UWL57" s="0"/>
      <c r="UWM57" s="0"/>
      <c r="UWN57" s="0"/>
      <c r="UWO57" s="0"/>
      <c r="UWP57" s="0"/>
      <c r="UWQ57" s="0"/>
      <c r="UWR57" s="0"/>
      <c r="UWS57" s="0"/>
      <c r="UWT57" s="0"/>
      <c r="UWU57" s="0"/>
      <c r="UWV57" s="0"/>
      <c r="UWW57" s="0"/>
      <c r="UWX57" s="0"/>
      <c r="UWY57" s="0"/>
      <c r="UWZ57" s="0"/>
      <c r="UXA57" s="0"/>
      <c r="UXB57" s="0"/>
      <c r="UXC57" s="0"/>
      <c r="UXD57" s="0"/>
      <c r="UXE57" s="0"/>
      <c r="UXF57" s="0"/>
      <c r="UXG57" s="0"/>
      <c r="UXH57" s="0"/>
      <c r="UXI57" s="0"/>
      <c r="UXJ57" s="0"/>
      <c r="UXK57" s="0"/>
      <c r="UXL57" s="0"/>
      <c r="UXM57" s="0"/>
      <c r="UXN57" s="0"/>
      <c r="UXO57" s="0"/>
      <c r="UXP57" s="0"/>
      <c r="UXQ57" s="0"/>
      <c r="UXR57" s="0"/>
      <c r="UXS57" s="0"/>
      <c r="UXT57" s="0"/>
      <c r="UXU57" s="0"/>
      <c r="UXV57" s="0"/>
      <c r="UXW57" s="0"/>
      <c r="UXX57" s="0"/>
      <c r="UXY57" s="0"/>
      <c r="UXZ57" s="0"/>
      <c r="UYA57" s="0"/>
      <c r="UYB57" s="0"/>
      <c r="UYC57" s="0"/>
      <c r="UYD57" s="0"/>
      <c r="UYE57" s="0"/>
      <c r="UYF57" s="0"/>
      <c r="UYG57" s="0"/>
      <c r="UYH57" s="0"/>
      <c r="UYI57" s="0"/>
      <c r="UYJ57" s="0"/>
      <c r="UYK57" s="0"/>
      <c r="UYL57" s="0"/>
      <c r="UYM57" s="0"/>
      <c r="UYN57" s="0"/>
      <c r="UYO57" s="0"/>
      <c r="UYP57" s="0"/>
      <c r="UYQ57" s="0"/>
      <c r="UYR57" s="0"/>
      <c r="UYS57" s="0"/>
      <c r="UYT57" s="0"/>
      <c r="UYU57" s="0"/>
      <c r="UYV57" s="0"/>
      <c r="UYW57" s="0"/>
      <c r="UYX57" s="0"/>
      <c r="UYY57" s="0"/>
      <c r="UYZ57" s="0"/>
      <c r="UZA57" s="0"/>
      <c r="UZB57" s="0"/>
      <c r="UZC57" s="0"/>
      <c r="UZD57" s="0"/>
      <c r="UZE57" s="0"/>
      <c r="UZF57" s="0"/>
      <c r="UZG57" s="0"/>
      <c r="UZH57" s="0"/>
      <c r="UZI57" s="0"/>
      <c r="UZJ57" s="0"/>
      <c r="UZK57" s="0"/>
      <c r="UZL57" s="0"/>
      <c r="UZM57" s="0"/>
      <c r="UZN57" s="0"/>
      <c r="UZO57" s="0"/>
      <c r="UZP57" s="0"/>
      <c r="UZQ57" s="0"/>
      <c r="UZR57" s="0"/>
      <c r="UZS57" s="0"/>
      <c r="UZT57" s="0"/>
      <c r="UZU57" s="0"/>
      <c r="UZV57" s="0"/>
      <c r="UZW57" s="0"/>
      <c r="UZX57" s="0"/>
      <c r="UZY57" s="0"/>
      <c r="UZZ57" s="0"/>
      <c r="VAA57" s="0"/>
      <c r="VAB57" s="0"/>
      <c r="VAC57" s="0"/>
      <c r="VAD57" s="0"/>
      <c r="VAE57" s="0"/>
      <c r="VAF57" s="0"/>
      <c r="VAG57" s="0"/>
      <c r="VAH57" s="0"/>
      <c r="VAI57" s="0"/>
      <c r="VAJ57" s="0"/>
      <c r="VAK57" s="0"/>
      <c r="VAL57" s="0"/>
      <c r="VAM57" s="0"/>
      <c r="VAN57" s="0"/>
      <c r="VAO57" s="0"/>
      <c r="VAP57" s="0"/>
      <c r="VAQ57" s="0"/>
      <c r="VAR57" s="0"/>
      <c r="VAS57" s="0"/>
      <c r="VAT57" s="0"/>
      <c r="VAU57" s="0"/>
      <c r="VAV57" s="0"/>
      <c r="VAW57" s="0"/>
      <c r="VAX57" s="0"/>
      <c r="VAY57" s="0"/>
      <c r="VAZ57" s="0"/>
      <c r="VBA57" s="0"/>
      <c r="VBB57" s="0"/>
      <c r="VBC57" s="0"/>
      <c r="VBD57" s="0"/>
      <c r="VBE57" s="0"/>
      <c r="VBF57" s="0"/>
      <c r="VBG57" s="0"/>
      <c r="VBH57" s="0"/>
      <c r="VBI57" s="0"/>
      <c r="VBJ57" s="0"/>
      <c r="VBK57" s="0"/>
      <c r="VBL57" s="0"/>
      <c r="VBM57" s="0"/>
      <c r="VBN57" s="0"/>
      <c r="VBO57" s="0"/>
      <c r="VBP57" s="0"/>
      <c r="VBQ57" s="0"/>
      <c r="VBR57" s="0"/>
      <c r="VBS57" s="0"/>
      <c r="VBT57" s="0"/>
      <c r="VBU57" s="0"/>
      <c r="VBV57" s="0"/>
      <c r="VBW57" s="0"/>
      <c r="VBX57" s="0"/>
      <c r="VBY57" s="0"/>
      <c r="VBZ57" s="0"/>
      <c r="VCA57" s="0"/>
      <c r="VCB57" s="0"/>
      <c r="VCC57" s="0"/>
      <c r="VCD57" s="0"/>
      <c r="VCE57" s="0"/>
      <c r="VCF57" s="0"/>
      <c r="VCG57" s="0"/>
      <c r="VCH57" s="0"/>
      <c r="VCI57" s="0"/>
      <c r="VCJ57" s="0"/>
      <c r="VCK57" s="0"/>
      <c r="VCL57" s="0"/>
      <c r="VCM57" s="0"/>
      <c r="VCN57" s="0"/>
      <c r="VCO57" s="0"/>
      <c r="VCP57" s="0"/>
      <c r="VCQ57" s="0"/>
      <c r="VCR57" s="0"/>
      <c r="VCS57" s="0"/>
      <c r="VCT57" s="0"/>
      <c r="VCU57" s="0"/>
      <c r="VCV57" s="0"/>
      <c r="VCW57" s="0"/>
      <c r="VCX57" s="0"/>
      <c r="VCY57" s="0"/>
      <c r="VCZ57" s="0"/>
      <c r="VDA57" s="0"/>
      <c r="VDB57" s="0"/>
      <c r="VDC57" s="0"/>
      <c r="VDD57" s="0"/>
      <c r="VDE57" s="0"/>
      <c r="VDF57" s="0"/>
      <c r="VDG57" s="0"/>
      <c r="VDH57" s="0"/>
      <c r="VDI57" s="0"/>
      <c r="VDJ57" s="0"/>
      <c r="VDK57" s="0"/>
      <c r="VDL57" s="0"/>
      <c r="VDM57" s="0"/>
      <c r="VDN57" s="0"/>
      <c r="VDO57" s="0"/>
      <c r="VDP57" s="0"/>
      <c r="VDQ57" s="0"/>
      <c r="VDR57" s="0"/>
      <c r="VDS57" s="0"/>
      <c r="VDT57" s="0"/>
      <c r="VDU57" s="0"/>
      <c r="VDV57" s="0"/>
      <c r="VDW57" s="0"/>
      <c r="VDX57" s="0"/>
      <c r="VDY57" s="0"/>
      <c r="VDZ57" s="0"/>
      <c r="VEA57" s="0"/>
      <c r="VEB57" s="0"/>
      <c r="VEC57" s="0"/>
      <c r="VED57" s="0"/>
      <c r="VEE57" s="0"/>
      <c r="VEF57" s="0"/>
      <c r="VEG57" s="0"/>
      <c r="VEH57" s="0"/>
      <c r="VEI57" s="0"/>
      <c r="VEJ57" s="0"/>
      <c r="VEK57" s="0"/>
      <c r="VEL57" s="0"/>
      <c r="VEM57" s="0"/>
      <c r="VEN57" s="0"/>
      <c r="VEO57" s="0"/>
      <c r="VEP57" s="0"/>
      <c r="VEQ57" s="0"/>
      <c r="VER57" s="0"/>
      <c r="VES57" s="0"/>
      <c r="VET57" s="0"/>
      <c r="VEU57" s="0"/>
      <c r="VEV57" s="0"/>
      <c r="VEW57" s="0"/>
      <c r="VEX57" s="0"/>
      <c r="VEY57" s="0"/>
      <c r="VEZ57" s="0"/>
      <c r="VFA57" s="0"/>
      <c r="VFB57" s="0"/>
      <c r="VFC57" s="0"/>
      <c r="VFD57" s="0"/>
      <c r="VFE57" s="0"/>
      <c r="VFF57" s="0"/>
      <c r="VFG57" s="0"/>
      <c r="VFH57" s="0"/>
      <c r="VFI57" s="0"/>
      <c r="VFJ57" s="0"/>
      <c r="VFK57" s="0"/>
      <c r="VFL57" s="0"/>
      <c r="VFM57" s="0"/>
      <c r="VFN57" s="0"/>
      <c r="VFO57" s="0"/>
      <c r="VFP57" s="0"/>
      <c r="VFQ57" s="0"/>
      <c r="VFR57" s="0"/>
      <c r="VFS57" s="0"/>
      <c r="VFT57" s="0"/>
      <c r="VFU57" s="0"/>
      <c r="VFV57" s="0"/>
      <c r="VFW57" s="0"/>
      <c r="VFX57" s="0"/>
      <c r="VFY57" s="0"/>
      <c r="VFZ57" s="0"/>
      <c r="VGA57" s="0"/>
      <c r="VGB57" s="0"/>
      <c r="VGC57" s="0"/>
      <c r="VGD57" s="0"/>
      <c r="VGE57" s="0"/>
      <c r="VGF57" s="0"/>
      <c r="VGG57" s="0"/>
      <c r="VGH57" s="0"/>
      <c r="VGI57" s="0"/>
      <c r="VGJ57" s="0"/>
      <c r="VGK57" s="0"/>
      <c r="VGL57" s="0"/>
      <c r="VGM57" s="0"/>
      <c r="VGN57" s="0"/>
      <c r="VGO57" s="0"/>
      <c r="VGP57" s="0"/>
      <c r="VGQ57" s="0"/>
      <c r="VGR57" s="0"/>
      <c r="VGS57" s="0"/>
      <c r="VGT57" s="0"/>
      <c r="VGU57" s="0"/>
      <c r="VGV57" s="0"/>
      <c r="VGW57" s="0"/>
      <c r="VGX57" s="0"/>
      <c r="VGY57" s="0"/>
      <c r="VGZ57" s="0"/>
      <c r="VHA57" s="0"/>
      <c r="VHB57" s="0"/>
      <c r="VHC57" s="0"/>
      <c r="VHD57" s="0"/>
      <c r="VHE57" s="0"/>
      <c r="VHF57" s="0"/>
      <c r="VHG57" s="0"/>
      <c r="VHH57" s="0"/>
      <c r="VHI57" s="0"/>
      <c r="VHJ57" s="0"/>
      <c r="VHK57" s="0"/>
      <c r="VHL57" s="0"/>
      <c r="VHM57" s="0"/>
      <c r="VHN57" s="0"/>
      <c r="VHO57" s="0"/>
      <c r="VHP57" s="0"/>
      <c r="VHQ57" s="0"/>
      <c r="VHR57" s="0"/>
      <c r="VHS57" s="0"/>
      <c r="VHT57" s="0"/>
      <c r="VHU57" s="0"/>
      <c r="VHV57" s="0"/>
      <c r="VHW57" s="0"/>
      <c r="VHX57" s="0"/>
      <c r="VHY57" s="0"/>
      <c r="VHZ57" s="0"/>
      <c r="VIA57" s="0"/>
      <c r="VIB57" s="0"/>
      <c r="VIC57" s="0"/>
      <c r="VID57" s="0"/>
      <c r="VIE57" s="0"/>
      <c r="VIF57" s="0"/>
      <c r="VIG57" s="0"/>
      <c r="VIH57" s="0"/>
      <c r="VII57" s="0"/>
      <c r="VIJ57" s="0"/>
      <c r="VIK57" s="0"/>
      <c r="VIL57" s="0"/>
      <c r="VIM57" s="0"/>
      <c r="VIN57" s="0"/>
      <c r="VIO57" s="0"/>
      <c r="VIP57" s="0"/>
      <c r="VIQ57" s="0"/>
      <c r="VIR57" s="0"/>
      <c r="VIS57" s="0"/>
      <c r="VIT57" s="0"/>
      <c r="VIU57" s="0"/>
      <c r="VIV57" s="0"/>
      <c r="VIW57" s="0"/>
      <c r="VIX57" s="0"/>
      <c r="VIY57" s="0"/>
      <c r="VIZ57" s="0"/>
      <c r="VJA57" s="0"/>
      <c r="VJB57" s="0"/>
      <c r="VJC57" s="0"/>
      <c r="VJD57" s="0"/>
      <c r="VJE57" s="0"/>
      <c r="VJF57" s="0"/>
      <c r="VJG57" s="0"/>
      <c r="VJH57" s="0"/>
      <c r="VJI57" s="0"/>
      <c r="VJJ57" s="0"/>
      <c r="VJK57" s="0"/>
      <c r="VJL57" s="0"/>
      <c r="VJM57" s="0"/>
      <c r="VJN57" s="0"/>
      <c r="VJO57" s="0"/>
      <c r="VJP57" s="0"/>
      <c r="VJQ57" s="0"/>
      <c r="VJR57" s="0"/>
      <c r="VJS57" s="0"/>
      <c r="VJT57" s="0"/>
      <c r="VJU57" s="0"/>
      <c r="VJV57" s="0"/>
      <c r="VJW57" s="0"/>
      <c r="VJX57" s="0"/>
      <c r="VJY57" s="0"/>
      <c r="VJZ57" s="0"/>
      <c r="VKA57" s="0"/>
      <c r="VKB57" s="0"/>
      <c r="VKC57" s="0"/>
      <c r="VKD57" s="0"/>
      <c r="VKE57" s="0"/>
      <c r="VKF57" s="0"/>
      <c r="VKG57" s="0"/>
      <c r="VKH57" s="0"/>
      <c r="VKI57" s="0"/>
      <c r="VKJ57" s="0"/>
      <c r="VKK57" s="0"/>
      <c r="VKL57" s="0"/>
      <c r="VKM57" s="0"/>
      <c r="VKN57" s="0"/>
      <c r="VKO57" s="0"/>
      <c r="VKP57" s="0"/>
      <c r="VKQ57" s="0"/>
      <c r="VKR57" s="0"/>
      <c r="VKS57" s="0"/>
      <c r="VKT57" s="0"/>
      <c r="VKU57" s="0"/>
      <c r="VKV57" s="0"/>
      <c r="VKW57" s="0"/>
      <c r="VKX57" s="0"/>
      <c r="VKY57" s="0"/>
      <c r="VKZ57" s="0"/>
      <c r="VLA57" s="0"/>
      <c r="VLB57" s="0"/>
      <c r="VLC57" s="0"/>
      <c r="VLD57" s="0"/>
      <c r="VLE57" s="0"/>
      <c r="VLF57" s="0"/>
      <c r="VLG57" s="0"/>
      <c r="VLH57" s="0"/>
      <c r="VLI57" s="0"/>
      <c r="VLJ57" s="0"/>
      <c r="VLK57" s="0"/>
      <c r="VLL57" s="0"/>
      <c r="VLM57" s="0"/>
      <c r="VLN57" s="0"/>
      <c r="VLO57" s="0"/>
      <c r="VLP57" s="0"/>
      <c r="VLQ57" s="0"/>
      <c r="VLR57" s="0"/>
      <c r="VLS57" s="0"/>
      <c r="VLT57" s="0"/>
      <c r="VLU57" s="0"/>
      <c r="VLV57" s="0"/>
      <c r="VLW57" s="0"/>
      <c r="VLX57" s="0"/>
      <c r="VLY57" s="0"/>
      <c r="VLZ57" s="0"/>
      <c r="VMA57" s="0"/>
      <c r="VMB57" s="0"/>
      <c r="VMC57" s="0"/>
      <c r="VMD57" s="0"/>
      <c r="VME57" s="0"/>
      <c r="VMF57" s="0"/>
      <c r="VMG57" s="0"/>
      <c r="VMH57" s="0"/>
      <c r="VMI57" s="0"/>
      <c r="VMJ57" s="0"/>
      <c r="VMK57" s="0"/>
      <c r="VML57" s="0"/>
      <c r="VMM57" s="0"/>
      <c r="VMN57" s="0"/>
      <c r="VMO57" s="0"/>
      <c r="VMP57" s="0"/>
      <c r="VMQ57" s="0"/>
      <c r="VMR57" s="0"/>
      <c r="VMS57" s="0"/>
      <c r="VMT57" s="0"/>
      <c r="VMU57" s="0"/>
      <c r="VMV57" s="0"/>
      <c r="VMW57" s="0"/>
      <c r="VMX57" s="0"/>
      <c r="VMY57" s="0"/>
      <c r="VMZ57" s="0"/>
      <c r="VNA57" s="0"/>
      <c r="VNB57" s="0"/>
      <c r="VNC57" s="0"/>
      <c r="VND57" s="0"/>
      <c r="VNE57" s="0"/>
      <c r="VNF57" s="0"/>
      <c r="VNG57" s="0"/>
      <c r="VNH57" s="0"/>
      <c r="VNI57" s="0"/>
      <c r="VNJ57" s="0"/>
      <c r="VNK57" s="0"/>
      <c r="VNL57" s="0"/>
      <c r="VNM57" s="0"/>
      <c r="VNN57" s="0"/>
      <c r="VNO57" s="0"/>
      <c r="VNP57" s="0"/>
      <c r="VNQ57" s="0"/>
      <c r="VNR57" s="0"/>
      <c r="VNS57" s="0"/>
      <c r="VNT57" s="0"/>
      <c r="VNU57" s="0"/>
      <c r="VNV57" s="0"/>
      <c r="VNW57" s="0"/>
      <c r="VNX57" s="0"/>
      <c r="VNY57" s="0"/>
      <c r="VNZ57" s="0"/>
      <c r="VOA57" s="0"/>
      <c r="VOB57" s="0"/>
      <c r="VOC57" s="0"/>
      <c r="VOD57" s="0"/>
      <c r="VOE57" s="0"/>
      <c r="VOF57" s="0"/>
      <c r="VOG57" s="0"/>
      <c r="VOH57" s="0"/>
      <c r="VOI57" s="0"/>
      <c r="VOJ57" s="0"/>
      <c r="VOK57" s="0"/>
      <c r="VOL57" s="0"/>
      <c r="VOM57" s="0"/>
      <c r="VON57" s="0"/>
      <c r="VOO57" s="0"/>
      <c r="VOP57" s="0"/>
      <c r="VOQ57" s="0"/>
      <c r="VOR57" s="0"/>
      <c r="VOS57" s="0"/>
      <c r="VOT57" s="0"/>
      <c r="VOU57" s="0"/>
      <c r="VOV57" s="0"/>
      <c r="VOW57" s="0"/>
      <c r="VOX57" s="0"/>
      <c r="VOY57" s="0"/>
      <c r="VOZ57" s="0"/>
      <c r="VPA57" s="0"/>
      <c r="VPB57" s="0"/>
      <c r="VPC57" s="0"/>
      <c r="VPD57" s="0"/>
      <c r="VPE57" s="0"/>
      <c r="VPF57" s="0"/>
      <c r="VPG57" s="0"/>
      <c r="VPH57" s="0"/>
      <c r="VPI57" s="0"/>
      <c r="VPJ57" s="0"/>
      <c r="VPK57" s="0"/>
      <c r="VPL57" s="0"/>
      <c r="VPM57" s="0"/>
      <c r="VPN57" s="0"/>
      <c r="VPO57" s="0"/>
      <c r="VPP57" s="0"/>
      <c r="VPQ57" s="0"/>
      <c r="VPR57" s="0"/>
      <c r="VPS57" s="0"/>
      <c r="VPT57" s="0"/>
      <c r="VPU57" s="0"/>
      <c r="VPV57" s="0"/>
      <c r="VPW57" s="0"/>
      <c r="VPX57" s="0"/>
      <c r="VPY57" s="0"/>
      <c r="VPZ57" s="0"/>
      <c r="VQA57" s="0"/>
      <c r="VQB57" s="0"/>
      <c r="VQC57" s="0"/>
      <c r="VQD57" s="0"/>
      <c r="VQE57" s="0"/>
      <c r="VQF57" s="0"/>
      <c r="VQG57" s="0"/>
      <c r="VQH57" s="0"/>
      <c r="VQI57" s="0"/>
      <c r="VQJ57" s="0"/>
      <c r="VQK57" s="0"/>
      <c r="VQL57" s="0"/>
      <c r="VQM57" s="0"/>
      <c r="VQN57" s="0"/>
      <c r="VQO57" s="0"/>
      <c r="VQP57" s="0"/>
      <c r="VQQ57" s="0"/>
      <c r="VQR57" s="0"/>
      <c r="VQS57" s="0"/>
      <c r="VQT57" s="0"/>
      <c r="VQU57" s="0"/>
      <c r="VQV57" s="0"/>
      <c r="VQW57" s="0"/>
      <c r="VQX57" s="0"/>
      <c r="VQY57" s="0"/>
      <c r="VQZ57" s="0"/>
      <c r="VRA57" s="0"/>
      <c r="VRB57" s="0"/>
      <c r="VRC57" s="0"/>
      <c r="VRD57" s="0"/>
      <c r="VRE57" s="0"/>
      <c r="VRF57" s="0"/>
      <c r="VRG57" s="0"/>
      <c r="VRH57" s="0"/>
      <c r="VRI57" s="0"/>
      <c r="VRJ57" s="0"/>
      <c r="VRK57" s="0"/>
      <c r="VRL57" s="0"/>
      <c r="VRM57" s="0"/>
      <c r="VRN57" s="0"/>
      <c r="VRO57" s="0"/>
      <c r="VRP57" s="0"/>
      <c r="VRQ57" s="0"/>
      <c r="VRR57" s="0"/>
      <c r="VRS57" s="0"/>
      <c r="VRT57" s="0"/>
      <c r="VRU57" s="0"/>
      <c r="VRV57" s="0"/>
      <c r="VRW57" s="0"/>
      <c r="VRX57" s="0"/>
      <c r="VRY57" s="0"/>
      <c r="VRZ57" s="0"/>
      <c r="VSA57" s="0"/>
      <c r="VSB57" s="0"/>
      <c r="VSC57" s="0"/>
      <c r="VSD57" s="0"/>
      <c r="VSE57" s="0"/>
      <c r="VSF57" s="0"/>
      <c r="VSG57" s="0"/>
      <c r="VSH57" s="0"/>
      <c r="VSI57" s="0"/>
      <c r="VSJ57" s="0"/>
      <c r="VSK57" s="0"/>
      <c r="VSL57" s="0"/>
      <c r="VSM57" s="0"/>
      <c r="VSN57" s="0"/>
      <c r="VSO57" s="0"/>
      <c r="VSP57" s="0"/>
      <c r="VSQ57" s="0"/>
      <c r="VSR57" s="0"/>
      <c r="VSS57" s="0"/>
      <c r="VST57" s="0"/>
      <c r="VSU57" s="0"/>
      <c r="VSV57" s="0"/>
      <c r="VSW57" s="0"/>
      <c r="VSX57" s="0"/>
      <c r="VSY57" s="0"/>
      <c r="VSZ57" s="0"/>
      <c r="VTA57" s="0"/>
      <c r="VTB57" s="0"/>
      <c r="VTC57" s="0"/>
      <c r="VTD57" s="0"/>
      <c r="VTE57" s="0"/>
      <c r="VTF57" s="0"/>
      <c r="VTG57" s="0"/>
      <c r="VTH57" s="0"/>
      <c r="VTI57" s="0"/>
      <c r="VTJ57" s="0"/>
      <c r="VTK57" s="0"/>
      <c r="VTL57" s="0"/>
      <c r="VTM57" s="0"/>
      <c r="VTN57" s="0"/>
      <c r="VTO57" s="0"/>
      <c r="VTP57" s="0"/>
      <c r="VTQ57" s="0"/>
      <c r="VTR57" s="0"/>
      <c r="VTS57" s="0"/>
      <c r="VTT57" s="0"/>
      <c r="VTU57" s="0"/>
      <c r="VTV57" s="0"/>
      <c r="VTW57" s="0"/>
      <c r="VTX57" s="0"/>
      <c r="VTY57" s="0"/>
      <c r="VTZ57" s="0"/>
      <c r="VUA57" s="0"/>
      <c r="VUB57" s="0"/>
      <c r="VUC57" s="0"/>
      <c r="VUD57" s="0"/>
      <c r="VUE57" s="0"/>
      <c r="VUF57" s="0"/>
      <c r="VUG57" s="0"/>
      <c r="VUH57" s="0"/>
      <c r="VUI57" s="0"/>
      <c r="VUJ57" s="0"/>
      <c r="VUK57" s="0"/>
      <c r="VUL57" s="0"/>
      <c r="VUM57" s="0"/>
      <c r="VUN57" s="0"/>
      <c r="VUO57" s="0"/>
      <c r="VUP57" s="0"/>
      <c r="VUQ57" s="0"/>
      <c r="VUR57" s="0"/>
      <c r="VUS57" s="0"/>
      <c r="VUT57" s="0"/>
      <c r="VUU57" s="0"/>
      <c r="VUV57" s="0"/>
      <c r="VUW57" s="0"/>
      <c r="VUX57" s="0"/>
      <c r="VUY57" s="0"/>
      <c r="VUZ57" s="0"/>
      <c r="VVA57" s="0"/>
      <c r="VVB57" s="0"/>
      <c r="VVC57" s="0"/>
      <c r="VVD57" s="0"/>
      <c r="VVE57" s="0"/>
      <c r="VVF57" s="0"/>
      <c r="VVG57" s="0"/>
      <c r="VVH57" s="0"/>
      <c r="VVI57" s="0"/>
      <c r="VVJ57" s="0"/>
      <c r="VVK57" s="0"/>
      <c r="VVL57" s="0"/>
      <c r="VVM57" s="0"/>
      <c r="VVN57" s="0"/>
      <c r="VVO57" s="0"/>
      <c r="VVP57" s="0"/>
      <c r="VVQ57" s="0"/>
      <c r="VVR57" s="0"/>
      <c r="VVS57" s="0"/>
      <c r="VVT57" s="0"/>
      <c r="VVU57" s="0"/>
      <c r="VVV57" s="0"/>
      <c r="VVW57" s="0"/>
      <c r="VVX57" s="0"/>
      <c r="VVY57" s="0"/>
      <c r="VVZ57" s="0"/>
      <c r="VWA57" s="0"/>
      <c r="VWB57" s="0"/>
      <c r="VWC57" s="0"/>
      <c r="VWD57" s="0"/>
      <c r="VWE57" s="0"/>
      <c r="VWF57" s="0"/>
      <c r="VWG57" s="0"/>
      <c r="VWH57" s="0"/>
      <c r="VWI57" s="0"/>
      <c r="VWJ57" s="0"/>
      <c r="VWK57" s="0"/>
      <c r="VWL57" s="0"/>
      <c r="VWM57" s="0"/>
      <c r="VWN57" s="0"/>
      <c r="VWO57" s="0"/>
      <c r="VWP57" s="0"/>
      <c r="VWQ57" s="0"/>
      <c r="VWR57" s="0"/>
      <c r="VWS57" s="0"/>
      <c r="VWT57" s="0"/>
      <c r="VWU57" s="0"/>
      <c r="VWV57" s="0"/>
      <c r="VWW57" s="0"/>
      <c r="VWX57" s="0"/>
      <c r="VWY57" s="0"/>
      <c r="VWZ57" s="0"/>
      <c r="VXA57" s="0"/>
      <c r="VXB57" s="0"/>
      <c r="VXC57" s="0"/>
      <c r="VXD57" s="0"/>
      <c r="VXE57" s="0"/>
      <c r="VXF57" s="0"/>
      <c r="VXG57" s="0"/>
      <c r="VXH57" s="0"/>
      <c r="VXI57" s="0"/>
      <c r="VXJ57" s="0"/>
      <c r="VXK57" s="0"/>
      <c r="VXL57" s="0"/>
      <c r="VXM57" s="0"/>
      <c r="VXN57" s="0"/>
      <c r="VXO57" s="0"/>
      <c r="VXP57" s="0"/>
      <c r="VXQ57" s="0"/>
      <c r="VXR57" s="0"/>
      <c r="VXS57" s="0"/>
      <c r="VXT57" s="0"/>
      <c r="VXU57" s="0"/>
      <c r="VXV57" s="0"/>
      <c r="VXW57" s="0"/>
      <c r="VXX57" s="0"/>
      <c r="VXY57" s="0"/>
      <c r="VXZ57" s="0"/>
      <c r="VYA57" s="0"/>
      <c r="VYB57" s="0"/>
      <c r="VYC57" s="0"/>
      <c r="VYD57" s="0"/>
      <c r="VYE57" s="0"/>
      <c r="VYF57" s="0"/>
      <c r="VYG57" s="0"/>
      <c r="VYH57" s="0"/>
      <c r="VYI57" s="0"/>
      <c r="VYJ57" s="0"/>
      <c r="VYK57" s="0"/>
      <c r="VYL57" s="0"/>
      <c r="VYM57" s="0"/>
      <c r="VYN57" s="0"/>
      <c r="VYO57" s="0"/>
      <c r="VYP57" s="0"/>
      <c r="VYQ57" s="0"/>
      <c r="VYR57" s="0"/>
      <c r="VYS57" s="0"/>
      <c r="VYT57" s="0"/>
      <c r="VYU57" s="0"/>
      <c r="VYV57" s="0"/>
      <c r="VYW57" s="0"/>
      <c r="VYX57" s="0"/>
      <c r="VYY57" s="0"/>
      <c r="VYZ57" s="0"/>
      <c r="VZA57" s="0"/>
      <c r="VZB57" s="0"/>
      <c r="VZC57" s="0"/>
      <c r="VZD57" s="0"/>
      <c r="VZE57" s="0"/>
      <c r="VZF57" s="0"/>
      <c r="VZG57" s="0"/>
      <c r="VZH57" s="0"/>
      <c r="VZI57" s="0"/>
      <c r="VZJ57" s="0"/>
      <c r="VZK57" s="0"/>
      <c r="VZL57" s="0"/>
      <c r="VZM57" s="0"/>
      <c r="VZN57" s="0"/>
      <c r="VZO57" s="0"/>
      <c r="VZP57" s="0"/>
      <c r="VZQ57" s="0"/>
      <c r="VZR57" s="0"/>
      <c r="VZS57" s="0"/>
      <c r="VZT57" s="0"/>
      <c r="VZU57" s="0"/>
      <c r="VZV57" s="0"/>
      <c r="VZW57" s="0"/>
      <c r="VZX57" s="0"/>
      <c r="VZY57" s="0"/>
      <c r="VZZ57" s="0"/>
      <c r="WAA57" s="0"/>
      <c r="WAB57" s="0"/>
      <c r="WAC57" s="0"/>
      <c r="WAD57" s="0"/>
      <c r="WAE57" s="0"/>
      <c r="WAF57" s="0"/>
      <c r="WAG57" s="0"/>
      <c r="WAH57" s="0"/>
      <c r="WAI57" s="0"/>
      <c r="WAJ57" s="0"/>
      <c r="WAK57" s="0"/>
      <c r="WAL57" s="0"/>
      <c r="WAM57" s="0"/>
      <c r="WAN57" s="0"/>
      <c r="WAO57" s="0"/>
      <c r="WAP57" s="0"/>
      <c r="WAQ57" s="0"/>
      <c r="WAR57" s="0"/>
      <c r="WAS57" s="0"/>
      <c r="WAT57" s="0"/>
      <c r="WAU57" s="0"/>
      <c r="WAV57" s="0"/>
      <c r="WAW57" s="0"/>
      <c r="WAX57" s="0"/>
      <c r="WAY57" s="0"/>
      <c r="WAZ57" s="0"/>
      <c r="WBA57" s="0"/>
      <c r="WBB57" s="0"/>
      <c r="WBC57" s="0"/>
      <c r="WBD57" s="0"/>
      <c r="WBE57" s="0"/>
      <c r="WBF57" s="0"/>
      <c r="WBG57" s="0"/>
      <c r="WBH57" s="0"/>
      <c r="WBI57" s="0"/>
      <c r="WBJ57" s="0"/>
      <c r="WBK57" s="0"/>
      <c r="WBL57" s="0"/>
      <c r="WBM57" s="0"/>
      <c r="WBN57" s="0"/>
      <c r="WBO57" s="0"/>
      <c r="WBP57" s="0"/>
      <c r="WBQ57" s="0"/>
      <c r="WBR57" s="0"/>
      <c r="WBS57" s="0"/>
      <c r="WBT57" s="0"/>
      <c r="WBU57" s="0"/>
      <c r="WBV57" s="0"/>
      <c r="WBW57" s="0"/>
      <c r="WBX57" s="0"/>
      <c r="WBY57" s="0"/>
      <c r="WBZ57" s="0"/>
      <c r="WCA57" s="0"/>
      <c r="WCB57" s="0"/>
      <c r="WCC57" s="0"/>
      <c r="WCD57" s="0"/>
      <c r="WCE57" s="0"/>
      <c r="WCF57" s="0"/>
      <c r="WCG57" s="0"/>
      <c r="WCH57" s="0"/>
      <c r="WCI57" s="0"/>
      <c r="WCJ57" s="0"/>
      <c r="WCK57" s="0"/>
      <c r="WCL57" s="0"/>
      <c r="WCM57" s="0"/>
      <c r="WCN57" s="0"/>
      <c r="WCO57" s="0"/>
      <c r="WCP57" s="0"/>
      <c r="WCQ57" s="0"/>
      <c r="WCR57" s="0"/>
      <c r="WCS57" s="0"/>
      <c r="WCT57" s="0"/>
      <c r="WCU57" s="0"/>
      <c r="WCV57" s="0"/>
      <c r="WCW57" s="0"/>
      <c r="WCX57" s="0"/>
      <c r="WCY57" s="0"/>
      <c r="WCZ57" s="0"/>
      <c r="WDA57" s="0"/>
      <c r="WDB57" s="0"/>
      <c r="WDC57" s="0"/>
      <c r="WDD57" s="0"/>
      <c r="WDE57" s="0"/>
      <c r="WDF57" s="0"/>
      <c r="WDG57" s="0"/>
      <c r="WDH57" s="0"/>
      <c r="WDI57" s="0"/>
      <c r="WDJ57" s="0"/>
      <c r="WDK57" s="0"/>
      <c r="WDL57" s="0"/>
      <c r="WDM57" s="0"/>
      <c r="WDN57" s="0"/>
      <c r="WDO57" s="0"/>
      <c r="WDP57" s="0"/>
      <c r="WDQ57" s="0"/>
      <c r="WDR57" s="0"/>
      <c r="WDS57" s="0"/>
      <c r="WDT57" s="0"/>
      <c r="WDU57" s="0"/>
      <c r="WDV57" s="0"/>
      <c r="WDW57" s="0"/>
      <c r="WDX57" s="0"/>
      <c r="WDY57" s="0"/>
      <c r="WDZ57" s="0"/>
      <c r="WEA57" s="0"/>
      <c r="WEB57" s="0"/>
      <c r="WEC57" s="0"/>
      <c r="WED57" s="0"/>
      <c r="WEE57" s="0"/>
      <c r="WEF57" s="0"/>
      <c r="WEG57" s="0"/>
      <c r="WEH57" s="0"/>
      <c r="WEI57" s="0"/>
      <c r="WEJ57" s="0"/>
      <c r="WEK57" s="0"/>
      <c r="WEL57" s="0"/>
      <c r="WEM57" s="0"/>
      <c r="WEN57" s="0"/>
      <c r="WEO57" s="0"/>
      <c r="WEP57" s="0"/>
      <c r="WEQ57" s="0"/>
      <c r="WER57" s="0"/>
      <c r="WES57" s="0"/>
      <c r="WET57" s="0"/>
      <c r="WEU57" s="0"/>
      <c r="WEV57" s="0"/>
      <c r="WEW57" s="0"/>
      <c r="WEX57" s="0"/>
      <c r="WEY57" s="0"/>
      <c r="WEZ57" s="0"/>
      <c r="WFA57" s="0"/>
      <c r="WFB57" s="0"/>
      <c r="WFC57" s="0"/>
      <c r="WFD57" s="0"/>
      <c r="WFE57" s="0"/>
      <c r="WFF57" s="0"/>
      <c r="WFG57" s="0"/>
      <c r="WFH57" s="0"/>
      <c r="WFI57" s="0"/>
      <c r="WFJ57" s="0"/>
      <c r="WFK57" s="0"/>
      <c r="WFL57" s="0"/>
      <c r="WFM57" s="0"/>
      <c r="WFN57" s="0"/>
      <c r="WFO57" s="0"/>
      <c r="WFP57" s="0"/>
      <c r="WFQ57" s="0"/>
      <c r="WFR57" s="0"/>
      <c r="WFS57" s="0"/>
      <c r="WFT57" s="0"/>
      <c r="WFU57" s="0"/>
      <c r="WFV57" s="0"/>
      <c r="WFW57" s="0"/>
      <c r="WFX57" s="0"/>
      <c r="WFY57" s="0"/>
      <c r="WFZ57" s="0"/>
      <c r="WGA57" s="0"/>
      <c r="WGB57" s="0"/>
      <c r="WGC57" s="0"/>
      <c r="WGD57" s="0"/>
      <c r="WGE57" s="0"/>
      <c r="WGF57" s="0"/>
      <c r="WGG57" s="0"/>
      <c r="WGH57" s="0"/>
      <c r="WGI57" s="0"/>
      <c r="WGJ57" s="0"/>
      <c r="WGK57" s="0"/>
      <c r="WGL57" s="0"/>
      <c r="WGM57" s="0"/>
      <c r="WGN57" s="0"/>
      <c r="WGO57" s="0"/>
      <c r="WGP57" s="0"/>
      <c r="WGQ57" s="0"/>
      <c r="WGR57" s="0"/>
      <c r="WGS57" s="0"/>
      <c r="WGT57" s="0"/>
      <c r="WGU57" s="0"/>
      <c r="WGV57" s="0"/>
      <c r="WGW57" s="0"/>
      <c r="WGX57" s="0"/>
      <c r="WGY57" s="0"/>
      <c r="WGZ57" s="0"/>
      <c r="WHA57" s="0"/>
      <c r="WHB57" s="0"/>
      <c r="WHC57" s="0"/>
      <c r="WHD57" s="0"/>
      <c r="WHE57" s="0"/>
      <c r="WHF57" s="0"/>
      <c r="WHG57" s="0"/>
      <c r="WHH57" s="0"/>
      <c r="WHI57" s="0"/>
      <c r="WHJ57" s="0"/>
      <c r="WHK57" s="0"/>
      <c r="WHL57" s="0"/>
      <c r="WHM57" s="0"/>
      <c r="WHN57" s="0"/>
      <c r="WHO57" s="0"/>
      <c r="WHP57" s="0"/>
      <c r="WHQ57" s="0"/>
      <c r="WHR57" s="0"/>
      <c r="WHS57" s="0"/>
      <c r="WHT57" s="0"/>
      <c r="WHU57" s="0"/>
      <c r="WHV57" s="0"/>
      <c r="WHW57" s="0"/>
      <c r="WHX57" s="0"/>
      <c r="WHY57" s="0"/>
      <c r="WHZ57" s="0"/>
      <c r="WIA57" s="0"/>
      <c r="WIB57" s="0"/>
      <c r="WIC57" s="0"/>
      <c r="WID57" s="0"/>
      <c r="WIE57" s="0"/>
      <c r="WIF57" s="0"/>
      <c r="WIG57" s="0"/>
      <c r="WIH57" s="0"/>
      <c r="WII57" s="0"/>
      <c r="WIJ57" s="0"/>
      <c r="WIK57" s="0"/>
      <c r="WIL57" s="0"/>
      <c r="WIM57" s="0"/>
      <c r="WIN57" s="0"/>
      <c r="WIO57" s="0"/>
      <c r="WIP57" s="0"/>
      <c r="WIQ57" s="0"/>
      <c r="WIR57" s="0"/>
      <c r="WIS57" s="0"/>
      <c r="WIT57" s="0"/>
      <c r="WIU57" s="0"/>
      <c r="WIV57" s="0"/>
      <c r="WIW57" s="0"/>
      <c r="WIX57" s="0"/>
      <c r="WIY57" s="0"/>
      <c r="WIZ57" s="0"/>
      <c r="WJA57" s="0"/>
      <c r="WJB57" s="0"/>
      <c r="WJC57" s="0"/>
      <c r="WJD57" s="0"/>
      <c r="WJE57" s="0"/>
      <c r="WJF57" s="0"/>
      <c r="WJG57" s="0"/>
      <c r="WJH57" s="0"/>
      <c r="WJI57" s="0"/>
      <c r="WJJ57" s="0"/>
      <c r="WJK57" s="0"/>
      <c r="WJL57" s="0"/>
      <c r="WJM57" s="0"/>
      <c r="WJN57" s="0"/>
      <c r="WJO57" s="0"/>
      <c r="WJP57" s="0"/>
      <c r="WJQ57" s="0"/>
      <c r="WJR57" s="0"/>
      <c r="WJS57" s="0"/>
      <c r="WJT57" s="0"/>
      <c r="WJU57" s="0"/>
      <c r="WJV57" s="0"/>
      <c r="WJW57" s="0"/>
      <c r="WJX57" s="0"/>
      <c r="WJY57" s="0"/>
      <c r="WJZ57" s="0"/>
      <c r="WKA57" s="0"/>
      <c r="WKB57" s="0"/>
      <c r="WKC57" s="0"/>
      <c r="WKD57" s="0"/>
      <c r="WKE57" s="0"/>
      <c r="WKF57" s="0"/>
      <c r="WKG57" s="0"/>
      <c r="WKH57" s="0"/>
      <c r="WKI57" s="0"/>
      <c r="WKJ57" s="0"/>
      <c r="WKK57" s="0"/>
      <c r="WKL57" s="0"/>
      <c r="WKM57" s="0"/>
      <c r="WKN57" s="0"/>
      <c r="WKO57" s="0"/>
      <c r="WKP57" s="0"/>
      <c r="WKQ57" s="0"/>
      <c r="WKR57" s="0"/>
      <c r="WKS57" s="0"/>
      <c r="WKT57" s="0"/>
      <c r="WKU57" s="0"/>
      <c r="WKV57" s="0"/>
      <c r="WKW57" s="0"/>
      <c r="WKX57" s="0"/>
      <c r="WKY57" s="0"/>
      <c r="WKZ57" s="0"/>
      <c r="WLA57" s="0"/>
      <c r="WLB57" s="0"/>
      <c r="WLC57" s="0"/>
      <c r="WLD57" s="0"/>
      <c r="WLE57" s="0"/>
      <c r="WLF57" s="0"/>
      <c r="WLG57" s="0"/>
      <c r="WLH57" s="0"/>
      <c r="WLI57" s="0"/>
      <c r="WLJ57" s="0"/>
      <c r="WLK57" s="0"/>
      <c r="WLL57" s="0"/>
      <c r="WLM57" s="0"/>
      <c r="WLN57" s="0"/>
      <c r="WLO57" s="0"/>
      <c r="WLP57" s="0"/>
      <c r="WLQ57" s="0"/>
      <c r="WLR57" s="0"/>
      <c r="WLS57" s="0"/>
      <c r="WLT57" s="0"/>
      <c r="WLU57" s="0"/>
      <c r="WLV57" s="0"/>
      <c r="WLW57" s="0"/>
      <c r="WLX57" s="0"/>
      <c r="WLY57" s="0"/>
      <c r="WLZ57" s="0"/>
      <c r="WMA57" s="0"/>
      <c r="WMB57" s="0"/>
      <c r="WMC57" s="0"/>
      <c r="WMD57" s="0"/>
      <c r="WME57" s="0"/>
      <c r="WMF57" s="0"/>
      <c r="WMG57" s="0"/>
      <c r="WMH57" s="0"/>
      <c r="WMI57" s="0"/>
      <c r="WMJ57" s="0"/>
      <c r="WMK57" s="0"/>
      <c r="WML57" s="0"/>
      <c r="WMM57" s="0"/>
      <c r="WMN57" s="0"/>
      <c r="WMO57" s="0"/>
      <c r="WMP57" s="0"/>
      <c r="WMQ57" s="0"/>
      <c r="WMR57" s="0"/>
      <c r="WMS57" s="0"/>
      <c r="WMT57" s="0"/>
      <c r="WMU57" s="0"/>
      <c r="WMV57" s="0"/>
      <c r="WMW57" s="0"/>
      <c r="WMX57" s="0"/>
      <c r="WMY57" s="0"/>
      <c r="WMZ57" s="0"/>
      <c r="WNA57" s="0"/>
      <c r="WNB57" s="0"/>
      <c r="WNC57" s="0"/>
      <c r="WND57" s="0"/>
      <c r="WNE57" s="0"/>
      <c r="WNF57" s="0"/>
      <c r="WNG57" s="0"/>
      <c r="WNH57" s="0"/>
      <c r="WNI57" s="0"/>
      <c r="WNJ57" s="0"/>
      <c r="WNK57" s="0"/>
      <c r="WNL57" s="0"/>
      <c r="WNM57" s="0"/>
      <c r="WNN57" s="0"/>
      <c r="WNO57" s="0"/>
      <c r="WNP57" s="0"/>
      <c r="WNQ57" s="0"/>
      <c r="WNR57" s="0"/>
      <c r="WNS57" s="0"/>
      <c r="WNT57" s="0"/>
      <c r="WNU57" s="0"/>
      <c r="WNV57" s="0"/>
      <c r="WNW57" s="0"/>
      <c r="WNX57" s="0"/>
      <c r="WNY57" s="0"/>
      <c r="WNZ57" s="0"/>
      <c r="WOA57" s="0"/>
      <c r="WOB57" s="0"/>
      <c r="WOC57" s="0"/>
      <c r="WOD57" s="0"/>
      <c r="WOE57" s="0"/>
      <c r="WOF57" s="0"/>
      <c r="WOG57" s="0"/>
      <c r="WOH57" s="0"/>
      <c r="WOI57" s="0"/>
      <c r="WOJ57" s="0"/>
      <c r="WOK57" s="0"/>
      <c r="WOL57" s="0"/>
      <c r="WOM57" s="0"/>
      <c r="WON57" s="0"/>
      <c r="WOO57" s="0"/>
      <c r="WOP57" s="0"/>
      <c r="WOQ57" s="0"/>
      <c r="WOR57" s="0"/>
      <c r="WOS57" s="0"/>
      <c r="WOT57" s="0"/>
      <c r="WOU57" s="0"/>
      <c r="WOV57" s="0"/>
      <c r="WOW57" s="0"/>
      <c r="WOX57" s="0"/>
      <c r="WOY57" s="0"/>
      <c r="WOZ57" s="0"/>
      <c r="WPA57" s="0"/>
      <c r="WPB57" s="0"/>
      <c r="WPC57" s="0"/>
      <c r="WPD57" s="0"/>
      <c r="WPE57" s="0"/>
      <c r="WPF57" s="0"/>
      <c r="WPG57" s="0"/>
      <c r="WPH57" s="0"/>
      <c r="WPI57" s="0"/>
      <c r="WPJ57" s="0"/>
      <c r="WPK57" s="0"/>
      <c r="WPL57" s="0"/>
      <c r="WPM57" s="0"/>
      <c r="WPN57" s="0"/>
      <c r="WPO57" s="0"/>
      <c r="WPP57" s="0"/>
      <c r="WPQ57" s="0"/>
      <c r="WPR57" s="0"/>
      <c r="WPS57" s="0"/>
      <c r="WPT57" s="0"/>
      <c r="WPU57" s="0"/>
      <c r="WPV57" s="0"/>
      <c r="WPW57" s="0"/>
      <c r="WPX57" s="0"/>
      <c r="WPY57" s="0"/>
      <c r="WPZ57" s="0"/>
      <c r="WQA57" s="0"/>
      <c r="WQB57" s="0"/>
      <c r="WQC57" s="0"/>
      <c r="WQD57" s="0"/>
      <c r="WQE57" s="0"/>
      <c r="WQF57" s="0"/>
      <c r="WQG57" s="0"/>
      <c r="WQH57" s="0"/>
      <c r="WQI57" s="0"/>
      <c r="WQJ57" s="0"/>
      <c r="WQK57" s="0"/>
      <c r="WQL57" s="0"/>
      <c r="WQM57" s="0"/>
      <c r="WQN57" s="0"/>
      <c r="WQO57" s="0"/>
      <c r="WQP57" s="0"/>
      <c r="WQQ57" s="0"/>
      <c r="WQR57" s="0"/>
      <c r="WQS57" s="0"/>
      <c r="WQT57" s="0"/>
      <c r="WQU57" s="0"/>
      <c r="WQV57" s="0"/>
      <c r="WQW57" s="0"/>
      <c r="WQX57" s="0"/>
      <c r="WQY57" s="0"/>
      <c r="WQZ57" s="0"/>
      <c r="WRA57" s="0"/>
      <c r="WRB57" s="0"/>
      <c r="WRC57" s="0"/>
      <c r="WRD57" s="0"/>
      <c r="WRE57" s="0"/>
      <c r="WRF57" s="0"/>
      <c r="WRG57" s="0"/>
      <c r="WRH57" s="0"/>
      <c r="WRI57" s="0"/>
      <c r="WRJ57" s="0"/>
      <c r="WRK57" s="0"/>
      <c r="WRL57" s="0"/>
      <c r="WRM57" s="0"/>
      <c r="WRN57" s="0"/>
      <c r="WRO57" s="0"/>
      <c r="WRP57" s="0"/>
      <c r="WRQ57" s="0"/>
      <c r="WRR57" s="0"/>
      <c r="WRS57" s="0"/>
      <c r="WRT57" s="0"/>
      <c r="WRU57" s="0"/>
      <c r="WRV57" s="0"/>
      <c r="WRW57" s="0"/>
      <c r="WRX57" s="0"/>
      <c r="WRY57" s="0"/>
      <c r="WRZ57" s="0"/>
      <c r="WSA57" s="0"/>
      <c r="WSB57" s="0"/>
      <c r="WSC57" s="0"/>
      <c r="WSD57" s="0"/>
      <c r="WSE57" s="0"/>
      <c r="WSF57" s="0"/>
      <c r="WSG57" s="0"/>
      <c r="WSH57" s="0"/>
      <c r="WSI57" s="0"/>
      <c r="WSJ57" s="0"/>
      <c r="WSK57" s="0"/>
      <c r="WSL57" s="0"/>
      <c r="WSM57" s="0"/>
      <c r="WSN57" s="0"/>
      <c r="WSO57" s="0"/>
      <c r="WSP57" s="0"/>
      <c r="WSQ57" s="0"/>
      <c r="WSR57" s="0"/>
      <c r="WSS57" s="0"/>
      <c r="WST57" s="0"/>
      <c r="WSU57" s="0"/>
      <c r="WSV57" s="0"/>
      <c r="WSW57" s="0"/>
      <c r="WSX57" s="0"/>
      <c r="WSY57" s="0"/>
      <c r="WSZ57" s="0"/>
      <c r="WTA57" s="0"/>
      <c r="WTB57" s="0"/>
      <c r="WTC57" s="0"/>
      <c r="WTD57" s="0"/>
      <c r="WTE57" s="0"/>
      <c r="WTF57" s="0"/>
      <c r="WTG57" s="0"/>
      <c r="WTH57" s="0"/>
      <c r="WTI57" s="0"/>
      <c r="WTJ57" s="0"/>
      <c r="WTK57" s="0"/>
      <c r="WTL57" s="0"/>
      <c r="WTM57" s="0"/>
      <c r="WTN57" s="0"/>
      <c r="WTO57" s="0"/>
      <c r="WTP57" s="0"/>
      <c r="WTQ57" s="0"/>
      <c r="WTR57" s="0"/>
      <c r="WTS57" s="0"/>
      <c r="WTT57" s="0"/>
      <c r="WTU57" s="0"/>
      <c r="WTV57" s="0"/>
      <c r="WTW57" s="0"/>
      <c r="WTX57" s="0"/>
      <c r="WTY57" s="0"/>
      <c r="WTZ57" s="0"/>
      <c r="WUA57" s="0"/>
      <c r="WUB57" s="0"/>
      <c r="WUC57" s="0"/>
      <c r="WUD57" s="0"/>
      <c r="WUE57" s="0"/>
      <c r="WUF57" s="0"/>
      <c r="WUG57" s="0"/>
      <c r="WUH57" s="0"/>
      <c r="WUI57" s="0"/>
      <c r="WUJ57" s="0"/>
      <c r="WUK57" s="0"/>
      <c r="WUL57" s="0"/>
      <c r="WUM57" s="0"/>
      <c r="WUN57" s="0"/>
      <c r="WUO57" s="0"/>
      <c r="WUP57" s="0"/>
      <c r="WUQ57" s="0"/>
      <c r="WUR57" s="0"/>
      <c r="WUS57" s="0"/>
      <c r="WUT57" s="0"/>
      <c r="WUU57" s="0"/>
      <c r="WUV57" s="0"/>
      <c r="WUW57" s="0"/>
      <c r="WUX57" s="0"/>
      <c r="WUY57" s="0"/>
      <c r="WUZ57" s="0"/>
      <c r="WVA57" s="0"/>
      <c r="WVB57" s="0"/>
      <c r="WVC57" s="0"/>
      <c r="WVD57" s="0"/>
      <c r="WVE57" s="0"/>
      <c r="WVF57" s="0"/>
      <c r="WVG57" s="0"/>
      <c r="WVH57" s="0"/>
      <c r="WVI57" s="0"/>
      <c r="WVJ57" s="0"/>
      <c r="WVK57" s="0"/>
      <c r="WVL57" s="0"/>
      <c r="WVM57" s="0"/>
      <c r="WVN57" s="0"/>
      <c r="WVO57" s="0"/>
      <c r="WVP57" s="0"/>
      <c r="WVQ57" s="0"/>
      <c r="WVR57" s="0"/>
      <c r="WVS57" s="0"/>
      <c r="WVT57" s="0"/>
      <c r="WVU57" s="0"/>
      <c r="WVV57" s="0"/>
      <c r="WVW57" s="0"/>
      <c r="WVX57" s="0"/>
      <c r="WVY57" s="0"/>
      <c r="WVZ57" s="0"/>
      <c r="WWA57" s="0"/>
      <c r="WWB57" s="0"/>
      <c r="WWC57" s="0"/>
      <c r="WWD57" s="0"/>
      <c r="WWE57" s="0"/>
      <c r="WWF57" s="0"/>
      <c r="WWG57" s="0"/>
      <c r="WWH57" s="0"/>
      <c r="WWI57" s="0"/>
      <c r="WWJ57" s="0"/>
      <c r="WWK57" s="0"/>
      <c r="WWL57" s="0"/>
      <c r="WWM57" s="0"/>
      <c r="WWN57" s="0"/>
      <c r="WWO57" s="0"/>
      <c r="WWP57" s="0"/>
      <c r="WWQ57" s="0"/>
      <c r="WWR57" s="0"/>
      <c r="WWS57" s="0"/>
      <c r="WWT57" s="0"/>
      <c r="WWU57" s="0"/>
      <c r="WWV57" s="0"/>
      <c r="WWW57" s="0"/>
      <c r="WWX57" s="0"/>
      <c r="WWY57" s="0"/>
      <c r="WWZ57" s="0"/>
      <c r="WXA57" s="0"/>
      <c r="WXB57" s="0"/>
      <c r="WXC57" s="0"/>
      <c r="WXD57" s="0"/>
      <c r="WXE57" s="0"/>
      <c r="WXF57" s="0"/>
      <c r="WXG57" s="0"/>
      <c r="WXH57" s="0"/>
      <c r="WXI57" s="0"/>
      <c r="WXJ57" s="0"/>
      <c r="WXK57" s="0"/>
      <c r="WXL57" s="0"/>
      <c r="WXM57" s="0"/>
      <c r="WXN57" s="0"/>
      <c r="WXO57" s="0"/>
      <c r="WXP57" s="0"/>
      <c r="WXQ57" s="0"/>
      <c r="WXR57" s="0"/>
      <c r="WXS57" s="0"/>
      <c r="WXT57" s="0"/>
      <c r="WXU57" s="0"/>
      <c r="WXV57" s="0"/>
      <c r="WXW57" s="0"/>
      <c r="WXX57" s="0"/>
      <c r="WXY57" s="0"/>
      <c r="WXZ57" s="0"/>
      <c r="WYA57" s="0"/>
      <c r="WYB57" s="0"/>
      <c r="WYC57" s="0"/>
      <c r="WYD57" s="0"/>
      <c r="WYE57" s="0"/>
      <c r="WYF57" s="0"/>
      <c r="WYG57" s="0"/>
      <c r="WYH57" s="0"/>
      <c r="WYI57" s="0"/>
      <c r="WYJ57" s="0"/>
      <c r="WYK57" s="0"/>
      <c r="WYL57" s="0"/>
      <c r="WYM57" s="0"/>
      <c r="WYN57" s="0"/>
      <c r="WYO57" s="0"/>
      <c r="WYP57" s="0"/>
      <c r="WYQ57" s="0"/>
      <c r="WYR57" s="0"/>
      <c r="WYS57" s="0"/>
      <c r="WYT57" s="0"/>
      <c r="WYU57" s="0"/>
      <c r="WYV57" s="0"/>
      <c r="WYW57" s="0"/>
      <c r="WYX57" s="0"/>
      <c r="WYY57" s="0"/>
      <c r="WYZ57" s="0"/>
      <c r="WZA57" s="0"/>
      <c r="WZB57" s="0"/>
      <c r="WZC57" s="0"/>
      <c r="WZD57" s="0"/>
      <c r="WZE57" s="0"/>
      <c r="WZF57" s="0"/>
      <c r="WZG57" s="0"/>
      <c r="WZH57" s="0"/>
      <c r="WZI57" s="0"/>
      <c r="WZJ57" s="0"/>
      <c r="WZK57" s="0"/>
      <c r="WZL57" s="0"/>
      <c r="WZM57" s="0"/>
      <c r="WZN57" s="0"/>
      <c r="WZO57" s="0"/>
      <c r="WZP57" s="0"/>
      <c r="WZQ57" s="0"/>
      <c r="WZR57" s="0"/>
      <c r="WZS57" s="0"/>
      <c r="WZT57" s="0"/>
      <c r="WZU57" s="0"/>
      <c r="WZV57" s="0"/>
      <c r="WZW57" s="0"/>
      <c r="WZX57" s="0"/>
      <c r="WZY57" s="0"/>
      <c r="WZZ57" s="0"/>
      <c r="XAA57" s="0"/>
      <c r="XAB57" s="0"/>
      <c r="XAC57" s="0"/>
      <c r="XAD57" s="0"/>
      <c r="XAE57" s="0"/>
      <c r="XAF57" s="0"/>
      <c r="XAG57" s="0"/>
      <c r="XAH57" s="0"/>
      <c r="XAI57" s="0"/>
      <c r="XAJ57" s="0"/>
      <c r="XAK57" s="0"/>
      <c r="XAL57" s="0"/>
      <c r="XAM57" s="0"/>
      <c r="XAN57" s="0"/>
      <c r="XAO57" s="0"/>
      <c r="XAP57" s="0"/>
      <c r="XAQ57" s="0"/>
      <c r="XAR57" s="0"/>
      <c r="XAS57" s="0"/>
      <c r="XAT57" s="0"/>
      <c r="XAU57" s="0"/>
      <c r="XAV57" s="0"/>
      <c r="XAW57" s="0"/>
      <c r="XAX57" s="0"/>
      <c r="XAY57" s="0"/>
      <c r="XAZ57" s="0"/>
      <c r="XBA57" s="0"/>
      <c r="XBB57" s="0"/>
      <c r="XBC57" s="0"/>
      <c r="XBD57" s="0"/>
      <c r="XBE57" s="0"/>
      <c r="XBF57" s="0"/>
      <c r="XBG57" s="0"/>
      <c r="XBH57" s="0"/>
      <c r="XBI57" s="0"/>
      <c r="XBJ57" s="0"/>
      <c r="XBK57" s="0"/>
      <c r="XBL57" s="0"/>
      <c r="XBM57" s="0"/>
      <c r="XBN57" s="0"/>
      <c r="XBO57" s="0"/>
      <c r="XBP57" s="0"/>
      <c r="XBQ57" s="0"/>
      <c r="XBR57" s="0"/>
      <c r="XBS57" s="0"/>
      <c r="XBT57" s="0"/>
      <c r="XBU57" s="0"/>
      <c r="XBV57" s="0"/>
      <c r="XBW57" s="0"/>
      <c r="XBX57" s="0"/>
      <c r="XBY57" s="0"/>
      <c r="XBZ57" s="0"/>
      <c r="XCA57" s="0"/>
      <c r="XCB57" s="0"/>
      <c r="XCC57" s="0"/>
      <c r="XCD57" s="0"/>
      <c r="XCE57" s="0"/>
      <c r="XCF57" s="0"/>
      <c r="XCG57" s="0"/>
      <c r="XCH57" s="0"/>
      <c r="XCI57" s="0"/>
      <c r="XCJ57" s="0"/>
      <c r="XCK57" s="0"/>
      <c r="XCL57" s="0"/>
      <c r="XCM57" s="0"/>
      <c r="XCN57" s="0"/>
      <c r="XCO57" s="0"/>
      <c r="XCP57" s="0"/>
      <c r="XCQ57" s="0"/>
      <c r="XCR57" s="0"/>
      <c r="XCS57" s="0"/>
      <c r="XCT57" s="0"/>
      <c r="XCU57" s="0"/>
      <c r="XCV57" s="0"/>
      <c r="XCW57" s="0"/>
      <c r="XCX57" s="0"/>
      <c r="XCY57" s="0"/>
      <c r="XCZ57" s="0"/>
      <c r="XDA57" s="0"/>
      <c r="XDB57" s="0"/>
      <c r="XDC57" s="0"/>
      <c r="XDD57" s="0"/>
      <c r="XDE57" s="0"/>
      <c r="XDF57" s="0"/>
      <c r="XDG57" s="0"/>
      <c r="XDH57" s="0"/>
      <c r="XDI57" s="0"/>
      <c r="XDJ57" s="0"/>
      <c r="XDK57" s="0"/>
      <c r="XDL57" s="0"/>
      <c r="XDM57" s="0"/>
      <c r="XDN57" s="0"/>
      <c r="XDO57" s="0"/>
      <c r="XDP57" s="0"/>
      <c r="XDQ57" s="0"/>
      <c r="XDR57" s="0"/>
      <c r="XDS57" s="0"/>
      <c r="XDT57" s="0"/>
      <c r="XDU57" s="0"/>
      <c r="XDV57" s="0"/>
      <c r="XDW57" s="0"/>
      <c r="XDX57" s="0"/>
      <c r="XDY57" s="0"/>
      <c r="XDZ57" s="0"/>
      <c r="XEA57" s="0"/>
      <c r="XEB57" s="0"/>
      <c r="XEC57" s="0"/>
      <c r="XED57" s="0"/>
      <c r="XEE57" s="0"/>
      <c r="XEF57" s="0"/>
      <c r="XEG57" s="0"/>
      <c r="XEH57" s="0"/>
      <c r="XEI57" s="0"/>
      <c r="XEJ57" s="0"/>
      <c r="XEK57" s="0"/>
      <c r="XEL57" s="0"/>
      <c r="XEM57" s="0"/>
      <c r="XEN57" s="0"/>
      <c r="XEO57" s="0"/>
      <c r="XEP57" s="0"/>
      <c r="XEQ57" s="0"/>
      <c r="XER57" s="0"/>
      <c r="XES57" s="0"/>
      <c r="XET57" s="0"/>
      <c r="XEU57" s="0"/>
      <c r="XEV57" s="0"/>
      <c r="XEW57" s="0"/>
      <c r="XEX57" s="0"/>
      <c r="XEY57" s="0"/>
      <c r="XEZ57" s="0"/>
      <c r="XFA57" s="0"/>
      <c r="XFB57" s="0"/>
      <c r="XFC57" s="0"/>
      <c r="XFD57" s="0"/>
    </row>
    <row r="58" customFormat="false" ht="15" hidden="false" customHeight="false" outlineLevel="0" collapsed="false">
      <c r="A58" s="37" t="n">
        <v>4735</v>
      </c>
      <c r="B58" s="37"/>
      <c r="C58" s="37" t="s">
        <v>688</v>
      </c>
      <c r="D58" s="37" t="s">
        <v>689</v>
      </c>
      <c r="E58" s="37" t="s">
        <v>690</v>
      </c>
      <c r="F58" s="37" t="n">
        <v>2025</v>
      </c>
      <c r="G58" s="37" t="s">
        <v>691</v>
      </c>
      <c r="H58" s="23" t="n">
        <v>1</v>
      </c>
      <c r="I58" s="23" t="s">
        <v>32</v>
      </c>
      <c r="J58" s="37" t="s">
        <v>33</v>
      </c>
      <c r="K58" s="27" t="s">
        <v>605</v>
      </c>
      <c r="L58" s="23" t="n">
        <v>360</v>
      </c>
      <c r="M58" s="23" t="n">
        <v>1</v>
      </c>
      <c r="N58" s="24" t="n">
        <v>10</v>
      </c>
      <c r="O58" s="24" t="n">
        <f aca="false">L58*M58*N58</f>
        <v>3600</v>
      </c>
      <c r="Q58" s="27" t="s">
        <v>843</v>
      </c>
      <c r="R58" s="46"/>
      <c r="S58" s="46"/>
      <c r="T58" s="46"/>
      <c r="U58" s="46"/>
      <c r="V58" s="46"/>
      <c r="W58" s="46"/>
      <c r="X58" s="23"/>
      <c r="Y58" s="46"/>
      <c r="Z58" s="46"/>
      <c r="AA58" s="46"/>
      <c r="AB58" s="46"/>
      <c r="AC58" s="46"/>
      <c r="AD58" s="23"/>
    </row>
    <row r="59" customFormat="false" ht="15" hidden="false" customHeight="false" outlineLevel="0" collapsed="false">
      <c r="A59" s="37" t="n">
        <v>4735</v>
      </c>
      <c r="B59" s="37"/>
      <c r="C59" s="37" t="s">
        <v>688</v>
      </c>
      <c r="D59" s="37" t="s">
        <v>689</v>
      </c>
      <c r="E59" s="37" t="s">
        <v>690</v>
      </c>
      <c r="F59" s="37" t="n">
        <v>2025</v>
      </c>
      <c r="G59" s="37" t="s">
        <v>691</v>
      </c>
      <c r="H59" s="23" t="n">
        <v>1</v>
      </c>
      <c r="I59" s="23" t="s">
        <v>32</v>
      </c>
      <c r="J59" s="37" t="s">
        <v>97</v>
      </c>
      <c r="K59" s="27" t="s">
        <v>605</v>
      </c>
      <c r="L59" s="23" t="n">
        <v>360</v>
      </c>
      <c r="M59" s="23" t="n">
        <v>1</v>
      </c>
      <c r="N59" s="24" t="n">
        <v>10</v>
      </c>
      <c r="O59" s="24" t="n">
        <f aca="false">L59*M59*N59</f>
        <v>3600</v>
      </c>
      <c r="Q59" s="27" t="s">
        <v>843</v>
      </c>
      <c r="R59" s="46"/>
      <c r="S59" s="46"/>
      <c r="T59" s="46"/>
      <c r="U59" s="46"/>
      <c r="V59" s="46"/>
      <c r="W59" s="46"/>
      <c r="X59" s="23"/>
      <c r="Y59" s="46"/>
      <c r="Z59" s="46"/>
      <c r="AA59" s="46"/>
      <c r="AB59" s="46"/>
      <c r="AC59" s="46"/>
      <c r="AD59" s="23"/>
    </row>
    <row r="60" customFormat="false" ht="15" hidden="false" customHeight="false" outlineLevel="0" collapsed="false">
      <c r="A60" s="23" t="n">
        <v>4745</v>
      </c>
      <c r="B60" s="23" t="n">
        <v>28388904</v>
      </c>
      <c r="C60" s="23" t="s">
        <v>514</v>
      </c>
      <c r="D60" s="23" t="s">
        <v>515</v>
      </c>
      <c r="E60" s="23" t="s">
        <v>516</v>
      </c>
      <c r="F60" s="23" t="n">
        <v>2017</v>
      </c>
      <c r="G60" s="23" t="s">
        <v>517</v>
      </c>
      <c r="H60" s="23" t="n">
        <v>1</v>
      </c>
      <c r="I60" s="23" t="s">
        <v>32</v>
      </c>
      <c r="J60" s="23" t="s">
        <v>33</v>
      </c>
      <c r="L60" s="23" t="n">
        <v>360</v>
      </c>
      <c r="M60" s="23" t="n">
        <v>1</v>
      </c>
      <c r="N60" s="24" t="n">
        <v>63</v>
      </c>
      <c r="O60" s="24" t="n">
        <f aca="false">N60*L60</f>
        <v>22680</v>
      </c>
      <c r="Q60" s="24" t="n">
        <v>5</v>
      </c>
      <c r="R60" s="46"/>
      <c r="S60" s="46"/>
      <c r="T60" s="46"/>
      <c r="U60" s="46"/>
      <c r="V60" s="46"/>
      <c r="W60" s="46"/>
      <c r="X60" s="23"/>
      <c r="Y60" s="46"/>
      <c r="Z60" s="46"/>
      <c r="AA60" s="46"/>
      <c r="AB60" s="46"/>
      <c r="AC60" s="46"/>
      <c r="AD60" s="23"/>
    </row>
    <row r="61" customFormat="false" ht="15" hidden="false" customHeight="false" outlineLevel="0" collapsed="false">
      <c r="A61" s="23" t="n">
        <v>4794</v>
      </c>
      <c r="B61" s="23" t="n">
        <v>35780963</v>
      </c>
      <c r="C61" s="23" t="s">
        <v>518</v>
      </c>
      <c r="D61" s="23" t="s">
        <v>519</v>
      </c>
      <c r="E61" s="23" t="s">
        <v>110</v>
      </c>
      <c r="F61" s="23" t="n">
        <v>2022</v>
      </c>
      <c r="G61" s="23" t="s">
        <v>520</v>
      </c>
      <c r="H61" s="23" t="n">
        <v>1</v>
      </c>
      <c r="I61" s="23" t="s">
        <v>32</v>
      </c>
      <c r="J61" s="23" t="s">
        <v>33</v>
      </c>
      <c r="L61" s="23" t="n">
        <v>360</v>
      </c>
      <c r="M61" s="23" t="n">
        <v>1</v>
      </c>
      <c r="N61" s="24" t="n">
        <v>21</v>
      </c>
      <c r="O61" s="24" t="n">
        <f aca="false">N61*L61</f>
        <v>7560</v>
      </c>
      <c r="Q61" s="24" t="n">
        <v>5</v>
      </c>
      <c r="R61" s="46"/>
      <c r="S61" s="46"/>
      <c r="T61" s="46"/>
      <c r="U61" s="46"/>
      <c r="V61" s="46"/>
      <c r="W61" s="46"/>
      <c r="X61" s="23"/>
      <c r="Y61" s="46"/>
      <c r="Z61" s="46"/>
      <c r="AA61" s="46"/>
      <c r="AB61" s="46"/>
      <c r="AC61" s="46"/>
      <c r="AD61" s="23"/>
    </row>
    <row r="62" customFormat="false" ht="15" hidden="false" customHeight="false" outlineLevel="0" collapsed="false">
      <c r="A62" s="23" t="n">
        <v>4832</v>
      </c>
      <c r="B62" s="23" t="n">
        <v>26555398</v>
      </c>
      <c r="C62" s="23" t="s">
        <v>195</v>
      </c>
      <c r="D62" s="23" t="s">
        <v>196</v>
      </c>
      <c r="E62" s="23" t="s">
        <v>197</v>
      </c>
      <c r="F62" s="23" t="n">
        <v>2016</v>
      </c>
      <c r="G62" s="23" t="s">
        <v>198</v>
      </c>
      <c r="H62" s="23" t="n">
        <v>1</v>
      </c>
      <c r="I62" s="23" t="s">
        <v>32</v>
      </c>
      <c r="J62" s="23" t="s">
        <v>33</v>
      </c>
      <c r="L62" s="23" t="n">
        <v>240</v>
      </c>
      <c r="M62" s="23" t="n">
        <v>1</v>
      </c>
      <c r="N62" s="24" t="n">
        <v>5</v>
      </c>
      <c r="O62" s="24" t="n">
        <f aca="false">N62*L62</f>
        <v>1200</v>
      </c>
      <c r="P62" s="23" t="s">
        <v>199</v>
      </c>
      <c r="Q62" s="24" t="n">
        <v>5</v>
      </c>
      <c r="R62" s="46"/>
      <c r="S62" s="46"/>
      <c r="T62" s="46"/>
      <c r="U62" s="46"/>
      <c r="V62" s="46"/>
      <c r="W62" s="46"/>
      <c r="X62" s="23"/>
      <c r="Y62" s="46"/>
      <c r="Z62" s="46"/>
      <c r="AA62" s="46"/>
      <c r="AB62" s="46"/>
      <c r="AC62" s="46"/>
      <c r="AD62" s="23"/>
    </row>
    <row r="63" customFormat="false" ht="15" hidden="false" customHeight="false" outlineLevel="0" collapsed="false">
      <c r="A63" s="23" t="n">
        <v>4833</v>
      </c>
      <c r="C63" s="23" t="s">
        <v>694</v>
      </c>
      <c r="D63" s="23" t="s">
        <v>695</v>
      </c>
      <c r="E63" s="23" t="s">
        <v>44</v>
      </c>
      <c r="F63" s="23" t="n">
        <v>2022</v>
      </c>
      <c r="G63" s="23" t="s">
        <v>696</v>
      </c>
      <c r="H63" s="23" t="n">
        <v>1</v>
      </c>
      <c r="I63" s="23" t="s">
        <v>51</v>
      </c>
      <c r="J63" s="23" t="s">
        <v>33</v>
      </c>
      <c r="L63" s="23" t="n">
        <v>240</v>
      </c>
      <c r="M63" s="23" t="n">
        <v>1</v>
      </c>
      <c r="N63" s="24" t="n">
        <v>20</v>
      </c>
      <c r="O63" s="24" t="n">
        <f aca="false">L63*M63*N63</f>
        <v>4800</v>
      </c>
      <c r="Q63" s="24" t="n">
        <v>5</v>
      </c>
      <c r="R63" s="46"/>
      <c r="S63" s="46"/>
      <c r="T63" s="46"/>
      <c r="U63" s="46"/>
      <c r="V63" s="46"/>
      <c r="W63" s="46"/>
      <c r="X63" s="23"/>
      <c r="Y63" s="46"/>
      <c r="Z63" s="46"/>
      <c r="AA63" s="46"/>
      <c r="AB63" s="46"/>
      <c r="AC63" s="46"/>
      <c r="AD63" s="23"/>
    </row>
    <row r="64" customFormat="false" ht="15" hidden="false" customHeight="false" outlineLevel="0" collapsed="false">
      <c r="A64" s="23" t="n">
        <v>4961</v>
      </c>
      <c r="B64" s="23" t="n">
        <v>38882046</v>
      </c>
      <c r="C64" s="23" t="s">
        <v>212</v>
      </c>
      <c r="D64" s="23" t="s">
        <v>213</v>
      </c>
      <c r="E64" s="23" t="s">
        <v>214</v>
      </c>
      <c r="F64" s="23" t="n">
        <v>2024</v>
      </c>
      <c r="G64" s="23" t="s">
        <v>215</v>
      </c>
      <c r="H64" s="23" t="n">
        <v>1</v>
      </c>
      <c r="I64" s="23" t="s">
        <v>32</v>
      </c>
      <c r="J64" s="23" t="s">
        <v>33</v>
      </c>
      <c r="L64" s="23" t="n">
        <v>180</v>
      </c>
      <c r="M64" s="23" t="n">
        <v>1</v>
      </c>
      <c r="N64" s="24" t="n">
        <v>28</v>
      </c>
      <c r="O64" s="24" t="n">
        <f aca="false">N64*L64</f>
        <v>5040</v>
      </c>
      <c r="Q64" s="24" t="n">
        <v>4</v>
      </c>
      <c r="R64" s="46"/>
      <c r="S64" s="46"/>
      <c r="T64" s="46"/>
      <c r="U64" s="46"/>
      <c r="V64" s="46"/>
      <c r="W64" s="46"/>
      <c r="X64" s="23"/>
      <c r="Y64" s="46"/>
      <c r="Z64" s="46"/>
      <c r="AA64" s="46"/>
      <c r="AB64" s="46"/>
      <c r="AC64" s="46"/>
      <c r="AD64" s="23"/>
    </row>
    <row r="65" customFormat="false" ht="15" hidden="false" customHeight="false" outlineLevel="0" collapsed="false">
      <c r="A65" s="23" t="n">
        <v>5014</v>
      </c>
      <c r="B65" s="23" t="n">
        <v>38703343</v>
      </c>
      <c r="C65" s="23" t="s">
        <v>221</v>
      </c>
      <c r="D65" s="23" t="s">
        <v>222</v>
      </c>
      <c r="E65" s="23" t="s">
        <v>223</v>
      </c>
      <c r="F65" s="23" t="n">
        <v>2024</v>
      </c>
      <c r="G65" s="23" t="s">
        <v>224</v>
      </c>
      <c r="H65" s="23" t="n">
        <v>1</v>
      </c>
      <c r="I65" s="23" t="s">
        <v>51</v>
      </c>
      <c r="J65" s="23" t="s">
        <v>33</v>
      </c>
      <c r="K65" s="27" t="s">
        <v>94</v>
      </c>
      <c r="L65" s="23" t="n">
        <v>360</v>
      </c>
      <c r="M65" s="23" t="n">
        <v>1</v>
      </c>
      <c r="N65" s="24" t="n">
        <v>21</v>
      </c>
      <c r="O65" s="24" t="n">
        <f aca="false">N65*L65</f>
        <v>7560</v>
      </c>
      <c r="Q65" s="24" t="n">
        <v>5</v>
      </c>
      <c r="R65" s="46"/>
      <c r="S65" s="46"/>
      <c r="T65" s="46"/>
      <c r="U65" s="46"/>
      <c r="V65" s="46"/>
      <c r="W65" s="46"/>
      <c r="X65" s="23"/>
      <c r="Y65" s="46"/>
      <c r="Z65" s="46"/>
      <c r="AA65" s="46"/>
      <c r="AB65" s="46"/>
      <c r="AC65" s="46"/>
      <c r="AD65" s="23"/>
    </row>
    <row r="66" customFormat="false" ht="15" hidden="false" customHeight="false" outlineLevel="0" collapsed="false">
      <c r="A66" s="23" t="n">
        <v>5068</v>
      </c>
      <c r="C66" s="23" t="s">
        <v>844</v>
      </c>
      <c r="D66" s="23" t="s">
        <v>845</v>
      </c>
      <c r="E66" s="23" t="s">
        <v>846</v>
      </c>
      <c r="F66" s="23" t="n">
        <v>2023</v>
      </c>
      <c r="G66" s="23" t="s">
        <v>847</v>
      </c>
      <c r="H66" s="23" t="n">
        <v>1</v>
      </c>
      <c r="I66" s="23" t="s">
        <v>51</v>
      </c>
      <c r="J66" s="23" t="s">
        <v>33</v>
      </c>
      <c r="K66" s="27" t="s">
        <v>262</v>
      </c>
      <c r="L66" s="23" t="n">
        <v>360</v>
      </c>
      <c r="M66" s="23" t="n">
        <v>1</v>
      </c>
      <c r="N66" s="24" t="n">
        <v>21</v>
      </c>
      <c r="O66" s="24" t="n">
        <f aca="false">L66*M66*N66</f>
        <v>7560</v>
      </c>
      <c r="Q66" s="24" t="n">
        <v>3</v>
      </c>
      <c r="R66" s="46"/>
      <c r="S66" s="46"/>
      <c r="T66" s="46"/>
      <c r="U66" s="46"/>
      <c r="V66" s="46"/>
      <c r="W66" s="46"/>
      <c r="X66" s="23"/>
      <c r="Y66" s="46"/>
      <c r="Z66" s="46"/>
      <c r="AA66" s="46"/>
      <c r="AB66" s="46"/>
      <c r="AC66" s="46"/>
      <c r="AD66" s="23"/>
    </row>
    <row r="67" customFormat="false" ht="15" hidden="false" customHeight="false" outlineLevel="0" collapsed="false">
      <c r="A67" s="23" t="n">
        <v>5108</v>
      </c>
      <c r="C67" s="23" t="s">
        <v>848</v>
      </c>
      <c r="D67" s="23" t="s">
        <v>849</v>
      </c>
      <c r="E67" s="23" t="s">
        <v>850</v>
      </c>
      <c r="F67" s="23" t="n">
        <v>2022</v>
      </c>
      <c r="G67" s="23" t="s">
        <v>851</v>
      </c>
      <c r="H67" s="23" t="n">
        <v>1</v>
      </c>
      <c r="I67" s="23" t="s">
        <v>51</v>
      </c>
      <c r="J67" s="23" t="s">
        <v>33</v>
      </c>
      <c r="L67" s="23" t="n">
        <v>150</v>
      </c>
      <c r="M67" s="23" t="n">
        <v>1</v>
      </c>
      <c r="N67" s="24" t="n">
        <v>21</v>
      </c>
      <c r="O67" s="24" t="n">
        <f aca="false">L67*M67*N67</f>
        <v>3150</v>
      </c>
      <c r="Q67" s="24" t="n">
        <v>10</v>
      </c>
      <c r="R67" s="46"/>
      <c r="S67" s="46"/>
      <c r="T67" s="46"/>
      <c r="U67" s="46"/>
      <c r="V67" s="46"/>
      <c r="W67" s="46"/>
      <c r="X67" s="23"/>
      <c r="Y67" s="46"/>
      <c r="Z67" s="46"/>
      <c r="AA67" s="46"/>
      <c r="AB67" s="46"/>
      <c r="AC67" s="46"/>
      <c r="AD67" s="23"/>
    </row>
    <row r="68" customFormat="false" ht="15" hidden="false" customHeight="false" outlineLevel="0" collapsed="false">
      <c r="A68" s="23" t="n">
        <v>5109</v>
      </c>
      <c r="B68" s="23" t="n">
        <v>36728843</v>
      </c>
      <c r="C68" s="23" t="s">
        <v>227</v>
      </c>
      <c r="D68" s="23" t="s">
        <v>228</v>
      </c>
      <c r="E68" s="23" t="s">
        <v>229</v>
      </c>
      <c r="F68" s="23" t="n">
        <v>2023</v>
      </c>
      <c r="G68" s="23" t="s">
        <v>230</v>
      </c>
      <c r="H68" s="23" t="n">
        <v>1</v>
      </c>
      <c r="I68" s="23" t="s">
        <v>32</v>
      </c>
      <c r="J68" s="23" t="s">
        <v>33</v>
      </c>
      <c r="K68" s="27" t="s">
        <v>231</v>
      </c>
      <c r="L68" s="23" t="n">
        <v>360</v>
      </c>
      <c r="M68" s="23" t="n">
        <v>1</v>
      </c>
      <c r="N68" s="24" t="n">
        <v>28</v>
      </c>
      <c r="O68" s="24" t="n">
        <f aca="false">N68*L68</f>
        <v>10080</v>
      </c>
      <c r="Q68" s="24" t="n">
        <v>5</v>
      </c>
      <c r="R68" s="46"/>
      <c r="S68" s="46"/>
      <c r="T68" s="46"/>
      <c r="U68" s="46"/>
      <c r="V68" s="46"/>
      <c r="W68" s="46"/>
      <c r="X68" s="23"/>
      <c r="Y68" s="46"/>
      <c r="Z68" s="46"/>
      <c r="AA68" s="46"/>
      <c r="AB68" s="46"/>
      <c r="AC68" s="46"/>
      <c r="AD68" s="23"/>
    </row>
    <row r="69" customFormat="false" ht="15" hidden="false" customHeight="false" outlineLevel="0" collapsed="false">
      <c r="A69" s="23" t="n">
        <v>5233</v>
      </c>
      <c r="C69" s="23" t="s">
        <v>852</v>
      </c>
      <c r="D69" s="23" t="s">
        <v>853</v>
      </c>
      <c r="E69" s="23" t="s">
        <v>854</v>
      </c>
      <c r="F69" s="23" t="n">
        <v>2020</v>
      </c>
      <c r="G69" s="23" t="s">
        <v>855</v>
      </c>
      <c r="H69" s="23" t="n">
        <v>1</v>
      </c>
      <c r="I69" s="23" t="s">
        <v>51</v>
      </c>
      <c r="J69" s="23" t="s">
        <v>33</v>
      </c>
      <c r="L69" s="23" t="n">
        <v>360</v>
      </c>
      <c r="M69" s="23" t="n">
        <v>1</v>
      </c>
      <c r="N69" s="24" t="n">
        <v>21</v>
      </c>
      <c r="O69" s="24" t="n">
        <f aca="false">L69*M69*N69</f>
        <v>7560</v>
      </c>
      <c r="Q69" s="24" t="n">
        <v>3</v>
      </c>
      <c r="R69" s="23" t="s">
        <v>35</v>
      </c>
      <c r="S69" s="23" t="n">
        <v>15</v>
      </c>
      <c r="U69" s="23" t="n">
        <v>2.4</v>
      </c>
      <c r="V69" s="23" t="n">
        <v>6</v>
      </c>
      <c r="W69" s="26" t="n">
        <f aca="false">U69*(SQRT(V69))</f>
        <v>5.87877538267963</v>
      </c>
      <c r="X69" s="23"/>
      <c r="Y69" s="23" t="n">
        <v>9</v>
      </c>
      <c r="Z69" s="23" t="n">
        <v>1.5</v>
      </c>
      <c r="AA69" s="23" t="n">
        <v>6</v>
      </c>
      <c r="AB69" s="23" t="n">
        <v>6</v>
      </c>
      <c r="AC69" s="26" t="n">
        <f aca="false">Z69*(SQRT(AB69))</f>
        <v>3.67423461417477</v>
      </c>
      <c r="AD69" s="23"/>
    </row>
    <row r="70" customFormat="false" ht="15" hidden="false" customHeight="false" outlineLevel="0" collapsed="false">
      <c r="A70" s="23" t="n">
        <v>5240</v>
      </c>
      <c r="B70" s="23" t="n">
        <v>29379991</v>
      </c>
      <c r="C70" s="23" t="s">
        <v>244</v>
      </c>
      <c r="D70" s="23" t="s">
        <v>245</v>
      </c>
      <c r="E70" s="23" t="s">
        <v>246</v>
      </c>
      <c r="F70" s="23" t="n">
        <v>2018</v>
      </c>
      <c r="G70" s="23" t="s">
        <v>247</v>
      </c>
      <c r="H70" s="23" t="n">
        <v>1</v>
      </c>
      <c r="I70" s="23" t="s">
        <v>51</v>
      </c>
      <c r="J70" s="23" t="s">
        <v>33</v>
      </c>
      <c r="L70" s="23" t="n">
        <v>240</v>
      </c>
      <c r="M70" s="23" t="n">
        <v>1</v>
      </c>
      <c r="N70" s="24" t="n">
        <v>42</v>
      </c>
      <c r="O70" s="24" t="n">
        <f aca="false">N70*L70</f>
        <v>10080</v>
      </c>
      <c r="Q70" s="24" t="n">
        <v>5</v>
      </c>
      <c r="R70" s="23" t="s">
        <v>77</v>
      </c>
      <c r="S70" s="23" t="n">
        <v>8.8</v>
      </c>
      <c r="T70" s="23" t="s">
        <v>71</v>
      </c>
      <c r="U70" s="23" t="n">
        <v>10</v>
      </c>
      <c r="V70" s="23" t="n">
        <v>10</v>
      </c>
      <c r="W70" s="23" t="n">
        <v>2.2</v>
      </c>
      <c r="X70" s="23"/>
      <c r="Y70" s="23" t="n">
        <v>23.9</v>
      </c>
      <c r="Z70" s="23" t="s">
        <v>71</v>
      </c>
      <c r="AA70" s="23" t="n">
        <v>11</v>
      </c>
      <c r="AB70" s="23" t="n">
        <v>11</v>
      </c>
      <c r="AC70" s="23" t="n">
        <v>11.2</v>
      </c>
      <c r="AD70" s="23"/>
    </row>
    <row r="71" customFormat="false" ht="15" hidden="false" customHeight="false" outlineLevel="0" collapsed="false">
      <c r="A71" s="23" t="n">
        <v>5278</v>
      </c>
      <c r="C71" s="23" t="s">
        <v>699</v>
      </c>
      <c r="D71" s="23" t="s">
        <v>700</v>
      </c>
      <c r="E71" s="23" t="s">
        <v>701</v>
      </c>
      <c r="F71" s="23" t="n">
        <v>2017</v>
      </c>
      <c r="G71" s="23" t="s">
        <v>702</v>
      </c>
      <c r="H71" s="23" t="n">
        <v>1</v>
      </c>
      <c r="I71" s="23" t="s">
        <v>51</v>
      </c>
      <c r="J71" s="23" t="s">
        <v>33</v>
      </c>
      <c r="K71" s="23" t="s">
        <v>41</v>
      </c>
      <c r="L71" s="23" t="n">
        <v>180</v>
      </c>
      <c r="M71" s="23" t="n">
        <v>1</v>
      </c>
      <c r="N71" s="24" t="n">
        <v>14</v>
      </c>
      <c r="O71" s="24" t="n">
        <f aca="false">L71*M71*N71</f>
        <v>2520</v>
      </c>
      <c r="Q71" s="24" t="n">
        <v>5</v>
      </c>
      <c r="R71" s="46"/>
      <c r="S71" s="46"/>
      <c r="T71" s="46"/>
      <c r="U71" s="46"/>
      <c r="V71" s="46"/>
      <c r="W71" s="46"/>
      <c r="X71" s="23"/>
      <c r="Y71" s="46"/>
      <c r="Z71" s="46"/>
      <c r="AA71" s="46"/>
      <c r="AB71" s="46"/>
      <c r="AC71" s="46"/>
      <c r="AD71" s="23"/>
    </row>
    <row r="72" customFormat="false" ht="15" hidden="false" customHeight="false" outlineLevel="0" collapsed="false">
      <c r="A72" s="23" t="n">
        <v>5291</v>
      </c>
      <c r="B72" s="23" t="n">
        <v>31430442</v>
      </c>
      <c r="C72" s="23" t="s">
        <v>856</v>
      </c>
      <c r="D72" s="23" t="s">
        <v>857</v>
      </c>
      <c r="E72" s="23" t="s">
        <v>858</v>
      </c>
      <c r="F72" s="23" t="n">
        <v>2019</v>
      </c>
      <c r="G72" s="23" t="s">
        <v>859</v>
      </c>
      <c r="H72" s="23" t="n">
        <v>1</v>
      </c>
      <c r="I72" s="23" t="s">
        <v>51</v>
      </c>
      <c r="J72" s="23" t="s">
        <v>33</v>
      </c>
      <c r="L72" s="23" t="n">
        <v>180</v>
      </c>
      <c r="M72" s="23" t="n">
        <v>1</v>
      </c>
      <c r="N72" s="24" t="n">
        <v>28</v>
      </c>
      <c r="O72" s="24" t="n">
        <f aca="false">N72*L72</f>
        <v>5040</v>
      </c>
      <c r="Q72" s="24" t="n">
        <v>5</v>
      </c>
      <c r="R72" s="46"/>
      <c r="S72" s="46"/>
      <c r="T72" s="46"/>
      <c r="U72" s="46"/>
      <c r="V72" s="46"/>
      <c r="W72" s="46"/>
      <c r="X72" s="23"/>
      <c r="Y72" s="46"/>
      <c r="Z72" s="46"/>
      <c r="AA72" s="46"/>
      <c r="AB72" s="46"/>
      <c r="AC72" s="46"/>
      <c r="AD72" s="23"/>
    </row>
    <row r="73" customFormat="false" ht="15" hidden="false" customHeight="false" outlineLevel="0" collapsed="false">
      <c r="A73" s="23" t="n">
        <v>5304</v>
      </c>
      <c r="C73" s="23" t="s">
        <v>703</v>
      </c>
      <c r="D73" s="23" t="s">
        <v>704</v>
      </c>
      <c r="E73" s="23" t="s">
        <v>705</v>
      </c>
      <c r="F73" s="23" t="n">
        <v>2017</v>
      </c>
      <c r="H73" s="23" t="n">
        <v>1</v>
      </c>
      <c r="I73" s="23" t="s">
        <v>32</v>
      </c>
      <c r="J73" s="23" t="s">
        <v>33</v>
      </c>
      <c r="L73" s="23" t="n">
        <v>60</v>
      </c>
      <c r="M73" s="23" t="n">
        <v>1</v>
      </c>
      <c r="N73" s="24" t="n">
        <v>16</v>
      </c>
      <c r="O73" s="24" t="n">
        <f aca="false">L73*M73*N73</f>
        <v>960</v>
      </c>
      <c r="P73" s="23" t="s">
        <v>707</v>
      </c>
      <c r="Q73" s="24" t="n">
        <v>10</v>
      </c>
      <c r="R73" s="46"/>
      <c r="S73" s="46"/>
      <c r="T73" s="46"/>
      <c r="U73" s="46"/>
      <c r="V73" s="46"/>
      <c r="W73" s="46"/>
      <c r="X73" s="23"/>
      <c r="Y73" s="46"/>
      <c r="Z73" s="46"/>
      <c r="AA73" s="46"/>
      <c r="AB73" s="46"/>
      <c r="AC73" s="46"/>
      <c r="AD73" s="23"/>
    </row>
    <row r="74" customFormat="false" ht="15" hidden="false" customHeight="false" outlineLevel="0" collapsed="false">
      <c r="A74" s="23" t="n">
        <v>5365</v>
      </c>
      <c r="B74" s="23" t="n">
        <v>27916420</v>
      </c>
      <c r="C74" s="23" t="s">
        <v>252</v>
      </c>
      <c r="D74" s="23" t="s">
        <v>253</v>
      </c>
      <c r="E74" s="23" t="s">
        <v>254</v>
      </c>
      <c r="F74" s="23" t="n">
        <v>2017</v>
      </c>
      <c r="G74" s="23" t="s">
        <v>255</v>
      </c>
      <c r="H74" s="23" t="n">
        <v>1</v>
      </c>
      <c r="I74" s="23" t="s">
        <v>51</v>
      </c>
      <c r="J74" s="23" t="s">
        <v>33</v>
      </c>
      <c r="L74" s="23" t="n">
        <v>240</v>
      </c>
      <c r="M74" s="23" t="n">
        <v>1</v>
      </c>
      <c r="N74" s="24" t="n">
        <v>42</v>
      </c>
      <c r="O74" s="24" t="n">
        <f aca="false">N74*L74</f>
        <v>10080</v>
      </c>
      <c r="Q74" s="24" t="n">
        <v>5</v>
      </c>
      <c r="R74" s="23" t="s">
        <v>77</v>
      </c>
      <c r="S74" s="23" t="n">
        <v>9</v>
      </c>
      <c r="T74" s="23" t="n">
        <v>2.3</v>
      </c>
      <c r="U74" s="23" t="n">
        <v>12</v>
      </c>
      <c r="V74" s="23" t="n">
        <v>12</v>
      </c>
      <c r="W74" s="26" t="n">
        <f aca="false">T74*(SQRT(V74))</f>
        <v>7.96743371481684</v>
      </c>
      <c r="X74" s="23"/>
      <c r="Y74" s="23" t="n">
        <v>24</v>
      </c>
      <c r="Z74" s="23" t="n">
        <v>3.2</v>
      </c>
      <c r="AA74" s="23" t="n">
        <v>12</v>
      </c>
      <c r="AB74" s="23" t="n">
        <v>12</v>
      </c>
      <c r="AC74" s="26" t="n">
        <f aca="false">Z74*(SQRT(AB74))</f>
        <v>11.0851251684408</v>
      </c>
      <c r="AD74" s="23"/>
    </row>
    <row r="75" customFormat="false" ht="15" hidden="false" customHeight="false" outlineLevel="0" collapsed="false">
      <c r="A75" s="23" t="n">
        <v>5366</v>
      </c>
      <c r="B75" s="23" t="n">
        <v>33052137</v>
      </c>
      <c r="C75" s="23" t="s">
        <v>860</v>
      </c>
      <c r="D75" s="23" t="s">
        <v>861</v>
      </c>
      <c r="E75" s="23" t="s">
        <v>862</v>
      </c>
      <c r="F75" s="23" t="n">
        <v>2020</v>
      </c>
      <c r="G75" s="23" t="s">
        <v>863</v>
      </c>
      <c r="H75" s="23" t="n">
        <v>1</v>
      </c>
      <c r="I75" s="23" t="s">
        <v>32</v>
      </c>
      <c r="J75" s="23" t="s">
        <v>33</v>
      </c>
      <c r="L75" s="23" t="n">
        <v>180</v>
      </c>
      <c r="M75" s="23" t="n">
        <v>1</v>
      </c>
      <c r="N75" s="24" t="n">
        <v>21</v>
      </c>
      <c r="O75" s="24" t="n">
        <f aca="false">N75*L75</f>
        <v>3780</v>
      </c>
      <c r="Q75" s="24" t="n">
        <v>5</v>
      </c>
      <c r="R75" s="46"/>
      <c r="S75" s="46"/>
      <c r="T75" s="46"/>
      <c r="U75" s="46"/>
      <c r="V75" s="46"/>
      <c r="W75" s="46"/>
      <c r="X75" s="23"/>
      <c r="Y75" s="46"/>
      <c r="Z75" s="46"/>
      <c r="AA75" s="46"/>
      <c r="AB75" s="46"/>
      <c r="AC75" s="46"/>
      <c r="AD75" s="23"/>
    </row>
    <row r="76" customFormat="false" ht="16.4" hidden="false" customHeight="false" outlineLevel="0" collapsed="false">
      <c r="A76" s="23" t="n">
        <v>5610</v>
      </c>
      <c r="C76" s="41" t="s">
        <v>269</v>
      </c>
      <c r="D76" s="41" t="s">
        <v>864</v>
      </c>
      <c r="E76" s="41" t="s">
        <v>271</v>
      </c>
      <c r="F76" s="41" t="n">
        <v>2025</v>
      </c>
      <c r="G76" s="42" t="s">
        <v>272</v>
      </c>
      <c r="H76" s="23" t="n">
        <v>1</v>
      </c>
      <c r="I76" s="23" t="s">
        <v>51</v>
      </c>
      <c r="J76" s="23" t="s">
        <v>33</v>
      </c>
      <c r="L76" s="23" t="n">
        <v>480</v>
      </c>
      <c r="M76" s="23" t="n">
        <v>1</v>
      </c>
      <c r="N76" s="24" t="n">
        <v>14</v>
      </c>
      <c r="O76" s="24" t="n">
        <f aca="false">L76*M76*N76</f>
        <v>6720</v>
      </c>
      <c r="Q76" s="24" t="n">
        <v>10</v>
      </c>
      <c r="R76" s="46"/>
      <c r="S76" s="46"/>
      <c r="T76" s="46"/>
      <c r="U76" s="46"/>
      <c r="V76" s="46"/>
      <c r="W76" s="46"/>
      <c r="X76" s="23"/>
      <c r="Y76" s="46"/>
      <c r="Z76" s="46"/>
      <c r="AA76" s="46"/>
      <c r="AB76" s="46"/>
      <c r="AC76" s="46"/>
      <c r="AD76" s="23"/>
    </row>
    <row r="77" customFormat="false" ht="15" hidden="false" customHeight="false" outlineLevel="0" collapsed="false">
      <c r="A77" s="23" t="n">
        <v>5623</v>
      </c>
      <c r="B77" s="23" t="n">
        <v>36100011</v>
      </c>
      <c r="C77" s="23" t="s">
        <v>274</v>
      </c>
      <c r="D77" s="23" t="s">
        <v>275</v>
      </c>
      <c r="E77" s="23" t="s">
        <v>276</v>
      </c>
      <c r="F77" s="23" t="n">
        <v>2023</v>
      </c>
      <c r="G77" s="23" t="s">
        <v>277</v>
      </c>
      <c r="H77" s="23" t="n">
        <v>1</v>
      </c>
      <c r="I77" s="23" t="s">
        <v>32</v>
      </c>
      <c r="J77" s="23" t="s">
        <v>33</v>
      </c>
      <c r="K77" s="27" t="n">
        <v>6</v>
      </c>
      <c r="L77" s="23" t="n">
        <v>360</v>
      </c>
      <c r="M77" s="23" t="n">
        <v>1</v>
      </c>
      <c r="N77" s="24" t="n">
        <v>21</v>
      </c>
      <c r="O77" s="24" t="n">
        <f aca="false">N77*L77</f>
        <v>7560</v>
      </c>
      <c r="Q77" s="24" t="n">
        <v>15</v>
      </c>
      <c r="R77" s="46"/>
      <c r="S77" s="46"/>
      <c r="T77" s="46"/>
      <c r="U77" s="46"/>
      <c r="V77" s="46"/>
      <c r="W77" s="46"/>
      <c r="X77" s="23"/>
      <c r="Y77" s="46"/>
      <c r="Z77" s="46"/>
      <c r="AA77" s="46"/>
      <c r="AB77" s="46"/>
      <c r="AC77" s="46"/>
      <c r="AD77" s="23"/>
    </row>
    <row r="78" customFormat="false" ht="15" hidden="false" customHeight="false" outlineLevel="0" collapsed="false">
      <c r="A78" s="23" t="n">
        <v>5627</v>
      </c>
      <c r="C78" s="23" t="s">
        <v>279</v>
      </c>
      <c r="D78" s="23" t="s">
        <v>280</v>
      </c>
      <c r="E78" s="23" t="s">
        <v>281</v>
      </c>
      <c r="F78" s="23" t="n">
        <v>2019</v>
      </c>
      <c r="G78" s="23" t="s">
        <v>282</v>
      </c>
      <c r="H78" s="23" t="n">
        <v>1</v>
      </c>
      <c r="I78" s="23" t="s">
        <v>51</v>
      </c>
      <c r="J78" s="23" t="s">
        <v>33</v>
      </c>
      <c r="K78" s="27" t="s">
        <v>36</v>
      </c>
      <c r="L78" s="23" t="n">
        <v>360</v>
      </c>
      <c r="M78" s="23" t="n">
        <v>1</v>
      </c>
      <c r="N78" s="24" t="n">
        <v>21</v>
      </c>
      <c r="O78" s="24" t="n">
        <f aca="false">L78*M78*N78</f>
        <v>7560</v>
      </c>
      <c r="Q78" s="24" t="n">
        <v>3</v>
      </c>
      <c r="R78" s="46"/>
      <c r="S78" s="46"/>
      <c r="T78" s="46"/>
      <c r="U78" s="46"/>
      <c r="V78" s="46"/>
      <c r="W78" s="46"/>
      <c r="X78" s="23"/>
      <c r="Y78" s="46"/>
      <c r="Z78" s="46"/>
      <c r="AA78" s="46"/>
      <c r="AB78" s="46"/>
      <c r="AC78" s="46"/>
      <c r="AD78" s="23"/>
    </row>
    <row r="79" customFormat="false" ht="15" hidden="false" customHeight="false" outlineLevel="0" collapsed="false">
      <c r="A79" s="37" t="n">
        <v>5638</v>
      </c>
      <c r="B79" s="37" t="n">
        <v>38655362</v>
      </c>
      <c r="C79" s="37" t="s">
        <v>531</v>
      </c>
      <c r="D79" s="37" t="s">
        <v>532</v>
      </c>
      <c r="E79" s="37" t="s">
        <v>533</v>
      </c>
      <c r="F79" s="37" t="n">
        <v>2024</v>
      </c>
      <c r="G79" s="37" t="s">
        <v>534</v>
      </c>
      <c r="H79" s="23" t="n">
        <v>1</v>
      </c>
      <c r="I79" s="23" t="s">
        <v>32</v>
      </c>
      <c r="J79" s="23" t="s">
        <v>33</v>
      </c>
      <c r="L79" s="23" t="n">
        <v>360</v>
      </c>
      <c r="M79" s="23" t="n">
        <v>1</v>
      </c>
      <c r="N79" s="45" t="n">
        <v>7</v>
      </c>
      <c r="O79" s="24" t="n">
        <f aca="false">N79*L79</f>
        <v>2520</v>
      </c>
      <c r="P79" s="23" t="s">
        <v>865</v>
      </c>
      <c r="Q79" s="24" t="n">
        <v>3</v>
      </c>
      <c r="R79" s="23" t="s">
        <v>278</v>
      </c>
      <c r="S79" s="23" t="n">
        <v>5</v>
      </c>
      <c r="T79" s="23" t="s">
        <v>71</v>
      </c>
      <c r="U79" s="23" t="n">
        <v>11</v>
      </c>
      <c r="V79" s="23" t="n">
        <v>11</v>
      </c>
      <c r="W79" s="23" t="n">
        <v>3.4</v>
      </c>
      <c r="X79" s="23"/>
      <c r="Y79" s="23" t="n">
        <v>2.9</v>
      </c>
      <c r="Z79" s="23" t="s">
        <v>71</v>
      </c>
      <c r="AA79" s="23" t="n">
        <v>11</v>
      </c>
      <c r="AB79" s="23" t="n">
        <v>11</v>
      </c>
      <c r="AC79" s="23" t="n">
        <v>1.5</v>
      </c>
      <c r="AD79" s="23"/>
    </row>
    <row r="80" customFormat="false" ht="15" hidden="false" customHeight="false" outlineLevel="0" collapsed="false">
      <c r="A80" s="37" t="n">
        <v>5638</v>
      </c>
      <c r="B80" s="37" t="n">
        <v>38655362</v>
      </c>
      <c r="C80" s="37" t="s">
        <v>531</v>
      </c>
      <c r="D80" s="37" t="s">
        <v>532</v>
      </c>
      <c r="E80" s="37" t="s">
        <v>533</v>
      </c>
      <c r="F80" s="37" t="n">
        <v>2024</v>
      </c>
      <c r="G80" s="37" t="s">
        <v>534</v>
      </c>
      <c r="H80" s="23" t="n">
        <v>1</v>
      </c>
      <c r="I80" s="23" t="s">
        <v>32</v>
      </c>
      <c r="J80" s="23" t="s">
        <v>33</v>
      </c>
      <c r="L80" s="23" t="n">
        <v>360</v>
      </c>
      <c r="M80" s="23" t="n">
        <v>1</v>
      </c>
      <c r="N80" s="45" t="n">
        <v>14</v>
      </c>
      <c r="O80" s="24" t="n">
        <f aca="false">N80*L80</f>
        <v>5040</v>
      </c>
      <c r="P80" s="23" t="s">
        <v>865</v>
      </c>
      <c r="Q80" s="24" t="n">
        <v>3</v>
      </c>
      <c r="R80" s="23" t="s">
        <v>278</v>
      </c>
      <c r="S80" s="23" t="n">
        <v>5</v>
      </c>
      <c r="T80" s="23" t="s">
        <v>71</v>
      </c>
      <c r="U80" s="23" t="n">
        <v>11</v>
      </c>
      <c r="V80" s="23" t="n">
        <v>11</v>
      </c>
      <c r="W80" s="23" t="n">
        <v>3.4</v>
      </c>
      <c r="X80" s="23"/>
      <c r="Y80" s="23" t="n">
        <v>1.4</v>
      </c>
      <c r="Z80" s="23" t="s">
        <v>71</v>
      </c>
      <c r="AA80" s="23" t="n">
        <v>11</v>
      </c>
      <c r="AB80" s="23" t="n">
        <v>11</v>
      </c>
      <c r="AC80" s="23" t="n">
        <v>0.6</v>
      </c>
      <c r="AD80" s="23"/>
    </row>
    <row r="81" customFormat="false" ht="15" hidden="false" customHeight="false" outlineLevel="0" collapsed="false">
      <c r="A81" s="37" t="n">
        <v>5638</v>
      </c>
      <c r="B81" s="37" t="n">
        <v>38655362</v>
      </c>
      <c r="C81" s="37" t="s">
        <v>531</v>
      </c>
      <c r="D81" s="37" t="s">
        <v>532</v>
      </c>
      <c r="E81" s="37" t="s">
        <v>533</v>
      </c>
      <c r="F81" s="37" t="n">
        <v>2024</v>
      </c>
      <c r="G81" s="37" t="s">
        <v>534</v>
      </c>
      <c r="H81" s="23" t="n">
        <v>1</v>
      </c>
      <c r="I81" s="23" t="s">
        <v>32</v>
      </c>
      <c r="J81" s="23" t="s">
        <v>33</v>
      </c>
      <c r="L81" s="23" t="n">
        <v>360</v>
      </c>
      <c r="M81" s="23" t="n">
        <v>1</v>
      </c>
      <c r="N81" s="45" t="n">
        <v>21</v>
      </c>
      <c r="O81" s="24" t="n">
        <f aca="false">N81*L81</f>
        <v>7560</v>
      </c>
      <c r="P81" s="23" t="s">
        <v>865</v>
      </c>
      <c r="Q81" s="24" t="n">
        <v>3</v>
      </c>
      <c r="R81" s="23" t="s">
        <v>278</v>
      </c>
      <c r="S81" s="23" t="n">
        <v>5</v>
      </c>
      <c r="T81" s="23" t="s">
        <v>71</v>
      </c>
      <c r="U81" s="23" t="n">
        <v>11</v>
      </c>
      <c r="V81" s="23" t="n">
        <v>11</v>
      </c>
      <c r="W81" s="23" t="n">
        <v>3.4</v>
      </c>
      <c r="X81" s="23"/>
      <c r="Y81" s="23" t="n">
        <v>0.2</v>
      </c>
      <c r="Z81" s="23" t="s">
        <v>71</v>
      </c>
      <c r="AA81" s="23" t="n">
        <v>11</v>
      </c>
      <c r="AB81" s="23" t="n">
        <v>11</v>
      </c>
      <c r="AC81" s="23" t="n">
        <v>0.1</v>
      </c>
      <c r="AD81" s="23"/>
    </row>
    <row r="82" customFormat="false" ht="15" hidden="false" customHeight="false" outlineLevel="0" collapsed="false">
      <c r="A82" s="23" t="n">
        <v>5687</v>
      </c>
      <c r="C82" s="23" t="s">
        <v>284</v>
      </c>
      <c r="D82" s="23" t="s">
        <v>285</v>
      </c>
      <c r="E82" s="23" t="s">
        <v>286</v>
      </c>
      <c r="F82" s="23" t="n">
        <v>2022</v>
      </c>
      <c r="G82" s="23" t="s">
        <v>287</v>
      </c>
      <c r="H82" s="23" t="n">
        <v>1</v>
      </c>
      <c r="I82" s="23" t="s">
        <v>32</v>
      </c>
      <c r="J82" s="23" t="s">
        <v>97</v>
      </c>
      <c r="K82" s="27" t="s">
        <v>84</v>
      </c>
      <c r="L82" s="23" t="n">
        <v>450</v>
      </c>
      <c r="M82" s="23" t="n">
        <v>1</v>
      </c>
      <c r="N82" s="24" t="n">
        <v>21</v>
      </c>
      <c r="O82" s="24" t="n">
        <f aca="false">L82*M82*N82</f>
        <v>9450</v>
      </c>
      <c r="P82" s="23" t="s">
        <v>288</v>
      </c>
      <c r="Q82" s="24" t="n">
        <v>5</v>
      </c>
      <c r="R82" s="23" t="s">
        <v>866</v>
      </c>
      <c r="S82" s="46"/>
      <c r="T82" s="46"/>
      <c r="U82" s="46"/>
      <c r="V82" s="46"/>
      <c r="W82" s="46"/>
      <c r="X82" s="23"/>
      <c r="Y82" s="46"/>
      <c r="Z82" s="46"/>
      <c r="AA82" s="46"/>
      <c r="AB82" s="46"/>
      <c r="AC82" s="46"/>
      <c r="AD82" s="23"/>
    </row>
    <row r="83" customFormat="false" ht="15" hidden="false" customHeight="false" outlineLevel="0" collapsed="false">
      <c r="A83" s="23" t="n">
        <v>5697</v>
      </c>
      <c r="C83" s="23" t="s">
        <v>867</v>
      </c>
      <c r="D83" s="23" t="s">
        <v>868</v>
      </c>
      <c r="E83" s="23" t="s">
        <v>156</v>
      </c>
      <c r="F83" s="23" t="n">
        <v>2025</v>
      </c>
      <c r="G83" s="23" t="s">
        <v>869</v>
      </c>
      <c r="H83" s="23" t="n">
        <v>1</v>
      </c>
      <c r="I83" s="23" t="s">
        <v>51</v>
      </c>
      <c r="J83" s="23" t="s">
        <v>33</v>
      </c>
      <c r="L83" s="23" t="n">
        <v>360</v>
      </c>
      <c r="M83" s="23" t="n">
        <v>1</v>
      </c>
      <c r="N83" s="24" t="n">
        <v>21</v>
      </c>
      <c r="O83" s="24" t="n">
        <f aca="false">L83*M83*N83</f>
        <v>7560</v>
      </c>
      <c r="Q83" s="24" t="n">
        <v>5</v>
      </c>
      <c r="R83" s="46"/>
      <c r="S83" s="46"/>
      <c r="T83" s="46"/>
      <c r="U83" s="46"/>
      <c r="V83" s="46"/>
      <c r="W83" s="46"/>
      <c r="X83" s="23"/>
      <c r="Y83" s="46"/>
      <c r="Z83" s="46"/>
      <c r="AA83" s="46"/>
      <c r="AB83" s="46"/>
      <c r="AC83" s="46"/>
      <c r="AD83" s="23"/>
    </row>
    <row r="84" customFormat="false" ht="15" hidden="false" customHeight="false" outlineLevel="0" collapsed="false">
      <c r="A84" s="23" t="n">
        <v>5729</v>
      </c>
      <c r="B84" s="23" t="n">
        <v>39214423</v>
      </c>
      <c r="C84" s="23" t="s">
        <v>713</v>
      </c>
      <c r="D84" s="23" t="s">
        <v>714</v>
      </c>
      <c r="E84" s="23" t="s">
        <v>276</v>
      </c>
      <c r="F84" s="23" t="n">
        <v>2024</v>
      </c>
      <c r="G84" s="23" t="s">
        <v>715</v>
      </c>
      <c r="H84" s="23" t="n">
        <v>1</v>
      </c>
      <c r="I84" s="23" t="s">
        <v>32</v>
      </c>
      <c r="J84" s="23" t="s">
        <v>33</v>
      </c>
      <c r="L84" s="23" t="n">
        <v>360</v>
      </c>
      <c r="M84" s="23" t="n">
        <v>1</v>
      </c>
      <c r="N84" s="24" t="n">
        <v>28</v>
      </c>
      <c r="O84" s="24" t="n">
        <f aca="false">N84*L84</f>
        <v>10080</v>
      </c>
      <c r="Q84" s="24" t="n">
        <v>5</v>
      </c>
      <c r="R84" s="23" t="s">
        <v>70</v>
      </c>
      <c r="S84" s="23" t="n">
        <v>22</v>
      </c>
      <c r="T84" s="23" t="n">
        <v>1.5</v>
      </c>
      <c r="U84" s="23" t="n">
        <v>6</v>
      </c>
      <c r="V84" s="23" t="n">
        <v>6</v>
      </c>
      <c r="W84" s="26" t="n">
        <f aca="false">T84*(SQRT(V84))</f>
        <v>3.67423461417477</v>
      </c>
      <c r="X84" s="23"/>
      <c r="Y84" s="23" t="n">
        <v>7.6</v>
      </c>
      <c r="Z84" s="23" t="n">
        <v>1</v>
      </c>
      <c r="AA84" s="23" t="n">
        <v>6</v>
      </c>
      <c r="AB84" s="23" t="n">
        <v>6</v>
      </c>
      <c r="AC84" s="26" t="n">
        <f aca="false">Z84*(SQRT(AB84))</f>
        <v>2.44948974278318</v>
      </c>
      <c r="AD84" s="23"/>
    </row>
    <row r="85" customFormat="false" ht="15" hidden="false" customHeight="false" outlineLevel="0" collapsed="false">
      <c r="A85" s="23" t="n">
        <v>5748</v>
      </c>
      <c r="C85" s="23" t="s">
        <v>293</v>
      </c>
      <c r="D85" s="23" t="s">
        <v>294</v>
      </c>
      <c r="E85" s="23" t="s">
        <v>295</v>
      </c>
      <c r="F85" s="23" t="n">
        <v>2021</v>
      </c>
      <c r="G85" s="23" t="s">
        <v>296</v>
      </c>
      <c r="H85" s="23" t="n">
        <v>1</v>
      </c>
      <c r="I85" s="23" t="s">
        <v>51</v>
      </c>
      <c r="J85" s="23" t="s">
        <v>33</v>
      </c>
      <c r="L85" s="23" t="n">
        <v>360</v>
      </c>
      <c r="M85" s="23" t="n">
        <v>1</v>
      </c>
      <c r="N85" s="24" t="n">
        <v>21</v>
      </c>
      <c r="O85" s="24" t="n">
        <f aca="false">L85*M85*N85</f>
        <v>7560</v>
      </c>
      <c r="Q85" s="24" t="n">
        <v>5</v>
      </c>
      <c r="R85" s="23" t="s">
        <v>639</v>
      </c>
      <c r="S85" s="23" t="n">
        <v>19</v>
      </c>
      <c r="T85" s="23" t="n">
        <v>1.4</v>
      </c>
      <c r="U85" s="23" t="n">
        <v>5</v>
      </c>
      <c r="V85" s="23" t="n">
        <v>5</v>
      </c>
      <c r="W85" s="26" t="n">
        <f aca="false">T85*(SQRT(V85))</f>
        <v>3.13049516849971</v>
      </c>
      <c r="X85" s="23"/>
      <c r="Y85" s="23" t="n">
        <v>4.5</v>
      </c>
      <c r="Z85" s="23" t="n">
        <v>1.8</v>
      </c>
      <c r="AA85" s="23" t="n">
        <v>5</v>
      </c>
      <c r="AB85" s="23" t="n">
        <v>5</v>
      </c>
      <c r="AC85" s="26" t="n">
        <f aca="false">Z85*(SQRT(AB85))</f>
        <v>4.02492235949962</v>
      </c>
      <c r="AD85" s="23"/>
    </row>
    <row r="86" customFormat="false" ht="15" hidden="false" customHeight="false" outlineLevel="0" collapsed="false">
      <c r="A86" s="23" t="n">
        <v>5759</v>
      </c>
      <c r="C86" s="23" t="s">
        <v>719</v>
      </c>
      <c r="D86" s="23" t="s">
        <v>720</v>
      </c>
      <c r="E86" s="23" t="s">
        <v>74</v>
      </c>
      <c r="F86" s="23" t="n">
        <v>2022</v>
      </c>
      <c r="G86" s="23" t="s">
        <v>721</v>
      </c>
      <c r="H86" s="23" t="n">
        <v>1</v>
      </c>
      <c r="I86" s="23" t="s">
        <v>51</v>
      </c>
      <c r="J86" s="23" t="s">
        <v>33</v>
      </c>
      <c r="L86" s="23" t="n">
        <v>20</v>
      </c>
      <c r="M86" s="23" t="n">
        <v>1</v>
      </c>
      <c r="N86" s="24" t="n">
        <v>14</v>
      </c>
      <c r="O86" s="24" t="n">
        <f aca="false">L86*M86*N86</f>
        <v>280</v>
      </c>
      <c r="Q86" s="24" t="n">
        <v>30</v>
      </c>
      <c r="R86" s="23" t="s">
        <v>417</v>
      </c>
      <c r="S86" s="23" t="n">
        <v>52</v>
      </c>
      <c r="T86" s="23" t="n">
        <v>6</v>
      </c>
      <c r="U86" s="23" t="n">
        <v>12</v>
      </c>
      <c r="V86" s="23" t="n">
        <v>12</v>
      </c>
      <c r="W86" s="26" t="n">
        <f aca="false">T86*(SQRT(V86))</f>
        <v>20.7846096908265</v>
      </c>
      <c r="X86" s="23"/>
      <c r="Y86" s="23" t="n">
        <v>30</v>
      </c>
      <c r="Z86" s="23" t="n">
        <v>4</v>
      </c>
      <c r="AA86" s="23" t="n">
        <v>12</v>
      </c>
      <c r="AB86" s="23" t="n">
        <v>12</v>
      </c>
      <c r="AC86" s="26" t="n">
        <f aca="false">Z86*(SQRT(AB86))</f>
        <v>13.856406460551</v>
      </c>
      <c r="AD86" s="23"/>
    </row>
    <row r="87" customFormat="false" ht="15" hidden="false" customHeight="false" outlineLevel="0" collapsed="false">
      <c r="A87" s="23" t="n">
        <v>5966</v>
      </c>
      <c r="C87" s="23" t="s">
        <v>870</v>
      </c>
      <c r="D87" s="23" t="s">
        <v>871</v>
      </c>
      <c r="E87" s="23" t="s">
        <v>846</v>
      </c>
      <c r="F87" s="23" t="n">
        <v>2022</v>
      </c>
      <c r="G87" s="23" t="s">
        <v>872</v>
      </c>
      <c r="H87" s="23" t="n">
        <v>1</v>
      </c>
      <c r="I87" s="23" t="s">
        <v>51</v>
      </c>
      <c r="J87" s="23" t="s">
        <v>33</v>
      </c>
      <c r="K87" s="27" t="s">
        <v>262</v>
      </c>
      <c r="L87" s="23" t="n">
        <v>360</v>
      </c>
      <c r="M87" s="23" t="n">
        <v>1</v>
      </c>
      <c r="N87" s="24" t="n">
        <v>21</v>
      </c>
      <c r="O87" s="24" t="n">
        <f aca="false">L87*M87*N87</f>
        <v>7560</v>
      </c>
      <c r="Q87" s="24" t="n">
        <v>3</v>
      </c>
      <c r="R87" s="23" t="s">
        <v>52</v>
      </c>
      <c r="S87" s="23" t="n">
        <v>29</v>
      </c>
      <c r="T87" s="23" t="s">
        <v>71</v>
      </c>
      <c r="U87" s="23" t="n">
        <v>9</v>
      </c>
      <c r="V87" s="23" t="n">
        <v>9</v>
      </c>
      <c r="W87" s="23" t="n">
        <v>2.5</v>
      </c>
      <c r="X87" s="23"/>
      <c r="Y87" s="23" t="n">
        <v>8.4</v>
      </c>
      <c r="Z87" s="23" t="s">
        <v>71</v>
      </c>
      <c r="AA87" s="23" t="n">
        <v>9</v>
      </c>
      <c r="AB87" s="23" t="n">
        <v>9</v>
      </c>
      <c r="AC87" s="23" t="n">
        <v>1.2</v>
      </c>
      <c r="AD87" s="23"/>
    </row>
    <row r="88" customFormat="false" ht="15" hidden="false" customHeight="false" outlineLevel="0" collapsed="false">
      <c r="A88" s="37" t="n">
        <v>5993</v>
      </c>
      <c r="B88" s="37" t="n">
        <v>41113223</v>
      </c>
      <c r="C88" s="37" t="s">
        <v>302</v>
      </c>
      <c r="D88" s="37" t="s">
        <v>303</v>
      </c>
      <c r="E88" s="37" t="s">
        <v>304</v>
      </c>
      <c r="F88" s="37" t="n">
        <v>2025</v>
      </c>
      <c r="G88" s="37" t="s">
        <v>305</v>
      </c>
      <c r="H88" s="23" t="n">
        <v>1</v>
      </c>
      <c r="I88" s="23" t="s">
        <v>51</v>
      </c>
      <c r="J88" s="23" t="s">
        <v>33</v>
      </c>
      <c r="K88" s="27" t="s">
        <v>61</v>
      </c>
      <c r="L88" s="23" t="n">
        <v>180</v>
      </c>
      <c r="M88" s="23" t="n">
        <v>1</v>
      </c>
      <c r="N88" s="45" t="n">
        <v>7</v>
      </c>
      <c r="O88" s="24" t="n">
        <f aca="false">L88*M88*N88</f>
        <v>1260</v>
      </c>
      <c r="Q88" s="24" t="n">
        <v>10</v>
      </c>
      <c r="R88" s="46"/>
      <c r="S88" s="46"/>
      <c r="T88" s="46"/>
      <c r="U88" s="46"/>
      <c r="V88" s="46"/>
      <c r="W88" s="46"/>
      <c r="X88" s="23"/>
      <c r="Y88" s="46"/>
      <c r="Z88" s="46"/>
      <c r="AA88" s="46"/>
      <c r="AB88" s="46"/>
      <c r="AC88" s="46"/>
      <c r="AD88" s="23"/>
    </row>
    <row r="89" customFormat="false" ht="15" hidden="false" customHeight="false" outlineLevel="0" collapsed="false">
      <c r="A89" s="37" t="n">
        <v>5993</v>
      </c>
      <c r="B89" s="37" t="n">
        <v>41113223</v>
      </c>
      <c r="C89" s="37" t="s">
        <v>302</v>
      </c>
      <c r="D89" s="37" t="s">
        <v>303</v>
      </c>
      <c r="E89" s="37" t="s">
        <v>304</v>
      </c>
      <c r="F89" s="37" t="n">
        <v>2025</v>
      </c>
      <c r="G89" s="37" t="s">
        <v>305</v>
      </c>
      <c r="H89" s="23" t="n">
        <v>1</v>
      </c>
      <c r="I89" s="23" t="s">
        <v>51</v>
      </c>
      <c r="J89" s="23" t="s">
        <v>33</v>
      </c>
      <c r="K89" s="27" t="s">
        <v>61</v>
      </c>
      <c r="L89" s="23" t="n">
        <v>180</v>
      </c>
      <c r="M89" s="23" t="n">
        <v>1</v>
      </c>
      <c r="N89" s="45" t="n">
        <v>14</v>
      </c>
      <c r="O89" s="24" t="n">
        <f aca="false">L89*M89*N89</f>
        <v>2520</v>
      </c>
      <c r="Q89" s="24" t="n">
        <v>10</v>
      </c>
      <c r="R89" s="46"/>
      <c r="S89" s="46"/>
      <c r="T89" s="46"/>
      <c r="U89" s="46"/>
      <c r="V89" s="46"/>
      <c r="W89" s="46"/>
      <c r="X89" s="23"/>
      <c r="Y89" s="46"/>
      <c r="Z89" s="46"/>
      <c r="AA89" s="46"/>
      <c r="AB89" s="46"/>
      <c r="AC89" s="46"/>
      <c r="AD89" s="23"/>
    </row>
    <row r="90" customFormat="false" ht="15" hidden="false" customHeight="false" outlineLevel="0" collapsed="false">
      <c r="A90" s="37" t="n">
        <v>5993</v>
      </c>
      <c r="B90" s="37" t="n">
        <v>41113223</v>
      </c>
      <c r="C90" s="37" t="s">
        <v>302</v>
      </c>
      <c r="D90" s="37" t="s">
        <v>303</v>
      </c>
      <c r="E90" s="37" t="s">
        <v>304</v>
      </c>
      <c r="F90" s="37" t="n">
        <v>2025</v>
      </c>
      <c r="G90" s="37" t="s">
        <v>305</v>
      </c>
      <c r="H90" s="23" t="n">
        <v>1</v>
      </c>
      <c r="I90" s="23" t="s">
        <v>51</v>
      </c>
      <c r="J90" s="23" t="s">
        <v>33</v>
      </c>
      <c r="K90" s="27" t="s">
        <v>61</v>
      </c>
      <c r="L90" s="23" t="n">
        <v>180</v>
      </c>
      <c r="M90" s="23" t="n">
        <v>1</v>
      </c>
      <c r="N90" s="45" t="n">
        <v>28</v>
      </c>
      <c r="O90" s="24" t="n">
        <f aca="false">L90*M90*N90</f>
        <v>5040</v>
      </c>
      <c r="Q90" s="24" t="n">
        <v>10</v>
      </c>
      <c r="R90" s="46"/>
      <c r="S90" s="46"/>
      <c r="T90" s="46"/>
      <c r="U90" s="46"/>
      <c r="V90" s="46"/>
      <c r="W90" s="46"/>
      <c r="X90" s="23"/>
      <c r="Y90" s="46"/>
      <c r="Z90" s="46"/>
      <c r="AA90" s="46"/>
      <c r="AB90" s="46"/>
      <c r="AC90" s="46"/>
      <c r="AD90" s="23"/>
    </row>
    <row r="91" customFormat="false" ht="15" hidden="false" customHeight="false" outlineLevel="0" collapsed="false">
      <c r="A91" s="23" t="n">
        <v>6148</v>
      </c>
      <c r="C91" s="23" t="s">
        <v>728</v>
      </c>
      <c r="D91" s="23" t="s">
        <v>729</v>
      </c>
      <c r="E91" s="23" t="s">
        <v>730</v>
      </c>
      <c r="F91" s="23" t="n">
        <v>2018</v>
      </c>
      <c r="G91" s="23" t="s">
        <v>731</v>
      </c>
      <c r="H91" s="23" t="n">
        <v>1</v>
      </c>
      <c r="I91" s="23" t="s">
        <v>51</v>
      </c>
      <c r="J91" s="23" t="s">
        <v>33</v>
      </c>
      <c r="K91" s="27" t="s">
        <v>732</v>
      </c>
      <c r="L91" s="23" t="n">
        <v>120</v>
      </c>
      <c r="M91" s="23" t="n">
        <v>1</v>
      </c>
      <c r="N91" s="24" t="n">
        <v>10</v>
      </c>
      <c r="O91" s="24" t="n">
        <f aca="false">L91*M91*N91</f>
        <v>1200</v>
      </c>
      <c r="Q91" s="24" t="n">
        <v>5</v>
      </c>
      <c r="R91" s="46"/>
      <c r="S91" s="46"/>
      <c r="T91" s="46"/>
      <c r="U91" s="46"/>
      <c r="V91" s="46"/>
      <c r="W91" s="46"/>
      <c r="X91" s="23"/>
      <c r="Y91" s="46"/>
      <c r="Z91" s="46"/>
      <c r="AA91" s="46"/>
      <c r="AB91" s="46"/>
      <c r="AC91" s="46"/>
      <c r="AD91" s="23"/>
    </row>
    <row r="92" customFormat="false" ht="15" hidden="false" customHeight="false" outlineLevel="0" collapsed="false">
      <c r="A92" s="23" t="n">
        <v>6180</v>
      </c>
      <c r="C92" s="23" t="s">
        <v>734</v>
      </c>
      <c r="D92" s="23" t="s">
        <v>735</v>
      </c>
      <c r="E92" s="23" t="s">
        <v>736</v>
      </c>
      <c r="F92" s="23" t="n">
        <v>2021</v>
      </c>
      <c r="G92" s="23" t="str">
        <f aca="false">HYPERLINK("http://dx.doi.org/10.3389/fnins.2021.646537.s001","http://dx.doi.org/10.3389/fnins.2021.646537.s001")</f>
        <v>http://dx.doi.org/10.3389/fnins.2021.646537.s001</v>
      </c>
      <c r="H92" s="23" t="n">
        <v>1</v>
      </c>
      <c r="I92" s="23" t="s">
        <v>32</v>
      </c>
      <c r="J92" s="23" t="s">
        <v>33</v>
      </c>
      <c r="K92" s="27" t="s">
        <v>41</v>
      </c>
      <c r="L92" s="23" t="n">
        <v>360</v>
      </c>
      <c r="M92" s="23" t="n">
        <v>1</v>
      </c>
      <c r="N92" s="24" t="n">
        <v>14</v>
      </c>
      <c r="O92" s="24" t="n">
        <f aca="false">L92*M92*N92</f>
        <v>5040</v>
      </c>
      <c r="Q92" s="24" t="n">
        <v>5</v>
      </c>
      <c r="R92" s="23" t="s">
        <v>118</v>
      </c>
      <c r="S92" s="23" t="n">
        <v>16</v>
      </c>
      <c r="T92" s="23" t="n">
        <v>0.7</v>
      </c>
      <c r="U92" s="23" t="n">
        <v>20</v>
      </c>
      <c r="V92" s="23" t="n">
        <v>20</v>
      </c>
      <c r="W92" s="26" t="n">
        <f aca="false">T92*(SQRT(V92))</f>
        <v>3.13049516849971</v>
      </c>
      <c r="X92" s="23"/>
      <c r="Y92" s="23" t="n">
        <v>12</v>
      </c>
      <c r="Z92" s="23" t="n">
        <v>0.9</v>
      </c>
      <c r="AA92" s="23" t="n">
        <v>20</v>
      </c>
      <c r="AB92" s="23" t="n">
        <v>20</v>
      </c>
      <c r="AC92" s="26" t="n">
        <f aca="false">Z92*(SQRT(AB92))</f>
        <v>4.02492235949962</v>
      </c>
      <c r="AD92" s="23"/>
    </row>
    <row r="93" customFormat="false" ht="15" hidden="false" customHeight="false" outlineLevel="0" collapsed="false">
      <c r="A93" s="23" t="n">
        <v>6184</v>
      </c>
      <c r="B93" s="23" t="n">
        <v>35230663</v>
      </c>
      <c r="C93" s="23" t="s">
        <v>310</v>
      </c>
      <c r="D93" s="23" t="s">
        <v>311</v>
      </c>
      <c r="E93" s="23" t="s">
        <v>223</v>
      </c>
      <c r="F93" s="23" t="n">
        <v>2022</v>
      </c>
      <c r="G93" s="23" t="s">
        <v>312</v>
      </c>
      <c r="H93" s="23" t="n">
        <v>1</v>
      </c>
      <c r="I93" s="23" t="s">
        <v>32</v>
      </c>
      <c r="J93" s="23" t="s">
        <v>33</v>
      </c>
      <c r="L93" s="23" t="n">
        <v>240</v>
      </c>
      <c r="M93" s="23" t="n">
        <v>1</v>
      </c>
      <c r="N93" s="24" t="n">
        <v>28</v>
      </c>
      <c r="O93" s="24" t="n">
        <f aca="false">N93*L93</f>
        <v>6720</v>
      </c>
      <c r="Q93" s="24" t="n">
        <v>5</v>
      </c>
      <c r="R93" s="46"/>
      <c r="S93" s="46"/>
      <c r="T93" s="46"/>
      <c r="U93" s="46"/>
      <c r="V93" s="46"/>
      <c r="W93" s="46"/>
      <c r="X93" s="23"/>
      <c r="Y93" s="46"/>
      <c r="Z93" s="46"/>
      <c r="AA93" s="46"/>
      <c r="AB93" s="46"/>
      <c r="AC93" s="46"/>
      <c r="AD93" s="23"/>
    </row>
    <row r="94" customFormat="false" ht="15" hidden="false" customHeight="false" outlineLevel="0" collapsed="false">
      <c r="A94" s="37" t="n">
        <v>6184</v>
      </c>
      <c r="B94" s="37" t="n">
        <v>35252485</v>
      </c>
      <c r="C94" s="37" t="s">
        <v>539</v>
      </c>
      <c r="D94" s="37" t="s">
        <v>540</v>
      </c>
      <c r="E94" s="37" t="s">
        <v>541</v>
      </c>
      <c r="F94" s="37" t="n">
        <v>2022</v>
      </c>
      <c r="G94" s="37" t="s">
        <v>542</v>
      </c>
      <c r="H94" s="23" t="n">
        <v>1</v>
      </c>
      <c r="I94" s="23" t="s">
        <v>51</v>
      </c>
      <c r="J94" s="37" t="s">
        <v>33</v>
      </c>
      <c r="L94" s="23" t="n">
        <v>150</v>
      </c>
      <c r="M94" s="23" t="n">
        <v>1</v>
      </c>
      <c r="N94" s="24" t="n">
        <v>14</v>
      </c>
      <c r="O94" s="24" t="n">
        <f aca="false">N94*L94</f>
        <v>2100</v>
      </c>
      <c r="Q94" s="24" t="n">
        <v>5</v>
      </c>
      <c r="R94" s="23" t="s">
        <v>283</v>
      </c>
      <c r="S94" s="34" t="n">
        <v>2.9</v>
      </c>
      <c r="T94" s="23" t="n">
        <v>1.8</v>
      </c>
      <c r="U94" s="25" t="s">
        <v>79</v>
      </c>
      <c r="V94" s="25" t="s">
        <v>79</v>
      </c>
      <c r="W94" s="26" t="n">
        <f aca="false">T94*(SQRT(V94))</f>
        <v>5.4</v>
      </c>
      <c r="Y94" s="34" t="n">
        <v>1.6</v>
      </c>
      <c r="Z94" s="34" t="n">
        <v>0.9</v>
      </c>
      <c r="AA94" s="25" t="s">
        <v>79</v>
      </c>
      <c r="AB94" s="25" t="s">
        <v>79</v>
      </c>
      <c r="AC94" s="26" t="n">
        <f aca="false">Z94*(SQRT(AB94))</f>
        <v>2.7</v>
      </c>
    </row>
    <row r="95" customFormat="false" ht="15" hidden="false" customHeight="false" outlineLevel="0" collapsed="false">
      <c r="A95" s="37" t="n">
        <v>6184</v>
      </c>
      <c r="B95" s="37" t="n">
        <v>35252485</v>
      </c>
      <c r="C95" s="37" t="s">
        <v>539</v>
      </c>
      <c r="D95" s="37" t="s">
        <v>540</v>
      </c>
      <c r="E95" s="37" t="s">
        <v>541</v>
      </c>
      <c r="F95" s="37" t="n">
        <v>2022</v>
      </c>
      <c r="G95" s="37" t="s">
        <v>542</v>
      </c>
      <c r="H95" s="23" t="n">
        <v>1</v>
      </c>
      <c r="I95" s="23" t="s">
        <v>51</v>
      </c>
      <c r="J95" s="37" t="s">
        <v>97</v>
      </c>
      <c r="L95" s="23" t="n">
        <v>150</v>
      </c>
      <c r="M95" s="23" t="n">
        <v>1</v>
      </c>
      <c r="N95" s="24" t="s">
        <v>543</v>
      </c>
      <c r="Q95" s="24" t="n">
        <v>5</v>
      </c>
      <c r="R95" s="23" t="s">
        <v>283</v>
      </c>
      <c r="S95" s="23" t="n">
        <v>5.8</v>
      </c>
      <c r="T95" s="23" t="n">
        <v>1.6</v>
      </c>
      <c r="U95" s="23" t="n">
        <v>11</v>
      </c>
      <c r="V95" s="23" t="n">
        <v>11</v>
      </c>
      <c r="W95" s="26" t="n">
        <f aca="false">T95*(SQRT(V95))</f>
        <v>5.30659966456864</v>
      </c>
      <c r="X95" s="23"/>
      <c r="Y95" s="23" t="n">
        <v>4.3</v>
      </c>
      <c r="Z95" s="23" t="n">
        <v>1.3</v>
      </c>
      <c r="AA95" s="23" t="n">
        <v>10</v>
      </c>
      <c r="AB95" s="23" t="n">
        <v>10</v>
      </c>
      <c r="AC95" s="26" t="n">
        <f aca="false">Z95*(SQRT(AB95))</f>
        <v>4.11096095821889</v>
      </c>
      <c r="AD95" s="23"/>
    </row>
    <row r="96" customFormat="false" ht="31.3" hidden="false" customHeight="false" outlineLevel="0" collapsed="false">
      <c r="A96" s="37" t="n">
        <v>6233</v>
      </c>
      <c r="B96" s="37"/>
      <c r="C96" s="38" t="s">
        <v>314</v>
      </c>
      <c r="D96" s="65" t="s">
        <v>315</v>
      </c>
      <c r="E96" s="38" t="s">
        <v>316</v>
      </c>
      <c r="F96" s="38" t="n">
        <v>2024</v>
      </c>
      <c r="G96" s="39" t="s">
        <v>317</v>
      </c>
      <c r="H96" s="23" t="n">
        <v>1</v>
      </c>
      <c r="I96" s="23" t="s">
        <v>51</v>
      </c>
      <c r="J96" s="37" t="s">
        <v>33</v>
      </c>
      <c r="K96" s="27" t="s">
        <v>168</v>
      </c>
      <c r="L96" s="23" t="n">
        <v>360</v>
      </c>
      <c r="M96" s="23" t="n">
        <v>1</v>
      </c>
      <c r="N96" s="24" t="n">
        <v>21</v>
      </c>
      <c r="O96" s="24" t="n">
        <f aca="false">L96*M96*N96</f>
        <v>7560</v>
      </c>
      <c r="Q96" s="24" t="s">
        <v>41</v>
      </c>
      <c r="R96" s="46"/>
      <c r="S96" s="46"/>
      <c r="T96" s="46"/>
      <c r="U96" s="46"/>
      <c r="V96" s="46"/>
      <c r="W96" s="46"/>
      <c r="X96" s="23"/>
      <c r="Y96" s="46"/>
      <c r="Z96" s="46"/>
      <c r="AA96" s="46"/>
      <c r="AB96" s="46"/>
      <c r="AC96" s="46"/>
      <c r="AD96" s="23"/>
    </row>
    <row r="97" customFormat="false" ht="16.4" hidden="false" customHeight="false" outlineLevel="0" collapsed="false">
      <c r="A97" s="37" t="n">
        <v>6233</v>
      </c>
      <c r="B97" s="37"/>
      <c r="C97" s="38" t="s">
        <v>314</v>
      </c>
      <c r="D97" s="38" t="s">
        <v>544</v>
      </c>
      <c r="E97" s="38" t="s">
        <v>316</v>
      </c>
      <c r="F97" s="38" t="n">
        <v>2024</v>
      </c>
      <c r="G97" s="39" t="s">
        <v>317</v>
      </c>
      <c r="H97" s="23" t="n">
        <v>1</v>
      </c>
      <c r="I97" s="23" t="s">
        <v>51</v>
      </c>
      <c r="J97" s="37" t="s">
        <v>97</v>
      </c>
      <c r="K97" s="27" t="s">
        <v>168</v>
      </c>
      <c r="L97" s="23" t="n">
        <v>360</v>
      </c>
      <c r="M97" s="23" t="n">
        <v>1</v>
      </c>
      <c r="N97" s="24" t="n">
        <v>21</v>
      </c>
      <c r="O97" s="24" t="n">
        <f aca="false">L97*M97*N97</f>
        <v>7560</v>
      </c>
      <c r="Q97" s="24" t="s">
        <v>41</v>
      </c>
      <c r="R97" s="46"/>
      <c r="S97" s="46"/>
      <c r="T97" s="46"/>
      <c r="U97" s="46"/>
      <c r="V97" s="46"/>
      <c r="W97" s="46"/>
      <c r="X97" s="23"/>
      <c r="Y97" s="46"/>
      <c r="Z97" s="46"/>
      <c r="AA97" s="46"/>
      <c r="AB97" s="46"/>
      <c r="AC97" s="46"/>
      <c r="AD97" s="23"/>
    </row>
    <row r="98" customFormat="false" ht="15" hidden="false" customHeight="false" outlineLevel="0" collapsed="false">
      <c r="A98" s="23" t="n">
        <v>6320</v>
      </c>
      <c r="B98" s="23" t="n">
        <v>41167532</v>
      </c>
      <c r="C98" s="23" t="s">
        <v>546</v>
      </c>
      <c r="D98" s="23" t="s">
        <v>547</v>
      </c>
      <c r="E98" s="23" t="s">
        <v>161</v>
      </c>
      <c r="F98" s="23" t="n">
        <v>2025</v>
      </c>
      <c r="G98" s="23" t="s">
        <v>548</v>
      </c>
      <c r="H98" s="23" t="n">
        <v>1</v>
      </c>
      <c r="I98" s="23" t="s">
        <v>32</v>
      </c>
      <c r="J98" s="23" t="s">
        <v>33</v>
      </c>
      <c r="K98" s="27" t="s">
        <v>53</v>
      </c>
      <c r="L98" s="23" t="n">
        <v>360</v>
      </c>
      <c r="M98" s="23" t="n">
        <v>1</v>
      </c>
      <c r="N98" s="24" t="n">
        <v>28</v>
      </c>
      <c r="O98" s="24" t="n">
        <f aca="false">L98*M98*N98</f>
        <v>10080</v>
      </c>
      <c r="Q98" s="24" t="n">
        <v>3</v>
      </c>
      <c r="R98" s="46"/>
      <c r="S98" s="46"/>
      <c r="T98" s="46"/>
      <c r="U98" s="46"/>
      <c r="V98" s="46"/>
      <c r="W98" s="46"/>
      <c r="X98" s="23"/>
      <c r="Y98" s="46"/>
      <c r="Z98" s="46"/>
      <c r="AA98" s="46"/>
      <c r="AB98" s="46"/>
      <c r="AC98" s="46"/>
      <c r="AD98" s="23"/>
    </row>
    <row r="99" customFormat="false" ht="15" hidden="false" customHeight="false" outlineLevel="0" collapsed="false">
      <c r="A99" s="23" t="n">
        <v>6392</v>
      </c>
      <c r="B99" s="23" t="n">
        <v>35615771</v>
      </c>
      <c r="C99" s="23" t="s">
        <v>549</v>
      </c>
      <c r="D99" s="23" t="s">
        <v>550</v>
      </c>
      <c r="E99" s="23" t="s">
        <v>551</v>
      </c>
      <c r="F99" s="23" t="n">
        <v>2022</v>
      </c>
      <c r="G99" s="23" t="s">
        <v>552</v>
      </c>
      <c r="H99" s="23" t="n">
        <v>1</v>
      </c>
      <c r="I99" s="23" t="s">
        <v>32</v>
      </c>
      <c r="J99" s="23" t="s">
        <v>33</v>
      </c>
      <c r="L99" s="23" t="n">
        <v>360</v>
      </c>
      <c r="M99" s="23" t="n">
        <v>1</v>
      </c>
      <c r="N99" s="24" t="s">
        <v>41</v>
      </c>
      <c r="Q99" s="24" t="n">
        <v>5</v>
      </c>
      <c r="R99" s="46"/>
      <c r="S99" s="46"/>
      <c r="T99" s="46"/>
      <c r="U99" s="46"/>
      <c r="V99" s="46"/>
      <c r="W99" s="46"/>
      <c r="X99" s="23"/>
      <c r="Y99" s="46"/>
      <c r="Z99" s="46"/>
      <c r="AA99" s="46"/>
      <c r="AB99" s="46"/>
      <c r="AC99" s="46"/>
      <c r="AD99" s="23"/>
    </row>
    <row r="100" customFormat="false" ht="15" hidden="false" customHeight="false" outlineLevel="0" collapsed="false">
      <c r="A100" s="37" t="n">
        <v>6616</v>
      </c>
      <c r="B100" s="37"/>
      <c r="C100" s="37" t="s">
        <v>873</v>
      </c>
      <c r="D100" s="37" t="s">
        <v>874</v>
      </c>
      <c r="E100" s="37" t="s">
        <v>875</v>
      </c>
      <c r="F100" s="37" t="n">
        <v>2023</v>
      </c>
      <c r="G100" s="37" t="s">
        <v>876</v>
      </c>
      <c r="H100" s="23" t="n">
        <v>1</v>
      </c>
      <c r="I100" s="23" t="s">
        <v>51</v>
      </c>
      <c r="J100" s="23" t="s">
        <v>33</v>
      </c>
      <c r="K100" s="27" t="s">
        <v>94</v>
      </c>
      <c r="L100" s="23" t="n">
        <v>120</v>
      </c>
      <c r="M100" s="23" t="n">
        <v>1</v>
      </c>
      <c r="N100" s="24" t="n">
        <v>28</v>
      </c>
      <c r="O100" s="24" t="n">
        <f aca="false">L100*M100*N100</f>
        <v>3360</v>
      </c>
      <c r="Q100" s="24" t="n">
        <v>5</v>
      </c>
      <c r="R100" s="46"/>
      <c r="S100" s="46"/>
      <c r="T100" s="46"/>
      <c r="U100" s="46"/>
      <c r="V100" s="46"/>
      <c r="W100" s="46"/>
      <c r="X100" s="23"/>
      <c r="Y100" s="46"/>
      <c r="Z100" s="46"/>
      <c r="AA100" s="46"/>
      <c r="AB100" s="46"/>
      <c r="AC100" s="46"/>
      <c r="AD100" s="23"/>
    </row>
    <row r="101" customFormat="false" ht="15" hidden="false" customHeight="false" outlineLevel="0" collapsed="false">
      <c r="A101" s="37" t="n">
        <v>6616</v>
      </c>
      <c r="B101" s="37"/>
      <c r="C101" s="37" t="s">
        <v>873</v>
      </c>
      <c r="D101" s="37" t="s">
        <v>874</v>
      </c>
      <c r="E101" s="37" t="s">
        <v>875</v>
      </c>
      <c r="F101" s="37" t="n">
        <v>2023</v>
      </c>
      <c r="G101" s="37" t="s">
        <v>876</v>
      </c>
      <c r="H101" s="23" t="n">
        <v>1</v>
      </c>
      <c r="I101" s="23" t="s">
        <v>51</v>
      </c>
      <c r="J101" s="23" t="s">
        <v>97</v>
      </c>
      <c r="K101" s="27" t="s">
        <v>94</v>
      </c>
      <c r="L101" s="23" t="n">
        <v>120</v>
      </c>
      <c r="M101" s="23" t="n">
        <v>1</v>
      </c>
      <c r="N101" s="24" t="n">
        <v>28</v>
      </c>
      <c r="O101" s="24" t="n">
        <f aca="false">L101*M101*N101</f>
        <v>3360</v>
      </c>
      <c r="Q101" s="24" t="n">
        <v>5</v>
      </c>
      <c r="R101" s="46"/>
      <c r="S101" s="46"/>
      <c r="T101" s="46"/>
      <c r="U101" s="46"/>
      <c r="V101" s="46"/>
      <c r="W101" s="46"/>
      <c r="X101" s="23"/>
      <c r="Y101" s="46"/>
      <c r="Z101" s="46"/>
      <c r="AA101" s="46"/>
      <c r="AB101" s="46"/>
      <c r="AC101" s="46"/>
      <c r="AD101" s="23"/>
    </row>
    <row r="102" customFormat="false" ht="15" hidden="false" customHeight="false" outlineLevel="0" collapsed="false">
      <c r="A102" s="23" t="n">
        <v>6728</v>
      </c>
      <c r="B102" s="23" t="n">
        <v>35873784</v>
      </c>
      <c r="C102" s="23" t="s">
        <v>557</v>
      </c>
      <c r="D102" s="23" t="s">
        <v>558</v>
      </c>
      <c r="E102" s="23" t="s">
        <v>559</v>
      </c>
      <c r="F102" s="23" t="n">
        <v>2022</v>
      </c>
      <c r="G102" s="23" t="s">
        <v>560</v>
      </c>
      <c r="H102" s="23" t="n">
        <v>1</v>
      </c>
      <c r="I102" s="23" t="s">
        <v>32</v>
      </c>
      <c r="J102" s="23" t="s">
        <v>33</v>
      </c>
      <c r="L102" s="23" t="n">
        <v>180</v>
      </c>
      <c r="M102" s="23" t="n">
        <v>1</v>
      </c>
      <c r="N102" s="24" t="n">
        <v>21</v>
      </c>
      <c r="O102" s="24" t="n">
        <f aca="false">N102*L102</f>
        <v>3780</v>
      </c>
      <c r="Q102" s="24" t="n">
        <v>3</v>
      </c>
      <c r="R102" s="46"/>
      <c r="S102" s="46"/>
      <c r="T102" s="46"/>
      <c r="U102" s="46"/>
      <c r="V102" s="46"/>
      <c r="W102" s="46"/>
      <c r="X102" s="23"/>
      <c r="Y102" s="46"/>
      <c r="Z102" s="46"/>
      <c r="AA102" s="46"/>
      <c r="AB102" s="46"/>
      <c r="AC102" s="46"/>
      <c r="AD102" s="23"/>
    </row>
    <row r="103" customFormat="false" ht="15" hidden="false" customHeight="false" outlineLevel="0" collapsed="false">
      <c r="A103" s="23" t="n">
        <v>6826</v>
      </c>
      <c r="B103" s="23" t="n">
        <v>34025340</v>
      </c>
      <c r="C103" s="23" t="s">
        <v>742</v>
      </c>
      <c r="D103" s="23" t="s">
        <v>743</v>
      </c>
      <c r="E103" s="23" t="s">
        <v>324</v>
      </c>
      <c r="F103" s="23" t="n">
        <v>2021</v>
      </c>
      <c r="G103" s="23" t="s">
        <v>744</v>
      </c>
      <c r="H103" s="23" t="n">
        <v>1</v>
      </c>
      <c r="I103" s="23" t="s">
        <v>32</v>
      </c>
      <c r="J103" s="23" t="s">
        <v>33</v>
      </c>
      <c r="L103" s="23" t="n">
        <v>360</v>
      </c>
      <c r="M103" s="23" t="n">
        <v>1</v>
      </c>
      <c r="N103" s="24" t="n">
        <v>14</v>
      </c>
      <c r="O103" s="24" t="n">
        <f aca="false">N103*L103</f>
        <v>5040</v>
      </c>
      <c r="Q103" s="24" t="n">
        <v>5</v>
      </c>
      <c r="R103" s="23" t="s">
        <v>118</v>
      </c>
      <c r="S103" s="23" t="n">
        <v>15.2</v>
      </c>
      <c r="T103" s="23" t="n">
        <v>1</v>
      </c>
      <c r="U103" s="23" t="n">
        <v>20</v>
      </c>
      <c r="V103" s="23" t="n">
        <v>20</v>
      </c>
      <c r="W103" s="26" t="n">
        <f aca="false">T103*(SQRT(V103))</f>
        <v>4.47213595499958</v>
      </c>
      <c r="X103" s="23"/>
      <c r="Y103" s="23" t="n">
        <v>11.3</v>
      </c>
      <c r="Z103" s="23" t="n">
        <v>0.9</v>
      </c>
      <c r="AA103" s="23" t="n">
        <v>20</v>
      </c>
      <c r="AB103" s="23" t="n">
        <v>20</v>
      </c>
      <c r="AC103" s="26" t="n">
        <f aca="false">Z103*(SQRT(AB103))</f>
        <v>4.02492235949962</v>
      </c>
      <c r="AD103" s="23"/>
    </row>
    <row r="104" customFormat="false" ht="15" hidden="false" customHeight="false" outlineLevel="0" collapsed="false">
      <c r="A104" s="37" t="n">
        <v>6850</v>
      </c>
      <c r="B104" s="37"/>
      <c r="C104" s="37" t="s">
        <v>877</v>
      </c>
      <c r="D104" s="37" t="s">
        <v>878</v>
      </c>
      <c r="E104" s="37" t="s">
        <v>879</v>
      </c>
      <c r="F104" s="37" t="n">
        <v>2015</v>
      </c>
      <c r="G104" s="37" t="s">
        <v>880</v>
      </c>
      <c r="H104" s="23" t="n">
        <v>1</v>
      </c>
      <c r="I104" s="23" t="s">
        <v>51</v>
      </c>
      <c r="J104" s="37" t="s">
        <v>33</v>
      </c>
      <c r="L104" s="23" t="s">
        <v>41</v>
      </c>
      <c r="M104" s="23" t="s">
        <v>41</v>
      </c>
      <c r="N104" s="23" t="s">
        <v>41</v>
      </c>
      <c r="Q104" s="24" t="n">
        <v>5</v>
      </c>
      <c r="R104" s="46"/>
      <c r="S104" s="46"/>
      <c r="T104" s="46"/>
      <c r="U104" s="46"/>
      <c r="V104" s="46"/>
      <c r="W104" s="46"/>
      <c r="X104" s="23"/>
      <c r="Y104" s="46"/>
      <c r="Z104" s="46"/>
      <c r="AA104" s="46"/>
      <c r="AB104" s="46"/>
      <c r="AC104" s="46"/>
      <c r="AD104" s="23"/>
    </row>
    <row r="105" customFormat="false" ht="15" hidden="false" customHeight="false" outlineLevel="0" collapsed="false">
      <c r="A105" s="37" t="n">
        <v>6850</v>
      </c>
      <c r="B105" s="37"/>
      <c r="C105" s="37" t="s">
        <v>877</v>
      </c>
      <c r="D105" s="37" t="s">
        <v>878</v>
      </c>
      <c r="E105" s="37" t="s">
        <v>879</v>
      </c>
      <c r="F105" s="37" t="n">
        <v>2015</v>
      </c>
      <c r="G105" s="37" t="s">
        <v>880</v>
      </c>
      <c r="H105" s="23" t="n">
        <v>1</v>
      </c>
      <c r="I105" s="23" t="s">
        <v>51</v>
      </c>
      <c r="J105" s="37" t="s">
        <v>97</v>
      </c>
      <c r="L105" s="23" t="s">
        <v>41</v>
      </c>
      <c r="M105" s="23" t="s">
        <v>41</v>
      </c>
      <c r="N105" s="23" t="s">
        <v>41</v>
      </c>
      <c r="Q105" s="24" t="n">
        <v>5</v>
      </c>
      <c r="R105" s="46"/>
      <c r="S105" s="46"/>
      <c r="T105" s="46"/>
      <c r="U105" s="46"/>
      <c r="V105" s="46"/>
      <c r="W105" s="46"/>
      <c r="X105" s="23"/>
      <c r="Y105" s="46"/>
      <c r="Z105" s="46"/>
      <c r="AA105" s="46"/>
      <c r="AB105" s="46"/>
      <c r="AC105" s="46"/>
      <c r="AD105" s="23"/>
    </row>
    <row r="106" customFormat="false" ht="15" hidden="false" customHeight="false" outlineLevel="0" collapsed="false">
      <c r="A106" s="23" t="n">
        <v>6987</v>
      </c>
      <c r="B106" s="23" t="n">
        <v>33276022</v>
      </c>
      <c r="C106" s="23" t="s">
        <v>327</v>
      </c>
      <c r="D106" s="23" t="s">
        <v>328</v>
      </c>
      <c r="E106" s="23" t="s">
        <v>308</v>
      </c>
      <c r="F106" s="23" t="n">
        <v>2021</v>
      </c>
      <c r="G106" s="23" t="s">
        <v>329</v>
      </c>
      <c r="H106" s="23" t="n">
        <v>1</v>
      </c>
      <c r="I106" s="23" t="s">
        <v>32</v>
      </c>
      <c r="J106" s="23" t="s">
        <v>33</v>
      </c>
      <c r="K106" s="27" t="n">
        <v>12</v>
      </c>
      <c r="L106" s="23" t="n">
        <v>390</v>
      </c>
      <c r="M106" s="23" t="n">
        <v>1</v>
      </c>
      <c r="N106" s="24" t="n">
        <v>21</v>
      </c>
      <c r="O106" s="24" t="n">
        <f aca="false">N106*L106</f>
        <v>8190</v>
      </c>
      <c r="Q106" s="24" t="n">
        <v>5</v>
      </c>
      <c r="R106" s="23" t="s">
        <v>417</v>
      </c>
      <c r="S106" s="23" t="n">
        <v>2.6</v>
      </c>
      <c r="T106" s="23" t="n">
        <v>1.1</v>
      </c>
      <c r="U106" s="23" t="n">
        <v>5</v>
      </c>
      <c r="V106" s="23" t="n">
        <v>5</v>
      </c>
      <c r="W106" s="26" t="n">
        <f aca="false">T106*(SQRT(V106))</f>
        <v>2.45967477524977</v>
      </c>
      <c r="X106" s="23"/>
      <c r="Y106" s="23" t="n">
        <v>0.05</v>
      </c>
      <c r="Z106" s="23" t="n">
        <v>0.05</v>
      </c>
      <c r="AA106" s="23" t="n">
        <v>6</v>
      </c>
      <c r="AB106" s="23" t="n">
        <v>6</v>
      </c>
      <c r="AC106" s="26" t="n">
        <f aca="false">Z106*(SQRT(AB106))</f>
        <v>0.122474487139159</v>
      </c>
      <c r="AD106" s="23"/>
    </row>
    <row r="107" customFormat="false" ht="15" hidden="false" customHeight="false" outlineLevel="0" collapsed="false">
      <c r="A107" s="23" t="n">
        <v>7021</v>
      </c>
      <c r="C107" s="23" t="s">
        <v>334</v>
      </c>
      <c r="D107" s="23" t="s">
        <v>335</v>
      </c>
      <c r="E107" s="23" t="s">
        <v>336</v>
      </c>
      <c r="F107" s="23" t="n">
        <v>2025</v>
      </c>
      <c r="G107" s="23" t="s">
        <v>337</v>
      </c>
      <c r="H107" s="23" t="n">
        <v>1</v>
      </c>
      <c r="I107" s="23" t="s">
        <v>51</v>
      </c>
      <c r="J107" s="23" t="s">
        <v>97</v>
      </c>
      <c r="K107" s="27" t="s">
        <v>34</v>
      </c>
      <c r="L107" s="23" t="n">
        <v>300</v>
      </c>
      <c r="M107" s="23" t="n">
        <v>1</v>
      </c>
      <c r="N107" s="24" t="n">
        <v>14</v>
      </c>
      <c r="O107" s="24" t="n">
        <f aca="false">L107*M107*N107</f>
        <v>4200</v>
      </c>
      <c r="Q107" s="24" t="n">
        <v>5</v>
      </c>
      <c r="R107" s="46"/>
      <c r="S107" s="46"/>
      <c r="T107" s="46"/>
      <c r="U107" s="46"/>
      <c r="V107" s="46"/>
      <c r="W107" s="46"/>
      <c r="X107" s="23"/>
      <c r="Y107" s="46"/>
      <c r="Z107" s="46"/>
      <c r="AA107" s="46"/>
      <c r="AB107" s="46"/>
      <c r="AC107" s="46"/>
      <c r="AD107" s="23"/>
    </row>
    <row r="108" customFormat="false" ht="15" hidden="false" customHeight="false" outlineLevel="0" collapsed="false">
      <c r="A108" s="23" t="n">
        <v>7023</v>
      </c>
      <c r="B108" s="23" t="n">
        <v>26947756</v>
      </c>
      <c r="C108" s="23" t="s">
        <v>338</v>
      </c>
      <c r="D108" s="23" t="s">
        <v>339</v>
      </c>
      <c r="E108" s="23" t="s">
        <v>276</v>
      </c>
      <c r="F108" s="23" t="n">
        <v>2016</v>
      </c>
      <c r="G108" s="23" t="s">
        <v>340</v>
      </c>
      <c r="H108" s="23" t="n">
        <v>1</v>
      </c>
      <c r="I108" s="23" t="s">
        <v>32</v>
      </c>
      <c r="J108" s="23" t="s">
        <v>33</v>
      </c>
      <c r="L108" s="23" t="n">
        <v>360</v>
      </c>
      <c r="M108" s="23" t="n">
        <v>1</v>
      </c>
      <c r="N108" s="24" t="n">
        <v>21</v>
      </c>
      <c r="O108" s="24" t="n">
        <f aca="false">N108*L108</f>
        <v>7560</v>
      </c>
      <c r="Q108" s="24" t="n">
        <v>5</v>
      </c>
      <c r="R108" s="46"/>
      <c r="S108" s="46"/>
      <c r="T108" s="46"/>
      <c r="U108" s="46"/>
      <c r="V108" s="46"/>
      <c r="W108" s="46"/>
      <c r="X108" s="23"/>
      <c r="Y108" s="46"/>
      <c r="Z108" s="46"/>
      <c r="AA108" s="46"/>
      <c r="AB108" s="46"/>
      <c r="AC108" s="46"/>
      <c r="AD108" s="23"/>
    </row>
    <row r="109" customFormat="false" ht="16.4" hidden="false" customHeight="false" outlineLevel="0" collapsed="false">
      <c r="A109" s="23" t="n">
        <v>7075</v>
      </c>
      <c r="C109" s="41" t="s">
        <v>746</v>
      </c>
      <c r="D109" s="41" t="s">
        <v>881</v>
      </c>
      <c r="E109" s="41" t="s">
        <v>748</v>
      </c>
      <c r="F109" s="41" t="n">
        <v>2019</v>
      </c>
      <c r="G109" s="42" t="s">
        <v>749</v>
      </c>
      <c r="H109" s="23" t="n">
        <v>1</v>
      </c>
      <c r="I109" s="23" t="s">
        <v>51</v>
      </c>
      <c r="J109" s="23" t="s">
        <v>33</v>
      </c>
      <c r="L109" s="23" t="n">
        <v>360</v>
      </c>
      <c r="M109" s="23" t="n">
        <v>1</v>
      </c>
      <c r="N109" s="24" t="n">
        <v>21</v>
      </c>
      <c r="O109" s="24" t="n">
        <f aca="false">L109*M109*N109</f>
        <v>7560</v>
      </c>
      <c r="Q109" s="24" t="n">
        <v>15</v>
      </c>
      <c r="R109" s="46"/>
      <c r="S109" s="46"/>
      <c r="T109" s="46"/>
      <c r="U109" s="46"/>
      <c r="V109" s="46"/>
      <c r="W109" s="46"/>
      <c r="X109" s="23"/>
      <c r="Y109" s="46"/>
      <c r="Z109" s="46"/>
      <c r="AA109" s="46"/>
      <c r="AB109" s="46"/>
      <c r="AC109" s="46"/>
      <c r="AD109" s="23"/>
    </row>
    <row r="110" customFormat="false" ht="15" hidden="false" customHeight="false" outlineLevel="0" collapsed="false">
      <c r="A110" s="37" t="n">
        <v>7255</v>
      </c>
      <c r="B110" s="37" t="n">
        <v>26830848</v>
      </c>
      <c r="C110" s="37" t="s">
        <v>882</v>
      </c>
      <c r="D110" s="37" t="s">
        <v>883</v>
      </c>
      <c r="E110" s="37" t="s">
        <v>884</v>
      </c>
      <c r="F110" s="37" t="n">
        <v>2016</v>
      </c>
      <c r="G110" s="37" t="s">
        <v>885</v>
      </c>
      <c r="H110" s="23" t="n">
        <v>1</v>
      </c>
      <c r="I110" s="23" t="s">
        <v>51</v>
      </c>
      <c r="J110" s="23" t="s">
        <v>33</v>
      </c>
      <c r="K110" s="66" t="s">
        <v>886</v>
      </c>
      <c r="L110" s="23" t="n">
        <v>120</v>
      </c>
      <c r="M110" s="23" t="n">
        <v>1</v>
      </c>
      <c r="N110" s="24" t="n">
        <v>4</v>
      </c>
      <c r="O110" s="24" t="n">
        <f aca="false">N110*L110</f>
        <v>480</v>
      </c>
      <c r="Q110" s="24" t="n">
        <v>5</v>
      </c>
      <c r="R110" s="46"/>
      <c r="S110" s="46"/>
      <c r="T110" s="46"/>
      <c r="U110" s="46"/>
      <c r="V110" s="46"/>
      <c r="W110" s="46"/>
      <c r="X110" s="23"/>
      <c r="Y110" s="46"/>
      <c r="Z110" s="46"/>
      <c r="AA110" s="46"/>
      <c r="AB110" s="46"/>
      <c r="AC110" s="46"/>
      <c r="AD110" s="23"/>
    </row>
    <row r="111" customFormat="false" ht="15" hidden="false" customHeight="false" outlineLevel="0" collapsed="false">
      <c r="A111" s="37" t="n">
        <v>7255</v>
      </c>
      <c r="B111" s="37" t="n">
        <v>26830848</v>
      </c>
      <c r="C111" s="37" t="s">
        <v>882</v>
      </c>
      <c r="D111" s="37" t="s">
        <v>883</v>
      </c>
      <c r="E111" s="37" t="s">
        <v>884</v>
      </c>
      <c r="F111" s="37" t="n">
        <v>2016</v>
      </c>
      <c r="G111" s="37" t="s">
        <v>885</v>
      </c>
      <c r="H111" s="23" t="n">
        <v>1</v>
      </c>
      <c r="I111" s="23" t="s">
        <v>51</v>
      </c>
      <c r="J111" s="23" t="s">
        <v>33</v>
      </c>
      <c r="K111" s="66" t="s">
        <v>887</v>
      </c>
      <c r="L111" s="23" t="n">
        <v>120</v>
      </c>
      <c r="M111" s="23" t="n">
        <v>1</v>
      </c>
      <c r="N111" s="24" t="n">
        <v>4</v>
      </c>
      <c r="O111" s="24" t="n">
        <f aca="false">N111*L111</f>
        <v>480</v>
      </c>
      <c r="Q111" s="24" t="n">
        <v>5</v>
      </c>
      <c r="R111" s="46"/>
      <c r="S111" s="46"/>
      <c r="T111" s="46"/>
      <c r="U111" s="46"/>
      <c r="V111" s="46"/>
      <c r="W111" s="46"/>
      <c r="X111" s="23"/>
      <c r="Y111" s="46"/>
      <c r="Z111" s="46"/>
      <c r="AA111" s="46"/>
      <c r="AB111" s="46"/>
      <c r="AC111" s="46"/>
      <c r="AD111" s="23"/>
    </row>
    <row r="112" customFormat="false" ht="15" hidden="false" customHeight="false" outlineLevel="0" collapsed="false">
      <c r="A112" s="23" t="n">
        <v>7270</v>
      </c>
      <c r="B112" s="23" t="n">
        <v>35569374</v>
      </c>
      <c r="C112" s="23" t="s">
        <v>888</v>
      </c>
      <c r="D112" s="23" t="s">
        <v>889</v>
      </c>
      <c r="E112" s="23" t="s">
        <v>890</v>
      </c>
      <c r="F112" s="23" t="n">
        <v>2022</v>
      </c>
      <c r="G112" s="23" t="s">
        <v>891</v>
      </c>
      <c r="H112" s="23" t="n">
        <v>1</v>
      </c>
      <c r="I112" s="23" t="s">
        <v>51</v>
      </c>
      <c r="J112" s="23" t="s">
        <v>33</v>
      </c>
      <c r="K112" s="27" t="n">
        <v>6</v>
      </c>
      <c r="L112" s="23" t="n">
        <v>360</v>
      </c>
      <c r="M112" s="23" t="n">
        <v>1</v>
      </c>
      <c r="N112" s="24" t="n">
        <v>21</v>
      </c>
      <c r="O112" s="24" t="n">
        <f aca="false">N112*L112</f>
        <v>7560</v>
      </c>
      <c r="P112" s="23" t="s">
        <v>173</v>
      </c>
      <c r="Q112" s="24" t="n">
        <v>5</v>
      </c>
      <c r="R112" s="46"/>
      <c r="S112" s="46"/>
      <c r="T112" s="46"/>
      <c r="U112" s="46"/>
      <c r="V112" s="46"/>
      <c r="W112" s="46"/>
      <c r="X112" s="23"/>
      <c r="Y112" s="46"/>
      <c r="Z112" s="46"/>
      <c r="AA112" s="46"/>
      <c r="AB112" s="46"/>
      <c r="AC112" s="46"/>
      <c r="AD112" s="23"/>
    </row>
    <row r="113" customFormat="false" ht="15" hidden="false" customHeight="false" outlineLevel="0" collapsed="false">
      <c r="A113" s="23" t="n">
        <v>7286</v>
      </c>
      <c r="B113" s="23" t="n">
        <v>35528472</v>
      </c>
      <c r="C113" s="23" t="s">
        <v>341</v>
      </c>
      <c r="D113" s="23" t="s">
        <v>342</v>
      </c>
      <c r="E113" s="23" t="s">
        <v>343</v>
      </c>
      <c r="F113" s="23" t="n">
        <v>2021</v>
      </c>
      <c r="G113" s="23" t="s">
        <v>344</v>
      </c>
      <c r="H113" s="23" t="n">
        <v>1</v>
      </c>
      <c r="I113" s="23" t="s">
        <v>51</v>
      </c>
      <c r="J113" s="23" t="s">
        <v>33</v>
      </c>
      <c r="K113" s="27" t="n">
        <v>7</v>
      </c>
      <c r="L113" s="23" t="n">
        <v>360</v>
      </c>
      <c r="M113" s="23" t="n">
        <v>1</v>
      </c>
      <c r="N113" s="24" t="n">
        <v>21</v>
      </c>
      <c r="O113" s="24" t="n">
        <f aca="false">N113*L113</f>
        <v>7560</v>
      </c>
      <c r="Q113" s="24" t="n">
        <v>5</v>
      </c>
      <c r="R113" s="23" t="s">
        <v>184</v>
      </c>
      <c r="S113" s="23" t="n">
        <v>19</v>
      </c>
      <c r="T113" s="23" t="s">
        <v>71</v>
      </c>
      <c r="U113" s="23" t="n">
        <v>5</v>
      </c>
      <c r="V113" s="23" t="n">
        <v>5</v>
      </c>
      <c r="W113" s="23" t="n">
        <v>3</v>
      </c>
      <c r="X113" s="23"/>
      <c r="Y113" s="23" t="n">
        <v>2</v>
      </c>
      <c r="Z113" s="23" t="s">
        <v>71</v>
      </c>
      <c r="AA113" s="23" t="n">
        <v>5</v>
      </c>
      <c r="AB113" s="23" t="n">
        <v>5</v>
      </c>
      <c r="AC113" s="23" t="n">
        <v>1</v>
      </c>
      <c r="AD113" s="23"/>
    </row>
    <row r="114" customFormat="false" ht="15" hidden="false" customHeight="false" outlineLevel="0" collapsed="false">
      <c r="A114" s="23" t="n">
        <v>7339</v>
      </c>
      <c r="C114" s="23" t="s">
        <v>345</v>
      </c>
      <c r="D114" s="23" t="s">
        <v>346</v>
      </c>
      <c r="E114" s="23" t="s">
        <v>347</v>
      </c>
      <c r="F114" s="23" t="n">
        <v>2022</v>
      </c>
      <c r="G114" s="23" t="s">
        <v>348</v>
      </c>
      <c r="H114" s="23" t="n">
        <v>1</v>
      </c>
      <c r="I114" s="23" t="s">
        <v>51</v>
      </c>
      <c r="J114" s="23" t="s">
        <v>33</v>
      </c>
      <c r="L114" s="23" t="n">
        <v>120</v>
      </c>
      <c r="M114" s="23" t="n">
        <v>1</v>
      </c>
      <c r="N114" s="24" t="n">
        <v>14</v>
      </c>
      <c r="O114" s="24" t="n">
        <f aca="false">L114*M114*N114</f>
        <v>1680</v>
      </c>
      <c r="Q114" s="24" t="n">
        <v>5</v>
      </c>
      <c r="R114" s="43"/>
      <c r="S114" s="43"/>
      <c r="T114" s="43"/>
      <c r="U114" s="43"/>
      <c r="V114" s="43"/>
      <c r="W114" s="43"/>
      <c r="X114" s="23"/>
      <c r="Y114" s="43"/>
      <c r="Z114" s="43"/>
      <c r="AA114" s="43"/>
      <c r="AB114" s="43"/>
      <c r="AC114" s="43"/>
      <c r="AD114" s="23"/>
    </row>
    <row r="115" customFormat="false" ht="15" hidden="false" customHeight="false" outlineLevel="0" collapsed="false">
      <c r="A115" s="23" t="n">
        <v>7440</v>
      </c>
      <c r="B115" s="23" t="n">
        <v>37201894</v>
      </c>
      <c r="C115" s="23" t="s">
        <v>349</v>
      </c>
      <c r="D115" s="23" t="s">
        <v>350</v>
      </c>
      <c r="E115" s="23" t="s">
        <v>276</v>
      </c>
      <c r="F115" s="23" t="n">
        <v>2023</v>
      </c>
      <c r="G115" s="23" t="s">
        <v>351</v>
      </c>
      <c r="H115" s="23" t="n">
        <v>1</v>
      </c>
      <c r="I115" s="23" t="s">
        <v>32</v>
      </c>
      <c r="J115" s="23" t="s">
        <v>33</v>
      </c>
      <c r="K115" s="27" t="s">
        <v>205</v>
      </c>
      <c r="L115" s="23" t="n">
        <v>240</v>
      </c>
      <c r="M115" s="23" t="n">
        <v>1</v>
      </c>
      <c r="N115" s="24" t="n">
        <v>35</v>
      </c>
      <c r="O115" s="24" t="n">
        <f aca="false">N115*L115</f>
        <v>8400</v>
      </c>
      <c r="Q115" s="24" t="n">
        <v>5</v>
      </c>
      <c r="R115" s="23" t="s">
        <v>140</v>
      </c>
      <c r="S115" s="46"/>
      <c r="T115" s="46"/>
      <c r="U115" s="46"/>
      <c r="V115" s="46"/>
      <c r="W115" s="46"/>
      <c r="X115" s="23"/>
      <c r="Y115" s="46"/>
      <c r="Z115" s="46"/>
      <c r="AA115" s="46"/>
      <c r="AB115" s="46"/>
      <c r="AC115" s="46"/>
      <c r="AD115" s="23"/>
    </row>
    <row r="116" customFormat="false" ht="15" hidden="false" customHeight="false" outlineLevel="0" collapsed="false">
      <c r="A116" s="23" t="n">
        <v>7545</v>
      </c>
      <c r="B116" s="23" t="n">
        <v>33545198</v>
      </c>
      <c r="C116" s="23" t="s">
        <v>892</v>
      </c>
      <c r="D116" s="23" t="s">
        <v>893</v>
      </c>
      <c r="E116" s="23" t="s">
        <v>276</v>
      </c>
      <c r="F116" s="23" t="n">
        <v>2021</v>
      </c>
      <c r="G116" s="23" t="s">
        <v>894</v>
      </c>
      <c r="H116" s="23" t="n">
        <v>1</v>
      </c>
      <c r="I116" s="23" t="s">
        <v>51</v>
      </c>
      <c r="J116" s="23" t="s">
        <v>33</v>
      </c>
      <c r="L116" s="23" t="n">
        <v>360</v>
      </c>
      <c r="M116" s="23" t="n">
        <v>1</v>
      </c>
      <c r="N116" s="24" t="n">
        <v>28</v>
      </c>
      <c r="O116" s="24" t="n">
        <f aca="false">N116*L116</f>
        <v>10080</v>
      </c>
      <c r="Q116" s="24" t="n">
        <v>5</v>
      </c>
      <c r="R116" s="46"/>
      <c r="S116" s="46"/>
      <c r="T116" s="46"/>
      <c r="U116" s="46"/>
      <c r="V116" s="46"/>
      <c r="W116" s="46"/>
      <c r="X116" s="23"/>
      <c r="Y116" s="46"/>
      <c r="Z116" s="46"/>
      <c r="AA116" s="46"/>
      <c r="AB116" s="46"/>
      <c r="AC116" s="46"/>
      <c r="AD116" s="23"/>
    </row>
    <row r="117" customFormat="false" ht="15" hidden="false" customHeight="false" outlineLevel="0" collapsed="false">
      <c r="A117" s="23" t="n">
        <v>7592</v>
      </c>
      <c r="B117" s="23" t="n">
        <v>33505499</v>
      </c>
      <c r="C117" s="23" t="s">
        <v>353</v>
      </c>
      <c r="D117" s="23" t="s">
        <v>354</v>
      </c>
      <c r="E117" s="23" t="s">
        <v>355</v>
      </c>
      <c r="F117" s="23" t="n">
        <v>2021</v>
      </c>
      <c r="G117" s="23" t="s">
        <v>356</v>
      </c>
      <c r="H117" s="23" t="n">
        <v>1</v>
      </c>
      <c r="I117" s="23" t="s">
        <v>32</v>
      </c>
      <c r="J117" s="23" t="s">
        <v>33</v>
      </c>
      <c r="L117" s="23" t="n">
        <v>180</v>
      </c>
      <c r="M117" s="23" t="n">
        <v>1</v>
      </c>
      <c r="N117" s="24" t="n">
        <v>21</v>
      </c>
      <c r="O117" s="24" t="n">
        <f aca="false">L117*M117*N117</f>
        <v>3780</v>
      </c>
      <c r="Q117" s="24" t="n">
        <v>5</v>
      </c>
      <c r="R117" s="46"/>
      <c r="S117" s="46"/>
      <c r="T117" s="46"/>
      <c r="U117" s="46"/>
      <c r="V117" s="46"/>
      <c r="W117" s="46"/>
      <c r="X117" s="23"/>
      <c r="Y117" s="46"/>
      <c r="Z117" s="46"/>
      <c r="AA117" s="46"/>
      <c r="AB117" s="46"/>
      <c r="AC117" s="46"/>
      <c r="AD117" s="23"/>
    </row>
    <row r="118" customFormat="false" ht="15" hidden="false" customHeight="false" outlineLevel="0" collapsed="false">
      <c r="A118" s="23" t="n">
        <v>7660</v>
      </c>
      <c r="C118" s="23" t="s">
        <v>357</v>
      </c>
      <c r="D118" s="23" t="s">
        <v>358</v>
      </c>
      <c r="E118" s="23" t="s">
        <v>74</v>
      </c>
      <c r="F118" s="23" t="n">
        <v>2024</v>
      </c>
      <c r="G118" s="23" t="s">
        <v>359</v>
      </c>
      <c r="H118" s="23" t="n">
        <v>1</v>
      </c>
      <c r="I118" s="23" t="s">
        <v>360</v>
      </c>
      <c r="J118" s="23" t="s">
        <v>360</v>
      </c>
      <c r="K118" s="23" t="s">
        <v>360</v>
      </c>
      <c r="L118" s="23" t="n">
        <v>360</v>
      </c>
      <c r="M118" s="23" t="n">
        <v>1</v>
      </c>
      <c r="N118" s="24" t="n">
        <v>21</v>
      </c>
      <c r="O118" s="24" t="n">
        <f aca="false">L118*M118*N118</f>
        <v>7560</v>
      </c>
      <c r="P118" s="23" t="s">
        <v>361</v>
      </c>
      <c r="Q118" s="24" t="n">
        <v>5</v>
      </c>
      <c r="R118" s="43"/>
      <c r="S118" s="43"/>
      <c r="T118" s="43"/>
      <c r="U118" s="43"/>
      <c r="V118" s="43"/>
      <c r="W118" s="43"/>
      <c r="X118" s="23"/>
      <c r="Y118" s="43"/>
      <c r="Z118" s="43"/>
      <c r="AA118" s="43"/>
      <c r="AB118" s="43"/>
      <c r="AC118" s="43"/>
      <c r="AD118" s="23"/>
    </row>
    <row r="119" customFormat="false" ht="16.4" hidden="false" customHeight="false" outlineLevel="0" collapsed="false">
      <c r="A119" s="23" t="n">
        <v>7769</v>
      </c>
      <c r="C119" s="41" t="s">
        <v>895</v>
      </c>
      <c r="D119" s="41" t="s">
        <v>896</v>
      </c>
      <c r="E119" s="41" t="s">
        <v>897</v>
      </c>
      <c r="F119" s="41" t="n">
        <v>2022</v>
      </c>
      <c r="G119" s="42" t="s">
        <v>898</v>
      </c>
      <c r="H119" s="23" t="n">
        <v>1</v>
      </c>
      <c r="I119" s="23" t="s">
        <v>51</v>
      </c>
      <c r="J119" s="23" t="s">
        <v>33</v>
      </c>
      <c r="L119" s="23" t="n">
        <v>360</v>
      </c>
      <c r="M119" s="23" t="n">
        <v>1</v>
      </c>
      <c r="N119" s="24" t="n">
        <v>21</v>
      </c>
      <c r="O119" s="24" t="n">
        <f aca="false">L119*M119*N119</f>
        <v>7560</v>
      </c>
      <c r="Q119" s="24" t="n">
        <v>3</v>
      </c>
      <c r="R119" s="46"/>
      <c r="S119" s="46"/>
      <c r="T119" s="46"/>
      <c r="U119" s="46"/>
      <c r="V119" s="46"/>
      <c r="W119" s="46"/>
      <c r="X119" s="23"/>
      <c r="Y119" s="46"/>
      <c r="Z119" s="46"/>
      <c r="AA119" s="46"/>
      <c r="AB119" s="46"/>
      <c r="AC119" s="46"/>
      <c r="AD119" s="23"/>
    </row>
    <row r="120" customFormat="false" ht="15" hidden="false" customHeight="false" outlineLevel="0" collapsed="false">
      <c r="A120" s="23" t="n">
        <v>7812</v>
      </c>
      <c r="B120" s="23" t="n">
        <v>36345420</v>
      </c>
      <c r="C120" s="23" t="s">
        <v>571</v>
      </c>
      <c r="D120" s="23" t="s">
        <v>572</v>
      </c>
      <c r="E120" s="23" t="s">
        <v>573</v>
      </c>
      <c r="F120" s="23" t="n">
        <v>2022</v>
      </c>
      <c r="G120" s="23" t="s">
        <v>574</v>
      </c>
      <c r="H120" s="23" t="n">
        <v>1</v>
      </c>
      <c r="I120" s="23" t="s">
        <v>32</v>
      </c>
      <c r="J120" s="23" t="s">
        <v>33</v>
      </c>
      <c r="K120" s="27" t="n">
        <v>4</v>
      </c>
      <c r="L120" s="23" t="n">
        <v>240</v>
      </c>
      <c r="M120" s="23" t="n">
        <v>1</v>
      </c>
      <c r="N120" s="24" t="n">
        <v>28</v>
      </c>
      <c r="O120" s="24" t="n">
        <f aca="false">N120*L120</f>
        <v>6720</v>
      </c>
      <c r="P120" s="23" t="s">
        <v>575</v>
      </c>
      <c r="Q120" s="24" t="n">
        <v>5</v>
      </c>
      <c r="R120" s="46"/>
      <c r="S120" s="46"/>
      <c r="T120" s="46"/>
      <c r="U120" s="46"/>
      <c r="V120" s="46"/>
      <c r="W120" s="46"/>
      <c r="X120" s="23"/>
      <c r="Y120" s="46"/>
      <c r="Z120" s="46"/>
      <c r="AA120" s="46"/>
      <c r="AB120" s="46"/>
      <c r="AC120" s="46"/>
      <c r="AD120" s="23"/>
    </row>
    <row r="121" customFormat="false" ht="16.4" hidden="false" customHeight="false" outlineLevel="0" collapsed="false">
      <c r="A121" s="23" t="n">
        <v>7858</v>
      </c>
      <c r="C121" s="41" t="s">
        <v>899</v>
      </c>
      <c r="D121" s="41" t="s">
        <v>900</v>
      </c>
      <c r="E121" s="41" t="s">
        <v>831</v>
      </c>
      <c r="F121" s="41" t="n">
        <v>2017</v>
      </c>
      <c r="G121" s="42" t="s">
        <v>901</v>
      </c>
      <c r="H121" s="23" t="n">
        <v>1</v>
      </c>
      <c r="I121" s="23" t="s">
        <v>32</v>
      </c>
      <c r="J121" s="23" t="s">
        <v>33</v>
      </c>
      <c r="L121" s="23" t="n">
        <v>360</v>
      </c>
      <c r="M121" s="23" t="n">
        <v>1</v>
      </c>
      <c r="N121" s="24" t="n">
        <v>28</v>
      </c>
      <c r="O121" s="24" t="n">
        <f aca="false">L121*M121*N121</f>
        <v>10080</v>
      </c>
      <c r="Q121" s="24" t="n">
        <v>3</v>
      </c>
      <c r="R121" s="46"/>
      <c r="S121" s="46"/>
      <c r="T121" s="46"/>
      <c r="U121" s="46"/>
      <c r="V121" s="46"/>
      <c r="W121" s="46"/>
      <c r="X121" s="23"/>
      <c r="Y121" s="46"/>
      <c r="Z121" s="46"/>
      <c r="AA121" s="46"/>
      <c r="AB121" s="46"/>
      <c r="AC121" s="46"/>
      <c r="AD121" s="23"/>
    </row>
    <row r="122" customFormat="false" ht="15" hidden="false" customHeight="false" outlineLevel="0" collapsed="false">
      <c r="A122" s="23" t="n">
        <v>7864</v>
      </c>
      <c r="C122" s="23" t="s">
        <v>576</v>
      </c>
      <c r="D122" s="23" t="s">
        <v>577</v>
      </c>
      <c r="E122" s="23" t="s">
        <v>578</v>
      </c>
      <c r="F122" s="23" t="n">
        <v>2023</v>
      </c>
      <c r="G122" s="23" t="s">
        <v>579</v>
      </c>
      <c r="H122" s="23" t="n">
        <v>1</v>
      </c>
      <c r="I122" s="23" t="s">
        <v>32</v>
      </c>
      <c r="J122" s="23" t="s">
        <v>33</v>
      </c>
      <c r="K122" s="27" t="s">
        <v>580</v>
      </c>
      <c r="L122" s="23" t="n">
        <v>360</v>
      </c>
      <c r="M122" s="23" t="n">
        <v>1</v>
      </c>
      <c r="N122" s="24" t="n">
        <v>28</v>
      </c>
      <c r="O122" s="24" t="n">
        <f aca="false">L122*M122*N122</f>
        <v>10080</v>
      </c>
      <c r="Q122" s="24" t="n">
        <v>3</v>
      </c>
      <c r="R122" s="46"/>
      <c r="S122" s="46"/>
      <c r="T122" s="46"/>
      <c r="U122" s="46"/>
      <c r="V122" s="46"/>
      <c r="W122" s="46"/>
      <c r="X122" s="23"/>
      <c r="Y122" s="46"/>
      <c r="Z122" s="46"/>
      <c r="AA122" s="46"/>
      <c r="AB122" s="46"/>
      <c r="AC122" s="46"/>
      <c r="AD122" s="23"/>
    </row>
    <row r="123" customFormat="false" ht="15" hidden="false" customHeight="false" outlineLevel="0" collapsed="false">
      <c r="A123" s="23" t="n">
        <v>8158</v>
      </c>
      <c r="B123" s="23" t="n">
        <v>27150225</v>
      </c>
      <c r="C123" s="23" t="s">
        <v>369</v>
      </c>
      <c r="D123" s="23" t="s">
        <v>370</v>
      </c>
      <c r="E123" s="23" t="s">
        <v>276</v>
      </c>
      <c r="F123" s="23" t="n">
        <v>2016</v>
      </c>
      <c r="G123" s="23" t="s">
        <v>371</v>
      </c>
      <c r="H123" s="23" t="n">
        <v>1</v>
      </c>
      <c r="I123" s="23" t="s">
        <v>51</v>
      </c>
      <c r="J123" s="23" t="s">
        <v>33</v>
      </c>
      <c r="L123" s="23" t="n">
        <v>180</v>
      </c>
      <c r="M123" s="23" t="n">
        <v>1</v>
      </c>
      <c r="N123" s="24" t="n">
        <v>35</v>
      </c>
      <c r="O123" s="24" t="n">
        <f aca="false">N123*L123</f>
        <v>6300</v>
      </c>
      <c r="Q123" s="24" t="n">
        <v>5</v>
      </c>
      <c r="R123" s="46"/>
      <c r="S123" s="46"/>
      <c r="T123" s="46"/>
      <c r="U123" s="46"/>
      <c r="V123" s="46"/>
      <c r="W123" s="46"/>
      <c r="X123" s="23"/>
      <c r="Y123" s="46"/>
      <c r="Z123" s="46"/>
      <c r="AA123" s="46"/>
      <c r="AB123" s="46"/>
      <c r="AC123" s="46"/>
      <c r="AD123" s="23"/>
    </row>
    <row r="124" customFormat="false" ht="15" hidden="false" customHeight="false" outlineLevel="0" collapsed="false">
      <c r="A124" s="23" t="n">
        <v>8159</v>
      </c>
      <c r="B124" s="23" t="n">
        <v>25826421</v>
      </c>
      <c r="C124" s="23" t="s">
        <v>373</v>
      </c>
      <c r="D124" s="23" t="s">
        <v>374</v>
      </c>
      <c r="E124" s="23" t="s">
        <v>375</v>
      </c>
      <c r="F124" s="23" t="n">
        <v>2015</v>
      </c>
      <c r="G124" s="23" t="s">
        <v>376</v>
      </c>
      <c r="H124" s="23" t="n">
        <v>1</v>
      </c>
      <c r="I124" s="23" t="s">
        <v>51</v>
      </c>
      <c r="J124" s="23" t="s">
        <v>33</v>
      </c>
      <c r="L124" s="23" t="n">
        <v>240</v>
      </c>
      <c r="M124" s="23" t="n">
        <v>1</v>
      </c>
      <c r="N124" s="24" t="n">
        <v>42</v>
      </c>
      <c r="O124" s="24" t="n">
        <f aca="false">N124*L124</f>
        <v>10080</v>
      </c>
      <c r="Q124" s="24" t="n">
        <v>5</v>
      </c>
      <c r="R124" s="46"/>
      <c r="S124" s="46"/>
      <c r="T124" s="46"/>
      <c r="U124" s="46"/>
      <c r="V124" s="46"/>
      <c r="W124" s="46"/>
      <c r="X124" s="23"/>
      <c r="Y124" s="46"/>
      <c r="Z124" s="46"/>
      <c r="AA124" s="46"/>
      <c r="AB124" s="46"/>
      <c r="AC124" s="46"/>
      <c r="AD124" s="23"/>
    </row>
    <row r="125" customFormat="false" ht="15" hidden="false" customHeight="false" outlineLevel="0" collapsed="false">
      <c r="A125" s="37" t="n">
        <v>8420</v>
      </c>
      <c r="B125" s="37"/>
      <c r="C125" s="37" t="s">
        <v>902</v>
      </c>
      <c r="D125" s="37" t="s">
        <v>903</v>
      </c>
      <c r="E125" s="37" t="s">
        <v>44</v>
      </c>
      <c r="F125" s="37" t="n">
        <v>2015</v>
      </c>
      <c r="G125" s="37" t="s">
        <v>904</v>
      </c>
      <c r="H125" s="23" t="n">
        <v>1</v>
      </c>
      <c r="I125" s="23" t="s">
        <v>32</v>
      </c>
      <c r="J125" s="23" t="s">
        <v>33</v>
      </c>
      <c r="L125" s="23" t="n">
        <v>360</v>
      </c>
      <c r="M125" s="23" t="n">
        <v>1</v>
      </c>
      <c r="N125" s="45" t="n">
        <v>3</v>
      </c>
      <c r="O125" s="24" t="n">
        <f aca="false">L125*M125*N125</f>
        <v>1080</v>
      </c>
      <c r="Q125" s="24" t="n">
        <v>15</v>
      </c>
      <c r="R125" s="46"/>
      <c r="S125" s="46"/>
      <c r="T125" s="46"/>
      <c r="U125" s="46"/>
      <c r="V125" s="46"/>
      <c r="W125" s="46"/>
      <c r="X125" s="23"/>
      <c r="Y125" s="46"/>
      <c r="Z125" s="46"/>
      <c r="AA125" s="46"/>
      <c r="AB125" s="46"/>
      <c r="AC125" s="46"/>
      <c r="AD125" s="23"/>
    </row>
    <row r="126" customFormat="false" ht="15" hidden="false" customHeight="false" outlineLevel="0" collapsed="false">
      <c r="A126" s="37" t="n">
        <v>8420</v>
      </c>
      <c r="B126" s="37"/>
      <c r="C126" s="37" t="s">
        <v>902</v>
      </c>
      <c r="D126" s="37" t="s">
        <v>903</v>
      </c>
      <c r="E126" s="37" t="s">
        <v>44</v>
      </c>
      <c r="F126" s="37" t="n">
        <v>2015</v>
      </c>
      <c r="G126" s="37" t="s">
        <v>904</v>
      </c>
      <c r="H126" s="23" t="n">
        <v>1</v>
      </c>
      <c r="I126" s="23" t="s">
        <v>32</v>
      </c>
      <c r="J126" s="23" t="s">
        <v>33</v>
      </c>
      <c r="L126" s="23" t="n">
        <v>360</v>
      </c>
      <c r="M126" s="23" t="n">
        <v>1</v>
      </c>
      <c r="N126" s="45" t="n">
        <v>14</v>
      </c>
      <c r="O126" s="24" t="n">
        <f aca="false">L126*M126*N126</f>
        <v>5040</v>
      </c>
      <c r="Q126" s="24" t="n">
        <v>15</v>
      </c>
      <c r="R126" s="46"/>
      <c r="S126" s="46"/>
      <c r="T126" s="46"/>
      <c r="U126" s="46"/>
      <c r="V126" s="46"/>
      <c r="W126" s="46"/>
      <c r="X126" s="23"/>
      <c r="Y126" s="46"/>
      <c r="Z126" s="46"/>
      <c r="AA126" s="46"/>
      <c r="AB126" s="46"/>
      <c r="AC126" s="46"/>
      <c r="AD126" s="23"/>
    </row>
    <row r="127" customFormat="false" ht="15" hidden="false" customHeight="false" outlineLevel="0" collapsed="false">
      <c r="A127" s="23" t="n">
        <v>8451</v>
      </c>
      <c r="C127" s="23" t="s">
        <v>378</v>
      </c>
      <c r="D127" s="23" t="s">
        <v>379</v>
      </c>
      <c r="E127" s="23" t="s">
        <v>380</v>
      </c>
      <c r="F127" s="23" t="n">
        <v>2025</v>
      </c>
      <c r="G127" s="23" t="s">
        <v>381</v>
      </c>
      <c r="H127" s="23" t="n">
        <v>1</v>
      </c>
      <c r="I127" s="23" t="s">
        <v>32</v>
      </c>
      <c r="J127" s="23" t="s">
        <v>33</v>
      </c>
      <c r="L127" s="23" t="n">
        <v>480</v>
      </c>
      <c r="M127" s="23" t="n">
        <v>1</v>
      </c>
      <c r="N127" s="24" t="n">
        <v>14</v>
      </c>
      <c r="O127" s="24" t="n">
        <f aca="false">L127*M127*N127</f>
        <v>6720</v>
      </c>
      <c r="Q127" s="24" t="s">
        <v>41</v>
      </c>
      <c r="R127" s="46"/>
      <c r="S127" s="46"/>
      <c r="T127" s="46"/>
      <c r="U127" s="46"/>
      <c r="V127" s="46"/>
      <c r="W127" s="46"/>
      <c r="X127" s="23"/>
      <c r="Y127" s="46"/>
      <c r="Z127" s="46"/>
      <c r="AA127" s="46"/>
      <c r="AB127" s="46"/>
      <c r="AC127" s="46"/>
      <c r="AD127" s="23"/>
    </row>
    <row r="128" customFormat="false" ht="15" hidden="false" customHeight="false" outlineLevel="0" collapsed="false">
      <c r="A128" s="23" t="n">
        <v>8709</v>
      </c>
      <c r="C128" s="23" t="s">
        <v>766</v>
      </c>
      <c r="D128" s="23" t="s">
        <v>767</v>
      </c>
      <c r="E128" s="23" t="s">
        <v>768</v>
      </c>
      <c r="F128" s="23" t="n">
        <v>2023</v>
      </c>
      <c r="G128" s="23" t="s">
        <v>769</v>
      </c>
      <c r="H128" s="23" t="n">
        <v>1</v>
      </c>
      <c r="I128" s="23" t="s">
        <v>32</v>
      </c>
      <c r="J128" s="23" t="s">
        <v>97</v>
      </c>
      <c r="K128" s="27" t="s">
        <v>605</v>
      </c>
      <c r="L128" s="23" t="n">
        <v>60</v>
      </c>
      <c r="M128" s="23" t="n">
        <v>1</v>
      </c>
      <c r="N128" s="24" t="n">
        <v>56</v>
      </c>
      <c r="O128" s="24" t="n">
        <f aca="false">L128*M128*N128</f>
        <v>3360</v>
      </c>
      <c r="Q128" s="24" t="n">
        <v>10</v>
      </c>
      <c r="R128" s="43"/>
      <c r="S128" s="43"/>
      <c r="T128" s="43"/>
      <c r="U128" s="43"/>
      <c r="V128" s="43"/>
      <c r="W128" s="43"/>
      <c r="X128" s="23"/>
      <c r="Y128" s="43"/>
      <c r="Z128" s="43"/>
      <c r="AA128" s="43"/>
      <c r="AB128" s="43"/>
      <c r="AC128" s="43"/>
      <c r="AD128" s="23"/>
    </row>
    <row r="129" customFormat="false" ht="15" hidden="false" customHeight="false" outlineLevel="0" collapsed="false">
      <c r="A129" s="23" t="n">
        <v>8767</v>
      </c>
      <c r="B129" s="23" t="n">
        <v>25315361</v>
      </c>
      <c r="C129" s="23" t="s">
        <v>406</v>
      </c>
      <c r="D129" s="23" t="s">
        <v>407</v>
      </c>
      <c r="E129" s="23" t="s">
        <v>127</v>
      </c>
      <c r="F129" s="23" t="n">
        <v>2015</v>
      </c>
      <c r="G129" s="23" t="s">
        <v>408</v>
      </c>
      <c r="H129" s="23" t="n">
        <v>1</v>
      </c>
      <c r="I129" s="23" t="s">
        <v>51</v>
      </c>
      <c r="J129" s="23" t="s">
        <v>33</v>
      </c>
      <c r="L129" s="23" t="n">
        <v>240</v>
      </c>
      <c r="M129" s="23" t="n">
        <v>1</v>
      </c>
      <c r="N129" s="24" t="n">
        <v>42</v>
      </c>
      <c r="O129" s="24" t="n">
        <f aca="false">N129*L129</f>
        <v>10080</v>
      </c>
      <c r="Q129" s="24" t="n">
        <v>5</v>
      </c>
      <c r="R129" s="46"/>
      <c r="S129" s="46"/>
      <c r="T129" s="46"/>
      <c r="U129" s="46"/>
      <c r="V129" s="46"/>
      <c r="W129" s="46"/>
      <c r="X129" s="23"/>
      <c r="Y129" s="46"/>
      <c r="Z129" s="46"/>
      <c r="AA129" s="46"/>
      <c r="AB129" s="46"/>
      <c r="AC129" s="46"/>
      <c r="AD129" s="23"/>
    </row>
    <row r="130" customFormat="false" ht="16.4" hidden="false" customHeight="false" outlineLevel="0" collapsed="false">
      <c r="A130" s="23" t="n">
        <v>8964</v>
      </c>
      <c r="C130" s="41" t="s">
        <v>418</v>
      </c>
      <c r="D130" s="41" t="s">
        <v>422</v>
      </c>
      <c r="E130" s="41" t="s">
        <v>420</v>
      </c>
      <c r="F130" s="41" t="n">
        <v>2024</v>
      </c>
      <c r="G130" s="42" t="s">
        <v>421</v>
      </c>
      <c r="H130" s="23" t="n">
        <v>1</v>
      </c>
      <c r="I130" s="23" t="s">
        <v>32</v>
      </c>
      <c r="J130" s="23" t="s">
        <v>33</v>
      </c>
      <c r="L130" s="23" t="n">
        <v>360</v>
      </c>
      <c r="M130" s="23" t="n">
        <v>1</v>
      </c>
      <c r="N130" s="24" t="n">
        <v>56</v>
      </c>
      <c r="O130" s="24" t="n">
        <f aca="false">L130*M130*N130</f>
        <v>20160</v>
      </c>
      <c r="Q130" s="24" t="n">
        <v>5</v>
      </c>
      <c r="R130" s="46"/>
      <c r="S130" s="46"/>
      <c r="T130" s="46"/>
      <c r="U130" s="46"/>
      <c r="V130" s="46"/>
      <c r="W130" s="46"/>
      <c r="X130" s="23"/>
      <c r="Y130" s="46"/>
      <c r="Z130" s="46"/>
      <c r="AA130" s="46"/>
      <c r="AB130" s="46"/>
      <c r="AC130" s="46"/>
      <c r="AD130" s="23"/>
    </row>
    <row r="131" customFormat="false" ht="15" hidden="false" customHeight="false" outlineLevel="0" collapsed="false">
      <c r="A131" s="23" t="n">
        <v>8977</v>
      </c>
      <c r="C131" s="23" t="s">
        <v>591</v>
      </c>
      <c r="D131" s="23" t="s">
        <v>592</v>
      </c>
      <c r="E131" s="23" t="s">
        <v>593</v>
      </c>
      <c r="F131" s="23" t="n">
        <v>2020</v>
      </c>
      <c r="G131" s="23" t="s">
        <v>594</v>
      </c>
      <c r="H131" s="23" t="n">
        <v>1</v>
      </c>
      <c r="I131" s="23" t="s">
        <v>32</v>
      </c>
      <c r="J131" s="23" t="s">
        <v>400</v>
      </c>
      <c r="K131" s="27" t="s">
        <v>41</v>
      </c>
      <c r="L131" s="23" t="n">
        <v>45</v>
      </c>
      <c r="M131" s="23" t="n">
        <v>3</v>
      </c>
      <c r="N131" s="24" t="n">
        <v>7</v>
      </c>
      <c r="O131" s="24" t="n">
        <f aca="false">L131*M131*N131</f>
        <v>945</v>
      </c>
      <c r="P131" s="23" t="s">
        <v>595</v>
      </c>
      <c r="Q131" s="24" t="n">
        <v>5</v>
      </c>
      <c r="R131" s="46"/>
      <c r="S131" s="46"/>
      <c r="T131" s="46"/>
      <c r="U131" s="46"/>
      <c r="V131" s="46"/>
      <c r="W131" s="46"/>
      <c r="X131" s="23"/>
      <c r="Y131" s="46"/>
      <c r="Z131" s="46"/>
      <c r="AA131" s="46"/>
      <c r="AB131" s="46"/>
      <c r="AC131" s="46"/>
      <c r="AD131" s="23"/>
    </row>
    <row r="132" customFormat="false" ht="16.4" hidden="false" customHeight="false" outlineLevel="0" collapsed="false">
      <c r="A132" s="23" t="n">
        <v>8989</v>
      </c>
      <c r="C132" s="41" t="s">
        <v>423</v>
      </c>
      <c r="D132" s="41" t="s">
        <v>424</v>
      </c>
      <c r="E132" s="41" t="s">
        <v>425</v>
      </c>
      <c r="F132" s="41" t="n">
        <v>2023</v>
      </c>
      <c r="G132" s="42" t="s">
        <v>426</v>
      </c>
      <c r="H132" s="23" t="n">
        <v>1</v>
      </c>
      <c r="I132" s="23" t="s">
        <v>51</v>
      </c>
      <c r="J132" s="23" t="s">
        <v>33</v>
      </c>
      <c r="L132" s="23" t="n">
        <v>360</v>
      </c>
      <c r="M132" s="23" t="n">
        <v>1</v>
      </c>
      <c r="N132" s="24" t="n">
        <v>21</v>
      </c>
      <c r="O132" s="24" t="n">
        <f aca="false">L132*M132*N132</f>
        <v>7560</v>
      </c>
      <c r="Q132" s="24" t="n">
        <v>3</v>
      </c>
      <c r="R132" s="46"/>
      <c r="S132" s="46"/>
      <c r="T132" s="46"/>
      <c r="U132" s="46"/>
      <c r="V132" s="46"/>
      <c r="W132" s="46"/>
      <c r="X132" s="23"/>
      <c r="Y132" s="46"/>
      <c r="Z132" s="46"/>
      <c r="AA132" s="46"/>
      <c r="AB132" s="46"/>
      <c r="AC132" s="46"/>
      <c r="AD132" s="23"/>
    </row>
    <row r="133" customFormat="false" ht="15" hidden="false" customHeight="false" outlineLevel="0" collapsed="false">
      <c r="A133" s="37" t="n">
        <v>9101</v>
      </c>
      <c r="B133" s="37" t="n">
        <v>25660342</v>
      </c>
      <c r="C133" s="37" t="s">
        <v>905</v>
      </c>
      <c r="D133" s="37" t="s">
        <v>906</v>
      </c>
      <c r="E133" s="37" t="s">
        <v>858</v>
      </c>
      <c r="F133" s="37" t="n">
        <v>2015</v>
      </c>
      <c r="G133" s="37" t="s">
        <v>907</v>
      </c>
      <c r="H133" s="23" t="n">
        <v>1</v>
      </c>
      <c r="I133" s="23" t="s">
        <v>32</v>
      </c>
      <c r="J133" s="23" t="s">
        <v>33</v>
      </c>
      <c r="L133" s="23" t="n">
        <v>120</v>
      </c>
      <c r="M133" s="23" t="n">
        <v>1</v>
      </c>
      <c r="N133" s="45" t="n">
        <v>3</v>
      </c>
      <c r="O133" s="24" t="n">
        <f aca="false">N133*L133</f>
        <v>360</v>
      </c>
      <c r="Q133" s="24" t="n">
        <v>5</v>
      </c>
      <c r="R133" s="46"/>
      <c r="S133" s="46"/>
      <c r="T133" s="46"/>
      <c r="U133" s="46"/>
      <c r="V133" s="46"/>
      <c r="W133" s="46"/>
      <c r="X133" s="23"/>
      <c r="Y133" s="46"/>
      <c r="Z133" s="46"/>
      <c r="AA133" s="46"/>
      <c r="AB133" s="46"/>
      <c r="AC133" s="46"/>
      <c r="AD133" s="23"/>
    </row>
    <row r="134" customFormat="false" ht="15" hidden="false" customHeight="false" outlineLevel="0" collapsed="false">
      <c r="A134" s="37" t="n">
        <v>9101</v>
      </c>
      <c r="B134" s="37" t="n">
        <v>25660342</v>
      </c>
      <c r="C134" s="37" t="s">
        <v>905</v>
      </c>
      <c r="D134" s="37" t="s">
        <v>906</v>
      </c>
      <c r="E134" s="37" t="s">
        <v>858</v>
      </c>
      <c r="F134" s="37" t="n">
        <v>2015</v>
      </c>
      <c r="G134" s="37" t="s">
        <v>907</v>
      </c>
      <c r="H134" s="23" t="n">
        <v>1</v>
      </c>
      <c r="I134" s="23" t="s">
        <v>32</v>
      </c>
      <c r="J134" s="23" t="s">
        <v>33</v>
      </c>
      <c r="L134" s="23" t="n">
        <v>120</v>
      </c>
      <c r="M134" s="23" t="n">
        <v>1</v>
      </c>
      <c r="N134" s="45" t="n">
        <v>7</v>
      </c>
      <c r="O134" s="24" t="n">
        <f aca="false">N134*L134</f>
        <v>840</v>
      </c>
      <c r="Q134" s="24" t="n">
        <v>5</v>
      </c>
      <c r="R134" s="46"/>
      <c r="S134" s="46"/>
      <c r="T134" s="46"/>
      <c r="U134" s="46"/>
      <c r="V134" s="46"/>
      <c r="W134" s="46"/>
      <c r="X134" s="23"/>
      <c r="Y134" s="46"/>
      <c r="Z134" s="46"/>
      <c r="AA134" s="46"/>
      <c r="AB134" s="46"/>
      <c r="AC134" s="46"/>
      <c r="AD134" s="23"/>
    </row>
    <row r="135" customFormat="false" ht="15" hidden="false" customHeight="false" outlineLevel="0" collapsed="false">
      <c r="A135" s="37" t="n">
        <v>9101</v>
      </c>
      <c r="B135" s="37" t="n">
        <v>25660342</v>
      </c>
      <c r="C135" s="37" t="s">
        <v>905</v>
      </c>
      <c r="D135" s="37" t="s">
        <v>906</v>
      </c>
      <c r="E135" s="37" t="s">
        <v>858</v>
      </c>
      <c r="F135" s="37" t="n">
        <v>2015</v>
      </c>
      <c r="G135" s="37" t="s">
        <v>907</v>
      </c>
      <c r="H135" s="23" t="n">
        <v>1</v>
      </c>
      <c r="I135" s="23" t="s">
        <v>32</v>
      </c>
      <c r="J135" s="23" t="s">
        <v>33</v>
      </c>
      <c r="L135" s="23" t="n">
        <v>120</v>
      </c>
      <c r="M135" s="23" t="n">
        <v>1</v>
      </c>
      <c r="N135" s="45" t="n">
        <v>14</v>
      </c>
      <c r="O135" s="24" t="n">
        <f aca="false">N135*L135</f>
        <v>1680</v>
      </c>
      <c r="Q135" s="24" t="n">
        <v>5</v>
      </c>
      <c r="R135" s="46"/>
      <c r="S135" s="46"/>
      <c r="T135" s="46"/>
      <c r="U135" s="46"/>
      <c r="V135" s="46"/>
      <c r="W135" s="46"/>
      <c r="X135" s="23"/>
      <c r="Y135" s="46"/>
      <c r="Z135" s="46"/>
      <c r="AA135" s="46"/>
      <c r="AB135" s="46"/>
      <c r="AC135" s="46"/>
      <c r="AD135" s="23"/>
    </row>
    <row r="136" customFormat="false" ht="16.4" hidden="false" customHeight="false" outlineLevel="0" collapsed="false">
      <c r="A136" s="23" t="n">
        <v>9120</v>
      </c>
      <c r="C136" s="41" t="s">
        <v>434</v>
      </c>
      <c r="D136" s="41" t="s">
        <v>435</v>
      </c>
      <c r="E136" s="41" t="s">
        <v>436</v>
      </c>
      <c r="F136" s="41" t="n">
        <v>2023</v>
      </c>
      <c r="G136" s="42" t="s">
        <v>437</v>
      </c>
      <c r="H136" s="23" t="n">
        <v>1</v>
      </c>
      <c r="I136" s="23" t="s">
        <v>438</v>
      </c>
      <c r="J136" s="23" t="s">
        <v>33</v>
      </c>
      <c r="K136" s="27" t="s">
        <v>168</v>
      </c>
      <c r="L136" s="23" t="n">
        <v>30</v>
      </c>
      <c r="M136" s="23" t="n">
        <v>1</v>
      </c>
      <c r="N136" s="24" t="n">
        <v>10</v>
      </c>
      <c r="O136" s="24" t="n">
        <f aca="false">L136*M136*N136</f>
        <v>300</v>
      </c>
      <c r="Q136" s="24" t="n">
        <v>10</v>
      </c>
      <c r="R136" s="46"/>
      <c r="S136" s="46"/>
      <c r="T136" s="46"/>
      <c r="U136" s="46"/>
      <c r="V136" s="46"/>
      <c r="W136" s="46"/>
      <c r="X136" s="23"/>
      <c r="Y136" s="46"/>
      <c r="Z136" s="46"/>
      <c r="AA136" s="46"/>
      <c r="AB136" s="46"/>
      <c r="AC136" s="46"/>
      <c r="AD136" s="23"/>
    </row>
    <row r="137" customFormat="false" ht="15" hidden="false" customHeight="false" outlineLevel="0" collapsed="false">
      <c r="A137" s="23" t="n">
        <v>9211</v>
      </c>
      <c r="C137" s="23" t="s">
        <v>908</v>
      </c>
      <c r="D137" s="23" t="s">
        <v>909</v>
      </c>
      <c r="E137" s="23" t="s">
        <v>846</v>
      </c>
      <c r="F137" s="23" t="n">
        <v>2022</v>
      </c>
      <c r="G137" s="23" t="s">
        <v>910</v>
      </c>
      <c r="H137" s="23" t="n">
        <v>1</v>
      </c>
      <c r="I137" s="23" t="s">
        <v>51</v>
      </c>
      <c r="J137" s="23" t="s">
        <v>33</v>
      </c>
      <c r="K137" s="27" t="s">
        <v>262</v>
      </c>
      <c r="L137" s="23" t="n">
        <v>360</v>
      </c>
      <c r="M137" s="23" t="n">
        <v>1</v>
      </c>
      <c r="N137" s="24" t="n">
        <v>21</v>
      </c>
      <c r="O137" s="24" t="n">
        <f aca="false">L137*M137*N137</f>
        <v>7560</v>
      </c>
      <c r="Q137" s="24" t="n">
        <v>3</v>
      </c>
      <c r="R137" s="46"/>
      <c r="S137" s="46"/>
      <c r="T137" s="46"/>
      <c r="U137" s="46"/>
      <c r="V137" s="46"/>
      <c r="W137" s="46"/>
      <c r="X137" s="23"/>
      <c r="Y137" s="46"/>
      <c r="Z137" s="46"/>
      <c r="AA137" s="46"/>
      <c r="AB137" s="46"/>
      <c r="AC137" s="46"/>
      <c r="AD137" s="23"/>
    </row>
    <row r="138" customFormat="false" ht="15" hidden="false" customHeight="false" outlineLevel="0" collapsed="false">
      <c r="A138" s="23" t="n">
        <v>9223</v>
      </c>
      <c r="B138" s="23" t="n">
        <v>37315214</v>
      </c>
      <c r="C138" s="23" t="s">
        <v>911</v>
      </c>
      <c r="D138" s="23" t="s">
        <v>912</v>
      </c>
      <c r="E138" s="23" t="s">
        <v>913</v>
      </c>
      <c r="F138" s="23" t="n">
        <v>2023</v>
      </c>
      <c r="G138" s="23" t="s">
        <v>914</v>
      </c>
      <c r="H138" s="23" t="n">
        <v>1</v>
      </c>
      <c r="I138" s="23" t="s">
        <v>51</v>
      </c>
      <c r="J138" s="23" t="s">
        <v>33</v>
      </c>
      <c r="K138" s="27" t="n">
        <v>12</v>
      </c>
      <c r="L138" s="23" t="n">
        <v>120</v>
      </c>
      <c r="M138" s="23" t="n">
        <v>1</v>
      </c>
      <c r="N138" s="24" t="n">
        <v>14</v>
      </c>
      <c r="O138" s="24" t="n">
        <f aca="false">N138*L138</f>
        <v>1680</v>
      </c>
      <c r="Q138" s="24" t="n">
        <v>5</v>
      </c>
      <c r="R138" s="23" t="s">
        <v>118</v>
      </c>
      <c r="S138" s="23" t="n">
        <v>13</v>
      </c>
      <c r="T138" s="23" t="n">
        <v>2</v>
      </c>
      <c r="U138" s="23" t="n">
        <v>8</v>
      </c>
      <c r="V138" s="23" t="n">
        <v>8</v>
      </c>
      <c r="W138" s="26" t="n">
        <f aca="false">T138*(SQRT(V138))</f>
        <v>5.65685424949238</v>
      </c>
      <c r="X138" s="23"/>
      <c r="Y138" s="23" t="n">
        <v>4.3</v>
      </c>
      <c r="Z138" s="23" t="n">
        <v>1.8</v>
      </c>
      <c r="AA138" s="23" t="n">
        <v>8</v>
      </c>
      <c r="AB138" s="23" t="n">
        <v>8</v>
      </c>
      <c r="AC138" s="26" t="n">
        <f aca="false">Z138*(SQRT(AB138))</f>
        <v>5.09116882454314</v>
      </c>
      <c r="AD138" s="23"/>
    </row>
    <row r="139" customFormat="false" ht="15" hidden="false" customHeight="false" outlineLevel="0" collapsed="false">
      <c r="A139" s="23" t="n">
        <v>9234</v>
      </c>
      <c r="B139" s="23" t="n">
        <v>35925279</v>
      </c>
      <c r="C139" s="23" t="s">
        <v>601</v>
      </c>
      <c r="D139" s="23" t="s">
        <v>602</v>
      </c>
      <c r="E139" s="23" t="s">
        <v>127</v>
      </c>
      <c r="F139" s="23" t="n">
        <v>2022</v>
      </c>
      <c r="G139" s="23" t="s">
        <v>603</v>
      </c>
      <c r="H139" s="23" t="n">
        <v>1</v>
      </c>
      <c r="I139" s="23" t="s">
        <v>123</v>
      </c>
      <c r="J139" s="23" t="s">
        <v>33</v>
      </c>
      <c r="K139" s="27" t="n">
        <v>8</v>
      </c>
      <c r="L139" s="23" t="n">
        <v>360</v>
      </c>
      <c r="M139" s="23" t="n">
        <v>1</v>
      </c>
      <c r="N139" s="24" t="n">
        <v>28</v>
      </c>
      <c r="O139" s="24" t="n">
        <f aca="false">N139*L139</f>
        <v>10080</v>
      </c>
      <c r="Q139" s="24" t="n">
        <v>10</v>
      </c>
      <c r="R139" s="46"/>
      <c r="S139" s="46"/>
      <c r="T139" s="46"/>
      <c r="U139" s="46"/>
      <c r="V139" s="46"/>
      <c r="W139" s="46"/>
      <c r="X139" s="23"/>
      <c r="Y139" s="46"/>
      <c r="Z139" s="46"/>
      <c r="AA139" s="46"/>
      <c r="AB139" s="46"/>
      <c r="AC139" s="46"/>
      <c r="AD139" s="23"/>
    </row>
    <row r="140" customFormat="false" ht="16.4" hidden="false" customHeight="false" outlineLevel="0" collapsed="false">
      <c r="A140" s="23" t="n">
        <v>9352</v>
      </c>
      <c r="C140" s="41" t="s">
        <v>915</v>
      </c>
      <c r="D140" s="41" t="s">
        <v>916</v>
      </c>
      <c r="E140" s="41" t="s">
        <v>831</v>
      </c>
      <c r="F140" s="41" t="n">
        <v>2015</v>
      </c>
      <c r="G140" s="42" t="s">
        <v>917</v>
      </c>
      <c r="H140" s="23" t="n">
        <v>1</v>
      </c>
      <c r="I140" s="23" t="s">
        <v>51</v>
      </c>
      <c r="J140" s="23" t="s">
        <v>33</v>
      </c>
      <c r="L140" s="23" t="n">
        <v>180</v>
      </c>
      <c r="M140" s="23" t="n">
        <v>1</v>
      </c>
      <c r="N140" s="24" t="n">
        <v>21</v>
      </c>
      <c r="O140" s="24" t="n">
        <f aca="false">L140*M140*N140</f>
        <v>3780</v>
      </c>
      <c r="Q140" s="24" t="n">
        <v>5</v>
      </c>
      <c r="R140" s="46"/>
      <c r="S140" s="46"/>
      <c r="T140" s="46"/>
      <c r="U140" s="46"/>
      <c r="V140" s="46"/>
      <c r="W140" s="46"/>
      <c r="X140" s="23"/>
      <c r="Y140" s="46"/>
      <c r="Z140" s="46"/>
      <c r="AA140" s="46"/>
      <c r="AB140" s="46"/>
      <c r="AC140" s="46"/>
      <c r="AD140" s="23"/>
    </row>
    <row r="141" customFormat="false" ht="15" hidden="false" customHeight="false" outlineLevel="0" collapsed="false">
      <c r="A141" s="23" t="n">
        <v>9442</v>
      </c>
      <c r="B141" s="23" t="n">
        <v>34704719</v>
      </c>
      <c r="C141" s="23" t="s">
        <v>443</v>
      </c>
      <c r="D141" s="23" t="s">
        <v>444</v>
      </c>
      <c r="E141" s="23" t="s">
        <v>445</v>
      </c>
      <c r="F141" s="23" t="n">
        <v>2021</v>
      </c>
      <c r="G141" s="23" t="s">
        <v>446</v>
      </c>
      <c r="H141" s="23" t="n">
        <v>1</v>
      </c>
      <c r="I141" s="23" t="s">
        <v>32</v>
      </c>
      <c r="J141" s="23" t="s">
        <v>33</v>
      </c>
      <c r="L141" s="23" t="n">
        <v>360</v>
      </c>
      <c r="M141" s="23" t="n">
        <v>1</v>
      </c>
      <c r="N141" s="24" t="n">
        <v>21</v>
      </c>
      <c r="O141" s="24" t="n">
        <f aca="false">N141*L141</f>
        <v>7560</v>
      </c>
      <c r="Q141" s="24" t="n">
        <v>5</v>
      </c>
      <c r="R141" s="46"/>
      <c r="S141" s="46"/>
      <c r="T141" s="46"/>
      <c r="U141" s="46"/>
      <c r="V141" s="46"/>
      <c r="W141" s="46"/>
      <c r="X141" s="23"/>
      <c r="Y141" s="46"/>
      <c r="Z141" s="46"/>
      <c r="AA141" s="46"/>
      <c r="AB141" s="46"/>
      <c r="AC141" s="46"/>
      <c r="AD141" s="23"/>
    </row>
    <row r="142" customFormat="false" ht="15" hidden="false" customHeight="false" outlineLevel="0" collapsed="false">
      <c r="A142" s="37" t="n">
        <v>9542</v>
      </c>
      <c r="B142" s="37"/>
      <c r="C142" s="37" t="s">
        <v>447</v>
      </c>
      <c r="D142" s="37" t="s">
        <v>448</v>
      </c>
      <c r="E142" s="37" t="s">
        <v>56</v>
      </c>
      <c r="F142" s="37" t="n">
        <v>2025</v>
      </c>
      <c r="G142" s="37" t="s">
        <v>449</v>
      </c>
      <c r="H142" s="23" t="n">
        <v>1</v>
      </c>
      <c r="I142" s="23" t="s">
        <v>51</v>
      </c>
      <c r="J142" s="23" t="s">
        <v>33</v>
      </c>
      <c r="K142" s="27" t="s">
        <v>94</v>
      </c>
      <c r="L142" s="23" t="n">
        <v>360</v>
      </c>
      <c r="M142" s="23" t="n">
        <v>1</v>
      </c>
      <c r="N142" s="45" t="n">
        <v>15</v>
      </c>
      <c r="O142" s="24" t="n">
        <f aca="false">L142*M142*N142</f>
        <v>5400</v>
      </c>
      <c r="Q142" s="24" t="n">
        <v>10</v>
      </c>
      <c r="R142" s="23" t="s">
        <v>52</v>
      </c>
      <c r="S142" s="23" t="n">
        <v>29</v>
      </c>
      <c r="T142" s="23" t="n">
        <v>3.4</v>
      </c>
      <c r="U142" s="23" t="n">
        <v>7</v>
      </c>
      <c r="V142" s="23" t="n">
        <v>7</v>
      </c>
      <c r="W142" s="26" t="n">
        <f aca="false">T142*(SQRT(V142))</f>
        <v>8.99555445761961</v>
      </c>
      <c r="X142" s="23"/>
      <c r="Y142" s="23" t="n">
        <v>9</v>
      </c>
      <c r="Z142" s="23" t="n">
        <v>1.1</v>
      </c>
      <c r="AA142" s="23" t="n">
        <v>7</v>
      </c>
      <c r="AB142" s="23" t="n">
        <v>7</v>
      </c>
      <c r="AC142" s="26" t="n">
        <f aca="false">Z142*(SQRT(AB142))</f>
        <v>2.91032644217105</v>
      </c>
      <c r="AD142" s="23"/>
    </row>
    <row r="143" customFormat="false" ht="15" hidden="false" customHeight="false" outlineLevel="0" collapsed="false">
      <c r="A143" s="37" t="n">
        <v>9542</v>
      </c>
      <c r="B143" s="37"/>
      <c r="C143" s="37" t="s">
        <v>447</v>
      </c>
      <c r="D143" s="37" t="s">
        <v>448</v>
      </c>
      <c r="E143" s="37" t="s">
        <v>56</v>
      </c>
      <c r="F143" s="37" t="n">
        <v>2025</v>
      </c>
      <c r="G143" s="37" t="s">
        <v>449</v>
      </c>
      <c r="H143" s="23" t="n">
        <v>1</v>
      </c>
      <c r="I143" s="23" t="s">
        <v>51</v>
      </c>
      <c r="J143" s="23" t="s">
        <v>33</v>
      </c>
      <c r="K143" s="27" t="s">
        <v>94</v>
      </c>
      <c r="L143" s="23" t="n">
        <v>360</v>
      </c>
      <c r="M143" s="23" t="n">
        <v>1</v>
      </c>
      <c r="N143" s="45" t="n">
        <v>30</v>
      </c>
      <c r="O143" s="24" t="n">
        <f aca="false">L143*M143*N143</f>
        <v>10800</v>
      </c>
      <c r="Q143" s="24" t="n">
        <v>10</v>
      </c>
      <c r="R143" s="23" t="s">
        <v>52</v>
      </c>
      <c r="S143" s="23" t="n">
        <v>37</v>
      </c>
      <c r="T143" s="23" t="n">
        <v>4.6</v>
      </c>
      <c r="U143" s="23" t="n">
        <v>7</v>
      </c>
      <c r="V143" s="23" t="n">
        <v>7</v>
      </c>
      <c r="W143" s="26" t="n">
        <f aca="false">T143*(SQRT(V143))</f>
        <v>12.1704560308971</v>
      </c>
      <c r="X143" s="23"/>
      <c r="Y143" s="23" t="n">
        <v>6</v>
      </c>
      <c r="Z143" s="23" t="n">
        <v>1.1</v>
      </c>
      <c r="AA143" s="23" t="n">
        <v>7</v>
      </c>
      <c r="AB143" s="23" t="n">
        <v>7</v>
      </c>
      <c r="AC143" s="26" t="n">
        <f aca="false">Z143*(SQRT(AB143))</f>
        <v>2.91032644217105</v>
      </c>
      <c r="AD143" s="23"/>
    </row>
    <row r="144" customFormat="false" ht="15" hidden="false" customHeight="false" outlineLevel="0" collapsed="false">
      <c r="A144" s="23" t="n">
        <v>9643</v>
      </c>
      <c r="C144" s="23" t="s">
        <v>459</v>
      </c>
      <c r="D144" s="23" t="s">
        <v>460</v>
      </c>
      <c r="E144" s="23" t="s">
        <v>461</v>
      </c>
      <c r="F144" s="23" t="n">
        <v>2019</v>
      </c>
      <c r="G144" s="23" t="s">
        <v>462</v>
      </c>
      <c r="H144" s="23" t="n">
        <v>1</v>
      </c>
      <c r="I144" s="23" t="s">
        <v>32</v>
      </c>
      <c r="J144" s="23" t="s">
        <v>33</v>
      </c>
      <c r="L144" s="23" t="n">
        <v>180</v>
      </c>
      <c r="M144" s="23" t="n">
        <v>1</v>
      </c>
      <c r="N144" s="24" t="n">
        <v>21</v>
      </c>
      <c r="O144" s="24" t="n">
        <f aca="false">L144*M144*N144</f>
        <v>3780</v>
      </c>
      <c r="Q144" s="24" t="n">
        <v>5</v>
      </c>
      <c r="R144" s="23" t="s">
        <v>243</v>
      </c>
      <c r="S144" s="23" t="n">
        <v>21</v>
      </c>
      <c r="T144" s="23" t="n">
        <v>1.4</v>
      </c>
      <c r="U144" s="27" t="s">
        <v>463</v>
      </c>
      <c r="V144" s="23" t="n">
        <v>9</v>
      </c>
      <c r="W144" s="26" t="n">
        <f aca="false">T144*(SQRT(V144))</f>
        <v>4.2</v>
      </c>
      <c r="X144" s="23"/>
      <c r="Y144" s="23" t="n">
        <v>41</v>
      </c>
      <c r="Z144" s="23" t="n">
        <v>4.6</v>
      </c>
      <c r="AA144" s="27" t="s">
        <v>463</v>
      </c>
      <c r="AB144" s="23" t="n">
        <v>9</v>
      </c>
      <c r="AC144" s="26" t="n">
        <f aca="false">Z144*(SQRT(AB144))</f>
        <v>13.8</v>
      </c>
      <c r="AD144" s="23"/>
    </row>
    <row r="145" customFormat="false" ht="15" hidden="false" customHeight="false" outlineLevel="0" collapsed="false">
      <c r="A145" s="23" t="n">
        <v>9767</v>
      </c>
      <c r="C145" s="23" t="s">
        <v>918</v>
      </c>
      <c r="D145" s="23" t="s">
        <v>919</v>
      </c>
      <c r="E145" s="23" t="s">
        <v>452</v>
      </c>
      <c r="F145" s="23" t="n">
        <v>2019</v>
      </c>
      <c r="G145" s="23" t="s">
        <v>920</v>
      </c>
      <c r="H145" s="23" t="n">
        <v>1</v>
      </c>
      <c r="I145" s="23" t="s">
        <v>32</v>
      </c>
      <c r="J145" s="23" t="s">
        <v>33</v>
      </c>
      <c r="L145" s="23" t="n">
        <v>180</v>
      </c>
      <c r="M145" s="23" t="n">
        <v>1</v>
      </c>
      <c r="N145" s="24" t="n">
        <v>21</v>
      </c>
      <c r="O145" s="24" t="n">
        <f aca="false">L145*M145*N145</f>
        <v>3780</v>
      </c>
      <c r="Q145" s="24" t="n">
        <v>5</v>
      </c>
      <c r="R145" s="46"/>
      <c r="S145" s="46"/>
      <c r="T145" s="46"/>
      <c r="U145" s="46"/>
      <c r="V145" s="46"/>
      <c r="W145" s="46"/>
      <c r="X145" s="23"/>
      <c r="Y145" s="46"/>
      <c r="Z145" s="46"/>
      <c r="AA145" s="46"/>
      <c r="AB145" s="46"/>
      <c r="AC145" s="46"/>
      <c r="AD145" s="23"/>
    </row>
    <row r="146" customFormat="false" ht="15" hidden="false" customHeight="false" outlineLevel="0" collapsed="false">
      <c r="A146" s="23" t="n">
        <v>9825</v>
      </c>
      <c r="B146" s="23" t="n">
        <v>28866053</v>
      </c>
      <c r="C146" s="23" t="s">
        <v>471</v>
      </c>
      <c r="D146" s="23" t="s">
        <v>472</v>
      </c>
      <c r="E146" s="23" t="s">
        <v>291</v>
      </c>
      <c r="F146" s="23" t="n">
        <v>2017</v>
      </c>
      <c r="G146" s="23" t="s">
        <v>473</v>
      </c>
      <c r="H146" s="23" t="n">
        <v>1</v>
      </c>
      <c r="I146" s="23" t="s">
        <v>51</v>
      </c>
      <c r="J146" s="23" t="s">
        <v>41</v>
      </c>
      <c r="L146" s="23" t="n">
        <v>120</v>
      </c>
      <c r="M146" s="23" t="n">
        <v>1</v>
      </c>
      <c r="N146" s="24" t="n">
        <v>21</v>
      </c>
      <c r="O146" s="24" t="n">
        <f aca="false">N146*L146</f>
        <v>2520</v>
      </c>
      <c r="Q146" s="24" t="n">
        <v>5</v>
      </c>
      <c r="R146" s="46"/>
      <c r="S146" s="46"/>
      <c r="T146" s="46"/>
      <c r="U146" s="46"/>
      <c r="V146" s="46"/>
      <c r="W146" s="46"/>
      <c r="X146" s="23"/>
      <c r="Y146" s="46"/>
      <c r="Z146" s="46"/>
      <c r="AA146" s="46"/>
      <c r="AB146" s="46"/>
      <c r="AC146" s="46"/>
      <c r="AD146" s="23"/>
    </row>
    <row r="147" s="23" customFormat="true" ht="15" hidden="false" customHeight="false" outlineLevel="0" collapsed="false">
      <c r="A147" s="23" t="n">
        <v>9892</v>
      </c>
      <c r="B147" s="23" t="n">
        <v>34646421</v>
      </c>
      <c r="C147" s="23" t="s">
        <v>783</v>
      </c>
      <c r="D147" s="23" t="s">
        <v>784</v>
      </c>
      <c r="E147" s="23" t="s">
        <v>785</v>
      </c>
      <c r="F147" s="23" t="n">
        <v>2021</v>
      </c>
      <c r="G147" s="23" t="s">
        <v>786</v>
      </c>
      <c r="H147" s="23" t="n">
        <v>1</v>
      </c>
      <c r="I147" s="23" t="s">
        <v>51</v>
      </c>
      <c r="J147" s="23" t="s">
        <v>33</v>
      </c>
      <c r="K147" s="27" t="s">
        <v>34</v>
      </c>
      <c r="L147" s="23" t="n">
        <v>360</v>
      </c>
      <c r="M147" s="23" t="n">
        <v>1</v>
      </c>
      <c r="N147" s="24" t="n">
        <v>21</v>
      </c>
      <c r="O147" s="24" t="n">
        <f aca="false">N147*L147</f>
        <v>7560</v>
      </c>
      <c r="Q147" s="24" t="n">
        <v>5</v>
      </c>
      <c r="R147" s="23" t="s">
        <v>89</v>
      </c>
      <c r="U147" s="23" t="s">
        <v>41</v>
      </c>
      <c r="W147" s="26" t="n">
        <f aca="false">T147*(SQRT(V147))</f>
        <v>0</v>
      </c>
      <c r="AA147" s="23" t="s">
        <v>41</v>
      </c>
      <c r="AC147" s="26" t="n">
        <f aca="false">Z147*(SQRT(AB147))</f>
        <v>0</v>
      </c>
      <c r="AE147" s="0"/>
      <c r="AF147" s="0"/>
      <c r="AG147" s="0"/>
    </row>
    <row r="148" customFormat="false" ht="15" hidden="false" customHeight="false" outlineLevel="0" collapsed="false">
      <c r="A148" s="23" t="n">
        <v>9900</v>
      </c>
      <c r="B148" s="23" t="n">
        <v>27346276</v>
      </c>
      <c r="C148" s="23" t="s">
        <v>474</v>
      </c>
      <c r="D148" s="23" t="s">
        <v>475</v>
      </c>
      <c r="E148" s="23" t="s">
        <v>161</v>
      </c>
      <c r="F148" s="23" t="n">
        <v>2016</v>
      </c>
      <c r="G148" s="23" t="s">
        <v>476</v>
      </c>
      <c r="H148" s="23" t="n">
        <v>1</v>
      </c>
      <c r="I148" s="23" t="s">
        <v>51</v>
      </c>
      <c r="J148" s="23" t="s">
        <v>33</v>
      </c>
      <c r="L148" s="23" t="n">
        <v>360</v>
      </c>
      <c r="M148" s="23" t="n">
        <v>1</v>
      </c>
      <c r="N148" s="24" t="n">
        <v>21</v>
      </c>
      <c r="O148" s="24" t="n">
        <f aca="false">N148*L148</f>
        <v>7560</v>
      </c>
      <c r="Q148" s="24" t="n">
        <v>5</v>
      </c>
      <c r="R148" s="46"/>
      <c r="S148" s="46"/>
      <c r="T148" s="46"/>
      <c r="U148" s="46"/>
      <c r="V148" s="46"/>
      <c r="W148" s="46"/>
      <c r="X148" s="23"/>
      <c r="Y148" s="46"/>
      <c r="Z148" s="46"/>
      <c r="AA148" s="46"/>
      <c r="AB148" s="46"/>
      <c r="AC148" s="46"/>
      <c r="AD148" s="23"/>
    </row>
  </sheetData>
  <hyperlinks>
    <hyperlink ref="G5" r:id="rId1" display="https://dx.doi.org/10.1016/j.neuroscience.2015.09.033"/>
    <hyperlink ref="G8" r:id="rId2" display="https://dx.doi.org/10.3892/mmr.2017.6851"/>
    <hyperlink ref="G12" r:id="rId3" display="https://dx.doi.org/10.1038/s41398-018-0351-z"/>
    <hyperlink ref="G37" r:id="rId4" display="https://dx.doi.org/10.13040/IJPSR.0975-8232.9%2811%29.4832-41"/>
    <hyperlink ref="G42" r:id="rId5" display="https://dx.doi.org/10.61186/jambr.32.151.144"/>
    <hyperlink ref="G52" r:id="rId6" display="https://dx.doi.org/10.1155/2017/2357653"/>
    <hyperlink ref="G57" r:id="rId7" display="https://dx.doi.org/10.3389/fpsyt.2018.00399"/>
    <hyperlink ref="G76" r:id="rId8" display="https://dx.doi.org/10.3390/brainsci15070709"/>
    <hyperlink ref="G96" r:id="rId9" display="https://dx.doi.org/10.1038/s41398-024-02887-y"/>
    <hyperlink ref="G97" r:id="rId10" display="https://dx.doi.org/10.1038/s41398-024-02887-y"/>
    <hyperlink ref="G109" r:id="rId11" display="https://dx.doi.org/10.1007/s12640-018-9963-6"/>
    <hyperlink ref="G119" r:id="rId12" display="https://dx.doi.org/10.1021/acs.jafc.2c04593"/>
    <hyperlink ref="G121" r:id="rId13" display="https://dx.doi.org/10.1155/2017/1676808"/>
    <hyperlink ref="G130" r:id="rId14" display="https://dx.doi.org/10.7324/JAPS.2024.148021"/>
    <hyperlink ref="G132" r:id="rId15" display="https://dx.doi.org/10.3390/ph16060848"/>
    <hyperlink ref="G136" r:id="rId16" display="https://dx.doi.org/10.1111/bdi.13319"/>
    <hyperlink ref="G140" r:id="rId17" display="https://dx.doi.org/10.1155/2015/41524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2025-04-29T09:55:49Z</dcterms:created>
  <dc:creator>John Menzies</dc:creator>
  <dc:description/>
  <dc:language>en-GB</dc:language>
  <cp:lastModifiedBy>Nicola Romanò</cp:lastModifiedBy>
  <dcterms:modified xsi:type="dcterms:W3CDTF">2026-09-04T14:01:54Z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