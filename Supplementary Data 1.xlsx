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oe-my.sharepoint.com/personal/jmenzies_ed_ac_uk/Documents/writing/00 active/2026 CRS effect sizes/For submission to Experimental Physiology/Rebuttal/For resubmission/"/>
    </mc:Choice>
  </mc:AlternateContent>
  <xr:revisionPtr revIDLastSave="3512" documentId="8_{D8DF8086-5EB3-4E00-A7F9-154B201F9B19}" xr6:coauthVersionLast="47" xr6:coauthVersionMax="47" xr10:uidLastSave="{6711F257-9D61-4097-9780-AE73F53A81BA}"/>
  <bookViews>
    <workbookView xWindow="1455" yWindow="60" windowWidth="27105" windowHeight="15270" tabRatio="569" xr2:uid="{8E84D9BE-3228-474D-98E0-85E446A39692}"/>
  </bookViews>
  <sheets>
    <sheet name="FST" sheetId="1" r:id="rId1"/>
    <sheet name="SPT" sheetId="10" r:id="rId2"/>
    <sheet name="EPM" sheetId="11" r:id="rId3"/>
    <sheet name="OFT"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3" i="1" l="1"/>
  <c r="X23" i="1"/>
  <c r="O23" i="1"/>
  <c r="O3" i="12"/>
  <c r="AF3" i="10"/>
  <c r="Z3" i="10"/>
  <c r="O3" i="10"/>
  <c r="AD3" i="1"/>
  <c r="X3" i="1"/>
  <c r="O3" i="1"/>
  <c r="O57" i="12"/>
  <c r="AB93" i="11"/>
  <c r="V93" i="11"/>
  <c r="AB89" i="11"/>
  <c r="V89" i="11"/>
  <c r="AB88" i="11"/>
  <c r="AB87" i="11"/>
  <c r="V88" i="11"/>
  <c r="V87" i="11"/>
  <c r="AB86" i="11"/>
  <c r="AB85" i="11"/>
  <c r="V86" i="11"/>
  <c r="V85" i="11"/>
  <c r="AB78" i="11"/>
  <c r="V78" i="11"/>
  <c r="AB64" i="11"/>
  <c r="V64" i="11"/>
  <c r="AB62" i="11"/>
  <c r="V62" i="11"/>
  <c r="AB61" i="11"/>
  <c r="V61" i="11"/>
  <c r="AB58" i="11"/>
  <c r="V58" i="11"/>
  <c r="AB55" i="11"/>
  <c r="V55" i="11"/>
  <c r="AB51" i="11"/>
  <c r="V51" i="11"/>
  <c r="AB49" i="11"/>
  <c r="V49" i="11"/>
  <c r="AB43" i="11"/>
  <c r="V43" i="11"/>
  <c r="AB37" i="11"/>
  <c r="V37" i="11"/>
  <c r="AB33" i="11"/>
  <c r="V33" i="11"/>
  <c r="V29" i="11"/>
  <c r="AB29" i="11"/>
  <c r="AB28" i="11"/>
  <c r="V28" i="11"/>
  <c r="AB27" i="11"/>
  <c r="V27" i="11"/>
  <c r="AB25" i="11"/>
  <c r="V25" i="11"/>
  <c r="AB22" i="11"/>
  <c r="V22" i="11"/>
  <c r="AB17" i="11"/>
  <c r="V17" i="11"/>
  <c r="AB12" i="11"/>
  <c r="V12" i="11"/>
  <c r="AB9" i="11"/>
  <c r="V9" i="11"/>
  <c r="AB8" i="11"/>
  <c r="V8" i="11"/>
  <c r="V7" i="11"/>
  <c r="AB7" i="11"/>
  <c r="AB6" i="11"/>
  <c r="V6" i="11"/>
  <c r="AB5" i="11"/>
  <c r="V5" i="11"/>
  <c r="V4" i="11"/>
  <c r="AB4" i="11"/>
  <c r="AF106" i="10"/>
  <c r="Z106" i="10"/>
  <c r="AF105" i="10"/>
  <c r="Z105" i="10"/>
  <c r="AF89" i="10"/>
  <c r="Z89" i="10"/>
  <c r="O85" i="10"/>
  <c r="O84" i="10"/>
  <c r="O83" i="10"/>
  <c r="AF69" i="10"/>
  <c r="Z69"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2" i="10"/>
  <c r="O81" i="10"/>
  <c r="O80" i="10"/>
  <c r="O79" i="10"/>
  <c r="O78" i="10"/>
  <c r="O77" i="10"/>
  <c r="O76" i="10"/>
  <c r="O75" i="10"/>
  <c r="O74" i="10"/>
  <c r="O73" i="10"/>
  <c r="O72" i="10"/>
  <c r="O71" i="10"/>
  <c r="O70" i="10"/>
  <c r="O69" i="10"/>
  <c r="O68" i="10"/>
  <c r="O67" i="10"/>
  <c r="O65" i="10"/>
  <c r="O64" i="10"/>
  <c r="O63"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O5" i="10"/>
  <c r="O4" i="10"/>
  <c r="AF59" i="10"/>
  <c r="AF58" i="10"/>
  <c r="AF57" i="10"/>
  <c r="Z59" i="10"/>
  <c r="Z58" i="10"/>
  <c r="Z57" i="10"/>
  <c r="AF53" i="10"/>
  <c r="Z53" i="10"/>
  <c r="AF43" i="10"/>
  <c r="Z43" i="10"/>
  <c r="AF41" i="10"/>
  <c r="Z41" i="10"/>
  <c r="Z39" i="10"/>
  <c r="AF39" i="10"/>
  <c r="AF24" i="10"/>
  <c r="Z24" i="10"/>
  <c r="AF22" i="10"/>
  <c r="Z22" i="10"/>
  <c r="AF19" i="10"/>
  <c r="Z19" i="10"/>
  <c r="AF5" i="10"/>
  <c r="Z5" i="10"/>
  <c r="AF4" i="10"/>
  <c r="Z4" i="10"/>
  <c r="AD106" i="1"/>
  <c r="AD105" i="1"/>
  <c r="X106" i="1"/>
  <c r="X105" i="1"/>
  <c r="AD104" i="1"/>
  <c r="X104" i="1"/>
  <c r="AD103" i="1"/>
  <c r="X103" i="1"/>
  <c r="AD100" i="1"/>
  <c r="X100" i="1"/>
  <c r="AD93" i="1"/>
  <c r="AD92" i="1"/>
  <c r="AD91" i="1"/>
  <c r="AD90" i="1"/>
  <c r="X93" i="1"/>
  <c r="X92" i="1"/>
  <c r="X91" i="1"/>
  <c r="X90" i="1"/>
  <c r="O93" i="1"/>
  <c r="O92" i="1"/>
  <c r="O91" i="1"/>
  <c r="AD82" i="1"/>
  <c r="X82" i="1"/>
  <c r="AD81" i="1"/>
  <c r="X81" i="1"/>
  <c r="AD77" i="1"/>
  <c r="X77" i="1"/>
  <c r="AD60" i="1"/>
  <c r="AD59" i="1"/>
  <c r="X60" i="1"/>
  <c r="X59" i="1"/>
  <c r="AD58" i="1"/>
  <c r="X58" i="1"/>
  <c r="AD56" i="1"/>
  <c r="X56" i="1"/>
  <c r="AD53" i="1"/>
  <c r="X53" i="1"/>
  <c r="AD51" i="1"/>
  <c r="X51" i="1"/>
  <c r="AD49" i="1"/>
  <c r="X49" i="1"/>
  <c r="AD33" i="1"/>
  <c r="X33" i="1"/>
  <c r="AD32" i="1"/>
  <c r="X32" i="1"/>
  <c r="X28" i="1"/>
  <c r="AD28" i="1"/>
  <c r="AD26" i="1"/>
  <c r="X26" i="1"/>
  <c r="AD22" i="1"/>
  <c r="X22" i="1"/>
  <c r="AD19" i="1"/>
  <c r="X19" i="1"/>
  <c r="AD14" i="1"/>
  <c r="X14" i="1"/>
  <c r="X13" i="1"/>
  <c r="X10" i="1"/>
  <c r="AD10" i="1"/>
  <c r="AD7" i="1"/>
  <c r="X7" i="1"/>
  <c r="AD6" i="1"/>
  <c r="X6" i="1"/>
  <c r="X5" i="1"/>
  <c r="AD5" i="1"/>
  <c r="AC144" i="12"/>
  <c r="W144" i="12"/>
  <c r="W143" i="12"/>
  <c r="AC143" i="12"/>
  <c r="AC142" i="12"/>
  <c r="W142" i="12"/>
  <c r="W138" i="12"/>
  <c r="AC92" i="12"/>
  <c r="W92" i="12"/>
  <c r="W95" i="12"/>
  <c r="AC86" i="12"/>
  <c r="W86" i="12"/>
  <c r="AC85" i="12"/>
  <c r="W85" i="12"/>
  <c r="AC69" i="12"/>
  <c r="W69" i="12"/>
  <c r="W74" i="12"/>
  <c r="AC45" i="12"/>
  <c r="W45" i="12"/>
  <c r="AC37" i="12"/>
  <c r="W37" i="12"/>
  <c r="AC36" i="12"/>
  <c r="W36" i="12"/>
  <c r="AC35" i="12"/>
  <c r="W35" i="12"/>
  <c r="AC34" i="12"/>
  <c r="W34" i="12"/>
  <c r="AC33" i="12"/>
  <c r="W33" i="12"/>
  <c r="AC32" i="12"/>
  <c r="W32" i="12"/>
  <c r="AC31" i="12"/>
  <c r="W31" i="12"/>
  <c r="AC7" i="12"/>
  <c r="W7" i="12"/>
  <c r="AC5" i="12"/>
  <c r="W5" i="12"/>
  <c r="AC4" i="12"/>
  <c r="W4" i="12"/>
  <c r="O76" i="12"/>
  <c r="O127" i="12"/>
  <c r="O107" i="12"/>
  <c r="O143" i="12"/>
  <c r="O142" i="12"/>
  <c r="O83" i="12"/>
  <c r="O59" i="12"/>
  <c r="O58" i="12"/>
  <c r="O98" i="12"/>
  <c r="O90" i="12"/>
  <c r="O89" i="12"/>
  <c r="O88" i="12"/>
  <c r="O41" i="12"/>
  <c r="O97" i="12"/>
  <c r="O96" i="12"/>
  <c r="O130" i="12"/>
  <c r="O4" i="12"/>
  <c r="O42" i="12"/>
  <c r="O6" i="12"/>
  <c r="O118" i="12"/>
  <c r="O136" i="12"/>
  <c r="O53" i="12"/>
  <c r="O46" i="12"/>
  <c r="O45" i="12"/>
  <c r="O101" i="12"/>
  <c r="O100" i="12"/>
  <c r="O132" i="12"/>
  <c r="O66" i="12"/>
  <c r="O122" i="12"/>
  <c r="O128" i="12"/>
  <c r="O87" i="12"/>
  <c r="O137" i="12"/>
  <c r="O22" i="12"/>
  <c r="O82" i="12"/>
  <c r="O119" i="12"/>
  <c r="O67" i="12"/>
  <c r="O86" i="12"/>
  <c r="O63" i="12"/>
  <c r="O114" i="12"/>
  <c r="O7" i="12"/>
  <c r="O43" i="12"/>
  <c r="O92" i="12"/>
  <c r="G92" i="12"/>
  <c r="O85" i="12"/>
  <c r="O117" i="12"/>
  <c r="O69" i="12"/>
  <c r="O38" i="12"/>
  <c r="O131" i="12"/>
  <c r="O15" i="12"/>
  <c r="O51" i="12"/>
  <c r="O145" i="12"/>
  <c r="O12" i="12"/>
  <c r="O29" i="12"/>
  <c r="O28" i="12"/>
  <c r="O27" i="12"/>
  <c r="O26" i="12"/>
  <c r="O25" i="12"/>
  <c r="O24" i="12"/>
  <c r="O23" i="12"/>
  <c r="O144" i="12"/>
  <c r="O78" i="12"/>
  <c r="O109" i="12"/>
  <c r="O91" i="12"/>
  <c r="O10" i="12"/>
  <c r="O37" i="12"/>
  <c r="O52" i="12"/>
  <c r="O13" i="12"/>
  <c r="O73" i="12"/>
  <c r="O8" i="12"/>
  <c r="O50" i="12"/>
  <c r="O49" i="12"/>
  <c r="O48" i="12"/>
  <c r="O71" i="12"/>
  <c r="O121" i="12"/>
  <c r="O44" i="12"/>
  <c r="O140" i="12"/>
  <c r="O5" i="12"/>
  <c r="O126" i="12"/>
  <c r="O125" i="12"/>
  <c r="G62" i="11"/>
  <c r="O51" i="1"/>
  <c r="O80" i="1"/>
  <c r="O84" i="1"/>
  <c r="O69" i="1"/>
  <c r="O101" i="1"/>
  <c r="O100" i="1"/>
  <c r="O60" i="1"/>
  <c r="O59" i="1"/>
  <c r="O58" i="1"/>
  <c r="O49" i="1"/>
  <c r="O32" i="1"/>
  <c r="O45" i="1"/>
  <c r="O64" i="1"/>
  <c r="O63" i="1"/>
  <c r="O90" i="1"/>
  <c r="O25" i="1"/>
  <c r="O4" i="1"/>
  <c r="O75" i="1"/>
  <c r="O82" i="1"/>
  <c r="O37" i="1"/>
  <c r="O97" i="1"/>
  <c r="O29" i="1"/>
  <c r="O28" i="1"/>
  <c r="O94" i="1"/>
  <c r="O43" i="1"/>
  <c r="O19" i="1"/>
  <c r="O54" i="1"/>
  <c r="O50" i="1"/>
  <c r="O72" i="1"/>
  <c r="O39" i="1"/>
  <c r="O5" i="1"/>
  <c r="O26" i="1"/>
  <c r="O103" i="1"/>
  <c r="O56" i="1"/>
  <c r="O85" i="1"/>
  <c r="O24" i="1"/>
  <c r="O33" i="1"/>
  <c r="O81" i="1"/>
  <c r="O104" i="1"/>
  <c r="O53" i="1"/>
  <c r="O77" i="1"/>
  <c r="O7" i="1"/>
  <c r="O6" i="1"/>
  <c r="O57" i="1"/>
  <c r="O68" i="1"/>
  <c r="O10" i="1"/>
  <c r="O102" i="1"/>
  <c r="O106" i="1"/>
  <c r="O105" i="1"/>
  <c r="O83" i="1"/>
  <c r="X27" i="1"/>
  <c r="AC74" i="12"/>
  <c r="O55" i="12"/>
  <c r="AC106" i="12"/>
  <c r="W106" i="12"/>
  <c r="AC103" i="12"/>
  <c r="W103" i="12"/>
  <c r="AC147" i="12"/>
  <c r="W147" i="12"/>
  <c r="W94" i="12"/>
  <c r="AC95" i="12"/>
  <c r="AC94" i="12"/>
  <c r="AC138" i="12"/>
  <c r="O81" i="12"/>
  <c r="O80" i="12"/>
  <c r="AC84" i="12"/>
  <c r="W84" i="12"/>
  <c r="O129" i="12"/>
  <c r="O135" i="12"/>
  <c r="O134" i="12"/>
  <c r="O133" i="12"/>
  <c r="O124" i="12"/>
  <c r="O16" i="12"/>
  <c r="O62" i="12"/>
  <c r="O111" i="12"/>
  <c r="O110" i="12"/>
  <c r="O108" i="12"/>
  <c r="O123" i="12"/>
  <c r="O148" i="12"/>
  <c r="O74" i="12"/>
  <c r="O54" i="12"/>
  <c r="O60" i="12"/>
  <c r="O30" i="12"/>
  <c r="O146" i="12"/>
  <c r="O47" i="12"/>
  <c r="O70" i="12"/>
  <c r="O17" i="12"/>
  <c r="O40" i="12"/>
  <c r="O19" i="12"/>
  <c r="O11" i="12"/>
  <c r="O72" i="12"/>
  <c r="O20" i="12"/>
  <c r="O56" i="12"/>
  <c r="O75" i="12"/>
  <c r="O106" i="12"/>
  <c r="O116" i="12"/>
  <c r="O103" i="12"/>
  <c r="O147" i="12"/>
  <c r="O141" i="12"/>
  <c r="O93" i="12"/>
  <c r="O94" i="12"/>
  <c r="O113" i="12"/>
  <c r="O112" i="12"/>
  <c r="O61" i="12"/>
  <c r="O14" i="12"/>
  <c r="O102" i="12"/>
  <c r="O139" i="12"/>
  <c r="O77" i="12"/>
  <c r="O18" i="12"/>
  <c r="O120" i="12"/>
  <c r="O68" i="12"/>
  <c r="O115" i="12"/>
  <c r="O21" i="12"/>
  <c r="O138" i="12"/>
  <c r="O79" i="12"/>
  <c r="O65" i="12"/>
  <c r="O64" i="12"/>
  <c r="O84" i="12"/>
  <c r="AB42" i="11"/>
  <c r="V42" i="11"/>
  <c r="AB69" i="11"/>
  <c r="V69" i="11"/>
  <c r="AB24" i="11"/>
  <c r="V24" i="11"/>
  <c r="AB54" i="11"/>
  <c r="AB53" i="11"/>
  <c r="V54" i="11"/>
  <c r="V53" i="11"/>
  <c r="V10" i="11"/>
  <c r="AB10" i="11"/>
  <c r="AB79" i="11"/>
  <c r="V79" i="11"/>
  <c r="AB68" i="11"/>
  <c r="V68" i="11"/>
  <c r="V90" i="11"/>
  <c r="AB90" i="11"/>
  <c r="AB92" i="11"/>
  <c r="V92" i="11"/>
  <c r="AB73" i="11"/>
  <c r="V73" i="11"/>
  <c r="AB41" i="11"/>
  <c r="V41" i="11"/>
  <c r="AB13" i="11"/>
  <c r="V13" i="11"/>
  <c r="AB47" i="11"/>
  <c r="AB46" i="11"/>
  <c r="AB45" i="11"/>
  <c r="AB44" i="11"/>
  <c r="V47" i="11"/>
  <c r="V46" i="11"/>
  <c r="V45" i="11"/>
  <c r="V44" i="11"/>
  <c r="AB77" i="11"/>
  <c r="V77" i="11"/>
  <c r="V57" i="11"/>
  <c r="AB57" i="11"/>
  <c r="AF54" i="10"/>
  <c r="AF95" i="10"/>
  <c r="Z95" i="10"/>
  <c r="AF94" i="10"/>
  <c r="Z94" i="10"/>
  <c r="AF93" i="10"/>
  <c r="Z93" i="10"/>
  <c r="AF92" i="10"/>
  <c r="Z92" i="10"/>
  <c r="AF91" i="10"/>
  <c r="Z91" i="10"/>
  <c r="AF90" i="10"/>
  <c r="Z90" i="10"/>
  <c r="Z98" i="10"/>
  <c r="AF98" i="10"/>
  <c r="AF97" i="10"/>
  <c r="Z97" i="10"/>
  <c r="AF73" i="10"/>
  <c r="AF72" i="10"/>
  <c r="AF71" i="10"/>
  <c r="Z73" i="10"/>
  <c r="Z72" i="10"/>
  <c r="Z71" i="10"/>
  <c r="AF26" i="10"/>
  <c r="Z26" i="10"/>
  <c r="AF20" i="10"/>
  <c r="Z20" i="10"/>
  <c r="AF15" i="10"/>
  <c r="Z15" i="10"/>
  <c r="AF14" i="10"/>
  <c r="Z14" i="10"/>
  <c r="AF13" i="10"/>
  <c r="Z13" i="10"/>
  <c r="AF12" i="10"/>
  <c r="Z12" i="10"/>
  <c r="AF7" i="10"/>
  <c r="Z7" i="10"/>
  <c r="AF70" i="10"/>
  <c r="Z70" i="10"/>
  <c r="AF27" i="10"/>
  <c r="Z27" i="10"/>
  <c r="AF96" i="10"/>
  <c r="Z96" i="10"/>
  <c r="AF107" i="10"/>
  <c r="Z107" i="10"/>
  <c r="AF61" i="10"/>
  <c r="Z61" i="10"/>
  <c r="Z62" i="10"/>
  <c r="AF66" i="10"/>
  <c r="Z66" i="10"/>
  <c r="AF30" i="10"/>
  <c r="Z30" i="10"/>
  <c r="AF9" i="10"/>
  <c r="Z9" i="10"/>
  <c r="Z103" i="10"/>
  <c r="AF103" i="10"/>
  <c r="AF42" i="10"/>
  <c r="AF17" i="10"/>
  <c r="Z17" i="10"/>
  <c r="Z54" i="10"/>
  <c r="AF56" i="10"/>
  <c r="AF55" i="10"/>
  <c r="Z56" i="10"/>
  <c r="Z55" i="10"/>
  <c r="AF23" i="10"/>
  <c r="Z23" i="10"/>
  <c r="AD21" i="1" l="1"/>
  <c r="X21" i="1"/>
  <c r="AD96" i="1"/>
  <c r="X96" i="1"/>
  <c r="AD46" i="1"/>
  <c r="AD11" i="1"/>
  <c r="X11" i="1"/>
  <c r="AD17" i="1"/>
  <c r="X17" i="1"/>
  <c r="AD86" i="1"/>
  <c r="AD79" i="1"/>
  <c r="AD35" i="1"/>
  <c r="AD66" i="1"/>
  <c r="AD70" i="1"/>
  <c r="AD95" i="1"/>
  <c r="AD78" i="1"/>
  <c r="AD76" i="1"/>
  <c r="AD20" i="1"/>
  <c r="AD30" i="1"/>
  <c r="AD107" i="1"/>
  <c r="AD12" i="1"/>
  <c r="AD16" i="1"/>
  <c r="AD8" i="1"/>
  <c r="AD67" i="1"/>
  <c r="AD87" i="1"/>
  <c r="AD61" i="1"/>
  <c r="AD42" i="1"/>
  <c r="AD52" i="1"/>
  <c r="AD41" i="1"/>
  <c r="AD65" i="1"/>
  <c r="X86" i="1"/>
  <c r="X79" i="1"/>
  <c r="X35" i="1"/>
  <c r="X66" i="1"/>
  <c r="X70" i="1"/>
  <c r="X95" i="1"/>
  <c r="X78" i="1"/>
  <c r="X46" i="1"/>
  <c r="X76" i="1"/>
  <c r="X20" i="1"/>
  <c r="X30" i="1"/>
  <c r="X107" i="1"/>
  <c r="X12" i="1"/>
  <c r="X16" i="1"/>
  <c r="X8" i="1"/>
  <c r="X67" i="1"/>
  <c r="X87" i="1"/>
  <c r="X61" i="1"/>
  <c r="X42" i="1"/>
  <c r="X52" i="1"/>
  <c r="X41" i="1"/>
  <c r="X65" i="1"/>
  <c r="AD27" i="1"/>
  <c r="O36" i="1" l="1"/>
  <c r="O86" i="1"/>
  <c r="O9" i="1"/>
  <c r="O79" i="1"/>
  <c r="O89" i="1"/>
  <c r="O88" i="1"/>
  <c r="O35" i="1"/>
  <c r="O66" i="1"/>
  <c r="O70" i="1"/>
  <c r="O96" i="1"/>
  <c r="O95" i="1"/>
  <c r="O78" i="1"/>
  <c r="O108" i="1"/>
  <c r="O46" i="1"/>
  <c r="O76" i="1"/>
  <c r="O20" i="1"/>
  <c r="O30" i="1"/>
  <c r="O21" i="1"/>
  <c r="O107" i="1"/>
  <c r="O55" i="1"/>
  <c r="O34" i="1"/>
  <c r="O44" i="1"/>
  <c r="O12" i="1"/>
  <c r="O98" i="1"/>
  <c r="O16" i="1"/>
  <c r="O8" i="1"/>
  <c r="O67" i="1"/>
  <c r="O31" i="1"/>
  <c r="O74" i="1"/>
  <c r="O87" i="1"/>
  <c r="O61" i="1"/>
  <c r="O42" i="1"/>
  <c r="O99" i="1"/>
  <c r="O62" i="1"/>
  <c r="O71" i="1"/>
  <c r="O11" i="1"/>
  <c r="O52" i="1"/>
  <c r="O15" i="1"/>
  <c r="O48" i="1"/>
  <c r="O47" i="1"/>
  <c r="O41" i="1"/>
  <c r="O17" i="1"/>
  <c r="O73" i="1"/>
  <c r="O18" i="1"/>
  <c r="O65" i="1"/>
  <c r="O40" i="1"/>
  <c r="O38" i="1"/>
  <c r="O27" i="1"/>
</calcChain>
</file>

<file path=xl/sharedStrings.xml><?xml version="1.0" encoding="utf-8"?>
<sst xmlns="http://schemas.openxmlformats.org/spreadsheetml/2006/main" count="3744" uniqueCount="915">
  <si>
    <t>CONTROL (time spent immobile (sec))</t>
  </si>
  <si>
    <t>TEST (time spent immobile (sec))</t>
  </si>
  <si>
    <t>Unique ID</t>
  </si>
  <si>
    <t>PMID</t>
  </si>
  <si>
    <t>Title</t>
  </si>
  <si>
    <t>Authors</t>
  </si>
  <si>
    <t>Journal/Book</t>
  </si>
  <si>
    <t>Publication Year</t>
  </si>
  <si>
    <t>DOI</t>
  </si>
  <si>
    <t>FST</t>
  </si>
  <si>
    <t>strain</t>
  </si>
  <si>
    <t>sex</t>
  </si>
  <si>
    <t>initial age (weeks)</t>
  </si>
  <si>
    <t xml:space="preserve">min/session </t>
  </si>
  <si>
    <t xml:space="preserve">sessions/day </t>
  </si>
  <si>
    <t>total number of days</t>
  </si>
  <si>
    <t>total number of min</t>
  </si>
  <si>
    <t>Notes</t>
  </si>
  <si>
    <t>FST total time (min)</t>
  </si>
  <si>
    <t>FST time for recording immobility (last x min)</t>
  </si>
  <si>
    <t>Fig used</t>
  </si>
  <si>
    <t>control mean</t>
  </si>
  <si>
    <t xml:space="preserve">control sem </t>
  </si>
  <si>
    <t>n</t>
  </si>
  <si>
    <t>n used</t>
  </si>
  <si>
    <t>back-calculated SD</t>
  </si>
  <si>
    <t>test mean</t>
  </si>
  <si>
    <t xml:space="preserve">test sem </t>
  </si>
  <si>
    <t>D-Limonene reduces depression-like behaviour and enhances learning and memory through an anti-neuroinflammatory mechanism in male rats subjected to chronic restraint stress</t>
  </si>
  <si>
    <t>Alkanat, Mehmet; Alkanat, Hafize Ozdemir</t>
  </si>
  <si>
    <t>EUROPEAN JOURNAL OF NEUROSCIENCE</t>
  </si>
  <si>
    <t>10.1111/ejn.16455</t>
  </si>
  <si>
    <t>SD</t>
  </si>
  <si>
    <t>M</t>
  </si>
  <si>
    <t>not given</t>
  </si>
  <si>
    <t>The effects of chronic restraint stress on empathy-like behaviour in rats</t>
  </si>
  <si>
    <t>Sen, Aysu; Kara, Ali Yucel; Koyu, Ahmet; Simsek, Fatma; Kizildag, Servet; Uysal, Nazan</t>
  </si>
  <si>
    <t>NEUROSCIENCE LETTERS</t>
  </si>
  <si>
    <t>10.1016/j.neulet.2021.136255</t>
  </si>
  <si>
    <t>1G</t>
  </si>
  <si>
    <t>8</t>
  </si>
  <si>
    <t>Complex Neurobehavioral Testing of a Rat Model of the Irritable Bowel Syndrome</t>
  </si>
  <si>
    <t>Lefter, R.; Ciobica, A.; Guenne, S.; Compaore, M.; Kiendrebeogo, M.; Stanciu, C.; Trifan, A.</t>
  </si>
  <si>
    <t>NEUROPHYSIOLOGY</t>
  </si>
  <si>
    <t>10.1007/s11062-018-9748-9</t>
  </si>
  <si>
    <t>Wistar</t>
  </si>
  <si>
    <t>3B</t>
  </si>
  <si>
    <t>5</t>
  </si>
  <si>
    <t>Beneficial Effects of Physical Activity and Crocin Against Adolescent Stress Induced Anxiety or Depressive-Like Symptoms and Dendritic Morphology Remodeling in Prefrontal Cortex in Adult Male Rats</t>
  </si>
  <si>
    <t>Ghalandari-Shamami, Mohadeseh; Nourizade, Shahla; Yousefi, Behpour; Vafaei, Abbas Ali; Pakdel, Roghayeh; Rashidy-Pour, Ali</t>
  </si>
  <si>
    <t>NEUROCHEMICAL RESEARCH</t>
  </si>
  <si>
    <t>10.1007/s11064-019-02727-2</t>
  </si>
  <si>
    <t>4</t>
  </si>
  <si>
    <t>4A</t>
  </si>
  <si>
    <t>7-10</t>
  </si>
  <si>
    <t>7</t>
  </si>
  <si>
    <t>Brain-Derived Neurotrophic Factor Precursor in the Hippocampus Regulates Both Depressive and Anxiety-Like Behaviors in Rats</t>
  </si>
  <si>
    <t>Zhong F, Liu L, Wei JL, Hu ZL, Li L, Wang S, Xu JM, Zhou XF, Li CQ, Yang ZY, Dai RP.</t>
  </si>
  <si>
    <t>Front Psychiatry</t>
  </si>
  <si>
    <t>10.3389/fpsyt.2018.00776</t>
  </si>
  <si>
    <t>Insulin-like growth factor 2 mitigates depressive behavior in a rat model of chronic stress</t>
  </si>
  <si>
    <t>Luo YW, Xu Y, Cao WY, Zhong XL, Duan J, Wang XQ, Hu ZL, Li F, Zhang JY, Zhou M, Dai RP, Li CQ.</t>
  </si>
  <si>
    <t>Neuropharmacology</t>
  </si>
  <si>
    <t>10.1016/j.neuropharm.2014.10.011</t>
  </si>
  <si>
    <t>1C</t>
  </si>
  <si>
    <t>SD given</t>
  </si>
  <si>
    <t>The co-expression of GluN2B subunits of the NMDA receptors and glucocorticoid receptors after chronic restraint stress in low and high anxiety rats</t>
  </si>
  <si>
    <t>Lehner, Malgorzata; Wisfowska-Stanek, Aleksandra; Gryz, Marek; Sobolewska, Alicja; Turzynska, Danuta; Chmielewska, Natalia; Krzascik, Pawet; Skorzewska, Anna; Plaznik, Adam</t>
  </si>
  <si>
    <t>BEHAVIOURAL BRAIN RESEARCH</t>
  </si>
  <si>
    <t>10.1016/j.bbr.2016.11.004</t>
  </si>
  <si>
    <t xml:space="preserve">restrained daily on Mon-Fri each week </t>
  </si>
  <si>
    <t>Table 1</t>
  </si>
  <si>
    <t>10</t>
  </si>
  <si>
    <t>9</t>
  </si>
  <si>
    <t>Xiaoyaosan Ameliorates Chronic Restraint Stress-Induced Depression-Like Phenotype by Suppressing A2AR Signaling in the Rat Striatum</t>
  </si>
  <si>
    <t>Zhu X, Ma Q, Yang F, Li X, Liu Y, Chen J, Li L, Chen M, Zou X, Yan L, Chen J.</t>
  </si>
  <si>
    <t>Front Pharmacol</t>
  </si>
  <si>
    <t>10.3389/fphar.2022.897436</t>
  </si>
  <si>
    <t>12</t>
  </si>
  <si>
    <t>Behavioral effects of toll-like receptor-4 antagonist 'eritoran' in an experimental model of depression: role of prefrontal and hippocampal neurogenesis and γ-aminobutyric acid/glutamate balance</t>
  </si>
  <si>
    <t>Aboul-Fotouh S, Habib M, Asaad T, Kassim SK, Ghanem MH.</t>
  </si>
  <si>
    <t>Behav Pharmacol</t>
  </si>
  <si>
    <t>10.1097/FBP.0000000000000390</t>
  </si>
  <si>
    <t>3A</t>
  </si>
  <si>
    <t>Antidepressant effect of Crossopteryx febrifuga trunk bark aqueous extract on chronic stress-induced depression-related behaviors in male and female rats.</t>
  </si>
  <si>
    <t>Ndavoumta D.
Foyet H.S.
Camdi G.W.
Defo Tchinda S.H.
Ngatanko H.H.A.
Rebe R.N.
Kodji K.
Weinkai D.A.
Bum E.N.</t>
  </si>
  <si>
    <t>IBRO Neuroscience Reports</t>
  </si>
  <si>
    <t>https://dx.doi.org/10.1016/j.ibneur.2025.07.014</t>
  </si>
  <si>
    <t>8-10</t>
  </si>
  <si>
    <t>2*60 min or 1*120</t>
  </si>
  <si>
    <t>6C</t>
  </si>
  <si>
    <t>F</t>
  </si>
  <si>
    <t>6A</t>
  </si>
  <si>
    <t>Melatonin attenuates chronic stress-induced hippocampal inflammatory response and apoptosis by inhibiting ADAM17/TNF-α axis</t>
  </si>
  <si>
    <t>Zhang H, Wei M, Sun N, Wang H, Fan H.</t>
  </si>
  <si>
    <t>Food Chem Toxicol</t>
  </si>
  <si>
    <t>10.1016/j.fct.2022.113441</t>
  </si>
  <si>
    <t xml:space="preserve">Method taken from cited article. Data expressed as % </t>
  </si>
  <si>
    <t>Hippocampal activation of 5-HT(1B) receptors and BDNF production by vagus nerve stimulation in rats under chronic restraint stress</t>
  </si>
  <si>
    <t>Shin HC, Jo BG, Lee CY, Lee KW, Namgung U.</t>
  </si>
  <si>
    <t>Eur J Neurosci</t>
  </si>
  <si>
    <t>10.1111/ejn.14368</t>
  </si>
  <si>
    <t>Tryptophan-kynurenine metabolic characterization in the gut and brain of depressive-like rats induced by chronic restraint stress</t>
  </si>
  <si>
    <t>Li CC, Ye F, Xu CX, Jiang N, Chang Q, Liu XM, Pan RL.</t>
  </si>
  <si>
    <t>J Affect Disord</t>
  </si>
  <si>
    <t>10.1016/j.jad.2023.02.008</t>
  </si>
  <si>
    <t>1E</t>
  </si>
  <si>
    <t>Targeting the Endoplasmic Reticulum Stress-Linked PERK/GRP78/CHOP Pathway with Magnesium Sulfate Attenuates Chronic-Restraint-Stress-Induced Depression-like Neuropathology in Rats</t>
  </si>
  <si>
    <t>Arab HH, Khames A, Alsufyani SE, El-Sheikh AAK, Gad AM.</t>
  </si>
  <si>
    <t>Pharmaceuticals (Basel)</t>
  </si>
  <si>
    <t>10.3390/ph16020300</t>
  </si>
  <si>
    <t>Error bars not specified as SD or SEM</t>
  </si>
  <si>
    <t>2B</t>
  </si>
  <si>
    <t>Ketamine May Exert Rapid Antidepressant Effects Through Modulation of Neuroplasticity, Autophagy, and Ferroptosis in the Habenular Nucleus</t>
  </si>
  <si>
    <t>Zhang, Mengke; Lyu, Dongbin; Shi, Fan Wang Shuxiang; Wang, Meiti; Yang, Weichieh; Huang, Haijing; Wei, Zheyi; Chen, ShenTse; Xu, Yi; Hong, Wu</t>
  </si>
  <si>
    <t>NEUROSCIENCE</t>
  </si>
  <si>
    <t>10.1016/j.neuroscience.2022.10.015</t>
  </si>
  <si>
    <t>Wistar-Kyoto</t>
  </si>
  <si>
    <t>1D</t>
  </si>
  <si>
    <t>Anxiolytic effects of muscarinic acetylcholine receptors agonist oxotremorine in chronically stressed rats and related changes in BDNF and FGF2 levels in the hippocampus and prefrontal cortex</t>
  </si>
  <si>
    <t>Di Liberto V, Frinchi M, Verdi V, Vitale A, Plescia F, Cannizzaro C, Massenti MF, Belluardo N, Mudò G.</t>
  </si>
  <si>
    <t>Psychopharmacology (Berl)</t>
  </si>
  <si>
    <t>10.1007/s00213-016-4498-0</t>
  </si>
  <si>
    <t>16</t>
  </si>
  <si>
    <t>Insights into the potential antidepressant mechanisms of cilostazol in chronically restraint rats: impact on the Nrf2 pathway</t>
  </si>
  <si>
    <t>Abuelezz SA, Hendawy N.</t>
  </si>
  <si>
    <t>10.1097/FBP.0000000000000335</t>
  </si>
  <si>
    <t>4C</t>
  </si>
  <si>
    <t>Ameliorative Effects of Alkaloids from Narcissus cv. Hawera: Behavioral Changes Following Acute and Accelerated Chronic Restraint Stress</t>
  </si>
  <si>
    <t>Pechlivanova, Daniela; Grozdanov, Petar; Sabit, Zafer; Bakalov, Dimitar; Stoynev, Alexander; Berkov, Strahil</t>
  </si>
  <si>
    <t>REVISTA BRASILEIRA DE FARMACOGNOSIA-BRAZILIAN JOURNAL OF PHARMACOGNOSY</t>
  </si>
  <si>
    <t>10.1007/s43450-023-00464-w</t>
  </si>
  <si>
    <t>See notes</t>
  </si>
  <si>
    <t>CRS was 1 h/day for 14 days, then escalated to 6 h/day for an additional 14 days. No explanation of why.</t>
  </si>
  <si>
    <t>1A</t>
  </si>
  <si>
    <t>Research paper: Ibuprofen protection against restrained chronic stress-induced depression in male rats.</t>
  </si>
  <si>
    <t>Nozari M.
Nahavandi A.
Zeinivand M.
Gharaati M.E.
Godarzi M.
Ahmadi M.
Jamali-Raeufy N.</t>
  </si>
  <si>
    <t>Basic and Clinical Neuroscience</t>
  </si>
  <si>
    <t>https://dx.doi.org/10.32598/bcn.11.4.1775.2</t>
  </si>
  <si>
    <t>Impact of Combined Forced Exercise with Escitalopram on Stress-Induced Depressive-Like Behavior in Male Rats.</t>
  </si>
  <si>
    <t>Zamani M.
Radahmadi M.
Reisi P.</t>
  </si>
  <si>
    <t>Journal of Advances in Medical and Biomedical Research</t>
  </si>
  <si>
    <t>https://dx.doi.org/10.61186/jambr.32.151.144</t>
  </si>
  <si>
    <t xml:space="preserve"> </t>
  </si>
  <si>
    <t>Radix Polygalae extract exerts antidepressant effects in behavioral despair mice and chronic restraint stress-induced rats probably by promoting autophagy and inhibiting neuroinflammation</t>
  </si>
  <si>
    <t>Zhou, Yunfeng; Yan, Mingzhu; Pan, Ruile; Wang, Zhi; Tao, Xue; Li, Chenchen; Xia, Tianji; Liu, Xinmin; Chang, Qi</t>
  </si>
  <si>
    <t>JOURNAL OF ETHNOPHARMACOLOGY</t>
  </si>
  <si>
    <t>10.1016/j.jep.2020.113317</t>
  </si>
  <si>
    <t>8-9</t>
  </si>
  <si>
    <t>Neuropathological implication of high blood bilirubin in patients and model rats with depression</t>
  </si>
  <si>
    <t>Gao Y, Ling Y, Li J, Xu Y, Ge J, Xia Q.</t>
  </si>
  <si>
    <t>Brain Res Bull</t>
  </si>
  <si>
    <t>10.1016/j.brainresbull.2024.111028</t>
  </si>
  <si>
    <t>3G</t>
  </si>
  <si>
    <t>The expression of agmatinase manipulates the affective state of rats subjected to chronic restraint stress</t>
  </si>
  <si>
    <t>Yan, Shi; Xu, Chang; Yang, Mengli; Zhang, Huiqiang; Cheng, Ye; Xue, Zeping; He, Zecong; Wang, Tiantian; Bai, Shangying; Wang, Gang; Wu, Jianping; Tong, Zhiqian; Cai, Xiang</t>
  </si>
  <si>
    <t>NEUROPHARMACOLOGY</t>
  </si>
  <si>
    <t>10.1016/j.neuropharm.2023.109476</t>
  </si>
  <si>
    <t>6-8</t>
  </si>
  <si>
    <t>6</t>
  </si>
  <si>
    <t>Down-regulation of cholinergic signaling in the habenula induces anhedonia-like behavior</t>
  </si>
  <si>
    <t>Han S, Yang SH, Kim JY, Mo S, Yang E, Song KM, Ham BJ, Mechawar N, Turecki G, Lee HW, Kim H.</t>
  </si>
  <si>
    <t>Sci Rep</t>
  </si>
  <si>
    <t>10.1038/s41598-017-01088-6</t>
  </si>
  <si>
    <t>Method taken from cited article</t>
  </si>
  <si>
    <t>Text</t>
  </si>
  <si>
    <t>Ca(v)1.2 Activity and Downstream Signaling Pathways in the Hippocampus of An Animal Model of Depression</t>
  </si>
  <si>
    <t>Moreno C, Hermosilla T, Hardy P, Aballai V, Rojas P, Varela D.</t>
  </si>
  <si>
    <t>Cells</t>
  </si>
  <si>
    <t>10.3390/cells9122609</t>
  </si>
  <si>
    <t xml:space="preserve">FST data expressed as "moving time". </t>
  </si>
  <si>
    <t>Tinnitus Generation and Behavioral Changes Caused by Chronic Stress: A Behavioral and Brain Study in a Rat Model</t>
  </si>
  <si>
    <t>Kim YL, Yu HJ, Kim MJ, Han JS, Lim JH, Park SY, Park I, Park SN.</t>
  </si>
  <si>
    <t>Laryngoscope</t>
  </si>
  <si>
    <t>10.1002/lary.31779</t>
  </si>
  <si>
    <t>4B</t>
  </si>
  <si>
    <t>Ginkgo biloba modulates hippocampal BDNF expression in a rat model of chronic restraint stress-induced depression</t>
  </si>
  <si>
    <t>Ayatollahi, Seyed Abdolmajid; Khoshsirat, Shahrokh; Peyvandi, Ali Asghar; Rezaei, Omidvar; Mehrjardi, Fatemeh Zare; Nahavandi, Arezo; Niknazar, Somayeh</t>
  </si>
  <si>
    <t>PHYSIOLOGY AND PHARMACOLOGY</t>
  </si>
  <si>
    <t>10.32598/ppj.24.4.20</t>
  </si>
  <si>
    <t>Table 2</t>
  </si>
  <si>
    <t>Hippocampal metabolic differences implicate distinctions between physical and psychological stress in four rat models of depression</t>
  </si>
  <si>
    <t>Liu L, Zhou X, Zhang Y, Pu J, Yang L, Yuan S, Zhao L, Zhou C, Zhang H, Xie P.</t>
  </si>
  <si>
    <t>Transl Psychiatry</t>
  </si>
  <si>
    <t>10.1038/s41398-017-0018-1</t>
  </si>
  <si>
    <t>2I</t>
  </si>
  <si>
    <t>Behavioural and biochemical changes in maternally separated Sprague-Dawley rats exposed to restraint stress</t>
  </si>
  <si>
    <t>van Zyl PJ, Dimatelis JJ, Russell VA.</t>
  </si>
  <si>
    <t>Metab Brain Dis</t>
  </si>
  <si>
    <t>10.1007/s11011-015-9757-y</t>
  </si>
  <si>
    <t>Subjected to maternal separation</t>
  </si>
  <si>
    <t>10-12</t>
  </si>
  <si>
    <t>Electroconvulsive stimulation, but not chronic restraint stress, causes structural alterations in adult rat hippocampus--a stereological study</t>
  </si>
  <si>
    <t>Olesen MV, Wörtwein G, Pakkenberg B.</t>
  </si>
  <si>
    <t>Hippocampus</t>
  </si>
  <si>
    <t>10.1002/hipo.22351</t>
  </si>
  <si>
    <t>7-8</t>
  </si>
  <si>
    <t>Data expressed as 'diference between % immobility between test and pre-test"</t>
  </si>
  <si>
    <t>Yeast Extract Peptides Alleviate Depression in Chronic Restraint Stress Rats by Alleviating Hippocampal Neuronal Apoptosis and Dysbiosis of the Gut Microbiota</t>
  </si>
  <si>
    <t>Zou Z, Xiao N, Chen Z, Lin X, Li Y, Li P, Cheng Q, Du B.</t>
  </si>
  <si>
    <t>Mol Nutr Food Res</t>
  </si>
  <si>
    <t>10.1002/mnfr.202300467</t>
  </si>
  <si>
    <t>Data from after first 4 weeks of CRS</t>
  </si>
  <si>
    <t>Microbiome Metabolomic Analysis of the Anxiolytic Effect of Baihe Dihuang Decoction in a Rat Model of Chronic Restraint Stress</t>
  </si>
  <si>
    <t>Tang L, Liu J, Yang H, Zhao HQ, Hu C, Ma SJ, Qing YH, Yang L, Zhou RR, Zhang SH.</t>
  </si>
  <si>
    <t>Drug Des Devel Ther</t>
  </si>
  <si>
    <t>10.2147/DDDT.S458983</t>
  </si>
  <si>
    <t>1H</t>
  </si>
  <si>
    <t>Accelerated low-intensity rTMS does not rescue anxiety behaviour or abnormal connectivity in young adult rats following chronic restraint stress.</t>
  </si>
  <si>
    <t>Hennessy L.A.
Seewoo B.J.
Jaeschke L.A.
Mackie L.A.
Figliomeni A.
Arena-Foster Y.
Etherington S.J.
Dunlop S.A.
Croarkin P.E.
Rodger J.</t>
  </si>
  <si>
    <t>Neuroimage: Reports</t>
  </si>
  <si>
    <t>https://dx.doi.org/10.1016/j.ynirp.2022.100104</t>
  </si>
  <si>
    <t>Neuroprotective Role of Selenium Nanoparticles Against Behavioral, Neurobiochemical and Histological Alterations in Rats Subjected to Chronic Restraint Stress</t>
  </si>
  <si>
    <t>Elfakharany SA, Eskaros SS, Azhary NME, Abdelmonsif DA, Zeitoun TM, Ammar GAG, Hatem YA.</t>
  </si>
  <si>
    <t>Mol Neurobiol</t>
  </si>
  <si>
    <t>10.1007/s12035-024-04196-3</t>
  </si>
  <si>
    <t>median (intra-quartile range) given</t>
  </si>
  <si>
    <t>5G</t>
  </si>
  <si>
    <t>Silent information regulator 1 mediates H 2 S-inhibited chronic restraint stress-induced depressive-like behaviors by regulating hippocampal autophagy</t>
  </si>
  <si>
    <t>Du L, Chen L, Luo B, Chen YJ, Zhang P, Tang YY, Jiang JM, Zou W.</t>
  </si>
  <si>
    <t>Neuroreport</t>
  </si>
  <si>
    <t>10.1097/WNR.0000000000001870</t>
  </si>
  <si>
    <t>5-6</t>
  </si>
  <si>
    <t>6-10</t>
  </si>
  <si>
    <t>Therapeutic Potential of Curcumin in Reversing the Depression and Associated Pseudodementia via Modulating Stress Hormone, Hippocampal Neurotransmitters, and BDNF Levels in Rats</t>
  </si>
  <si>
    <t>Afzal A, Batool Z, Sadir S, Liaquat L, Shahzad S, Tabassum S, Ahmad S, Kamil N, Perveen T, Haider S.</t>
  </si>
  <si>
    <t>Neurochem Res</t>
  </si>
  <si>
    <t>10.1007/s11064-021-03430-x</t>
  </si>
  <si>
    <t>FST design unclear: "Rats were allowed to swim for 5 min followed by a pre-test of 2 min. Immobility time was observed during testing duration of the experiment."</t>
  </si>
  <si>
    <t>2A</t>
  </si>
  <si>
    <t>Unleashing lactoferrin's antidepressant potential through the PI3K/Akt/mTOR pathway in chronic restraint stress rats</t>
  </si>
  <si>
    <t>Ahmed HH, Essam RM, El-Yamany MF, Ahmed KA, El-Sahar AE.</t>
  </si>
  <si>
    <t>Food Funct</t>
  </si>
  <si>
    <t>10.1039/d3fo02222f</t>
  </si>
  <si>
    <t>2C</t>
  </si>
  <si>
    <t>Metformin potentiates cognitive and antidepressant effects of fluoxetine in rats exposed to chronic restraint stress and high fat diet: potential involvement of hippocampal c-Jun repression</t>
  </si>
  <si>
    <t>Khedr SA, Elmelgy AA, El-Kharashi OA, Abd-Alkhalek HA, Louka ML, Sallam HA, Aboul-Fotouh S.</t>
  </si>
  <si>
    <t>Naunyn Schmiedebergs Arch Pharmacol</t>
  </si>
  <si>
    <t>10.1007/s00210-018-1466-8</t>
  </si>
  <si>
    <t>The role of astrocytes in depression, its prevention, and treatment by targeting astroglial gliotransmitter release</t>
  </si>
  <si>
    <t>Duarte, Yorley; Quintana-Donoso, Daisy; Moraga-Amaro, Rodrigo; Dinamarca, Ivanka; Lemunao, Yordan; Cardenas, Kevin; Bahamonde, Tamara; Barrientos, Tabita; Olivares, Pedro; Navas, Camila; Carvajal, Francisco J.; Santibanez, Yessenia; Castro-Lazo, Raimundo; Paz Meza, Maria; Jorquera, Ramon; Gomez, Gonzalo I.; Henke, Marina; Alarcon, Rodrigo; Gabriel, Laureen A.; Schiffmann, Susanne; Cerpa, Waldo; Retamal, Mauricio A.; Simon, Felipe; Linsambarth, Sergio; Gonzalez-Nilo, Fernando; Stehberg, Jimmy</t>
  </si>
  <si>
    <t>PROCEEDINGS OF THE NATIONAL ACADEMY OF SCIENCES OF THE UNITED STATES OF AMERICA</t>
  </si>
  <si>
    <t>10.1073/pnas.2307953121</t>
  </si>
  <si>
    <t>Potential involvement of JNK1 repression in the hepatic effect of sitagliptin and metformin in rats subjected to high fat diet and chronic mild distress</t>
  </si>
  <si>
    <t>Magdy YM, El-Kharashi OA, Nabih ES, Shaker SM, Abd-Elaziz LF, Aboul-Fotouh S.</t>
  </si>
  <si>
    <t>Biomed Pharmacother</t>
  </si>
  <si>
    <t>10.1016/j.biopha.2016.10.098</t>
  </si>
  <si>
    <t>A repeated measures cognitive affective bias test in rats: comparison with forced swim test</t>
  </si>
  <si>
    <t>Aliphon B, Dai T, Moretti J, Penrose-Menz M, Mulders WHAM, Blache D, Rodger J.</t>
  </si>
  <si>
    <t>10.1007/s00213-022-06281-8</t>
  </si>
  <si>
    <t>Fluoxetine and agomelatine mitigate anhedonic and hepatic changes in chronic restraint stress rat model</t>
  </si>
  <si>
    <t>Sarawi WS, Algarzae NK, Alharbi NM, Alhusaini AM, Akkam LM, Alsharidah RE, Alrasheed LS, Attia HA, Hasan IH.</t>
  </si>
  <si>
    <t>10.1038/s41598-025-06339-5</t>
  </si>
  <si>
    <t>6-7</t>
  </si>
  <si>
    <r>
      <t xml:space="preserve">"All rat groups, except the controls, underwent restraining stress for </t>
    </r>
    <r>
      <rPr>
        <b/>
        <sz val="11"/>
        <rFont val="Aptos Narrow"/>
        <family val="2"/>
        <scheme val="minor"/>
      </rPr>
      <t>around</t>
    </r>
    <r>
      <rPr>
        <sz val="11"/>
        <rFont val="Aptos Narrow"/>
        <family val="2"/>
        <scheme val="minor"/>
      </rPr>
      <t xml:space="preserve"> 5 weeks"</t>
    </r>
  </si>
  <si>
    <t>Chronic stress-induced depression requires the recruitment of peripheral Th17 cells into the brain</t>
  </si>
  <si>
    <t>Peng, Zhuang; Peng, Sha; Lin, Kangguang; Zhao, Bin; Wei, Lai; Tuo, Qinhui; Liao, Duanfang; Yuan, Tifei; Shi, Zhe</t>
  </si>
  <si>
    <t>JOURNAL OF NEUROINFLAMMATION</t>
  </si>
  <si>
    <t>10.1186/s12974-022-02543-6</t>
  </si>
  <si>
    <t>15</t>
  </si>
  <si>
    <t>Quercetin and Tranylcypromine Improve Memory, Behavioral Performance, and Cholinergic Function in Male Rats Subjected to Chronic Restraint Stress.</t>
  </si>
  <si>
    <t>Mostardeiro V.B.
Assmann C.E.
Schirmann A.A.
da Silveira M.V.
Rambo B.V.C.
Schott M.
Pereira A.D.S.
Miron V.V.
Soares H.W.
Dambros L.V.
Belinazo S.F.
Vidal T.G.
Bagatini M.D.
Schetinger M.R.C.
Morsch V.M.M.</t>
  </si>
  <si>
    <t>Brain Sciences</t>
  </si>
  <si>
    <t>https://dx.doi.org/10.3390/brainsci15070709</t>
  </si>
  <si>
    <t>7B</t>
  </si>
  <si>
    <t>CRS induces depression-like behavior after MCAO in rats possibly by activating p38 MAPK</t>
  </si>
  <si>
    <t>Zhi L, Zhang F, Liu H, Jiang X, Zhang Y, Yang Q, Zhang X, Liu M, Zhang Z, Song J.</t>
  </si>
  <si>
    <t>Behav Brain Res</t>
  </si>
  <si>
    <t>10.1016/j.bbr.2022.114104</t>
  </si>
  <si>
    <t>2D</t>
  </si>
  <si>
    <t>Glucocorticoid-Driven NLRP3 Inflammasome Activation in Hippocampal Microglia Mediates Chronic Stress-Induced Depressive-Like Behaviors</t>
  </si>
  <si>
    <t>Feng, Xiujing; Zhao, Yuan; Yang, Tanyuan; Song, Manyu; Wang, Chaoran; Yao, Yujie; Fan, Honggang</t>
  </si>
  <si>
    <t>FRONTIERS IN MOLECULAR NEUROSCIENCE</t>
  </si>
  <si>
    <t>10.3389/fnmol.2019.00210</t>
  </si>
  <si>
    <t>2F</t>
  </si>
  <si>
    <t>Estrogen receptors mediate the antidepressant effects of aerobic exercise: A possible new mechanism</t>
  </si>
  <si>
    <t>Zhou, Ruixue; Wang, Zhisheng; Zhou, Bojun; Yu, Zixin; Wu, Chongyun; Hou, Jun; Cheng, Ken; Liu, Timon Chengyi</t>
  </si>
  <si>
    <t>FRONTIERS IN AGING NEUROSCIENCE</t>
  </si>
  <si>
    <t>10.3389/fnagi.2022.1040828</t>
  </si>
  <si>
    <t>All rats were ovariectomised; CRS was "7.5–8h/day"</t>
  </si>
  <si>
    <t>Changes of the brain activities after chronic restraint stress in rats: A study based on (18)F-FDG PET</t>
  </si>
  <si>
    <t>Wei K, Bao W, Zhao Z, Zhou W, Liu J, Wei Y, Li M, Wu X, Liu B, Du Y, Gong W, Dong J.</t>
  </si>
  <si>
    <t>Neurosci Lett</t>
  </si>
  <si>
    <t>10.1016/j.neulet.2017.11.047</t>
  </si>
  <si>
    <t>Behavioral and neurological improvement by Cydonia oblonga fruit extract in chronic immobilization stress rats</t>
  </si>
  <si>
    <t>Sakhri, Fatma Z.; Adachi, Naoki; Zerizer, Sakina; Ohashi, Yusuke; Ikemoto, Hideshi; Tsukada, Mana; Kabouche, Zahia; Hisamitsu, Tadashi; Sunagawa, Masataka</t>
  </si>
  <si>
    <t>PHYTOTHERAPY RESEARCH</t>
  </si>
  <si>
    <t>10.1002/ptr.6953</t>
  </si>
  <si>
    <t>5B</t>
  </si>
  <si>
    <t>Biochemical studies of hippocampal gene expression of brain-derived neurotropic factor and toll-like receptor-4 in diabetic rats exposed to chronic stress: Effects of antidepressant drugs.</t>
  </si>
  <si>
    <t>Aboul-Fotouh S.
Hassan D.M.
Habib M.Z.E.
Amin A.I.
Kassim S.K.
Mohamed A.S.</t>
  </si>
  <si>
    <t>Asian Journal of Pharmaceutical and Clinical Research</t>
  </si>
  <si>
    <t>https://dx.doi.org/10.22159/ajpcr.2018.v11i1.21593</t>
  </si>
  <si>
    <t>Cannabidiol reverses depression-like behaviors by enhancing hippocampal synaptic plasticity in rats with chronic restraint stress</t>
  </si>
  <si>
    <t>Ruanpang J, Thongta N, Vattarakorn A, Ngampramuan S, Pariwatcharakul P, Tapechum S, Care C, Pakaprot N.</t>
  </si>
  <si>
    <t>Vet World</t>
  </si>
  <si>
    <t>10.14202/vetworld.2025.2823-2838</t>
  </si>
  <si>
    <t>Spilanthes acmella Murr. ameliorates chronic stress through improving mitochondrial function in chronic restraint stress rats</t>
  </si>
  <si>
    <t>Suwanjang W, Ruankham W, Chetsawang B, Mukda S, Ngampramuan S, Srisung S, Prachayasittikul V, Prachayasittikul S.</t>
  </si>
  <si>
    <t>Neurochem Int</t>
  </si>
  <si>
    <t>10.1016/j.neuint.2021.105083</t>
  </si>
  <si>
    <t>Ginsenoside Rg1 Reduced Microglial Activation and Mitochondrial Dysfunction to Alleviate Depression-Like Behaviour Via the GAS5/EZH2/SOCS3/NRF2 Axis</t>
  </si>
  <si>
    <t>Li J, Gao W, Zhao Z, Li Y, Yang L, Wei W, Ren F, Li Y, Yu Y, Duan W, Li J, Dai B, Guo R.</t>
  </si>
  <si>
    <t>10.1007/s12035-022-02740-7</t>
  </si>
  <si>
    <t> ≥ 5</t>
  </si>
  <si>
    <t>Melatonin alleviates chronic stress-induced hippocampal microglia pyroptosis and subsequent depression-like behaviors by inhibiting Cathepsin B/NLRP3 signaling pathway in rats.</t>
  </si>
  <si>
    <t>Gao Z.
Luo K.
Hu Y.
Niu Y.
Zhu X.
Li S.
Zhang H.</t>
  </si>
  <si>
    <t>Translational Psychiatry</t>
  </si>
  <si>
    <t>https://dx.doi.org/10.1038/s41398-024-02887-y</t>
  </si>
  <si>
    <t>(S)-Ketamine but Not (R)-Ketamine Shows Acute Effects on Depression-Like Behavior and Sleep-Wake Architecture in Rats</t>
  </si>
  <si>
    <t>Koncz S, Papp N, Pothorszki D, Bagdy G.</t>
  </si>
  <si>
    <t>Int J Neuropsychopharmacol</t>
  </si>
  <si>
    <t>10.1093/ijnp/pyad050</t>
  </si>
  <si>
    <t>Chronic Stress Decreases Cerebrovascular Responses During Rat Hindlimb Electrical Stimulation</t>
  </si>
  <si>
    <t>Lee S, Kang BM, Shin MK, Min J, Heo C, Lee Y, Baeg E, Suh M.</t>
  </si>
  <si>
    <t>Front Neurosci</t>
  </si>
  <si>
    <t>10.3389/fnins.2015.00462</t>
  </si>
  <si>
    <t>Data expressed as 'mean behavioural count'</t>
  </si>
  <si>
    <t>Whole body vibration training improves depression-like behaviors in a rat chronic restraint stress model</t>
  </si>
  <si>
    <t>Peng G, Yang L, Wu CY, Zhang LL, Wu CY, Li F, Shi HW, Hou J, Zhang LM, Ma X, Xiong J, Pan H, Zhang GQ.</t>
  </si>
  <si>
    <t>10.1016/j.neuint.2020.104926</t>
  </si>
  <si>
    <t>The PHF21B gene is associated with major depression and modulates the stress response.</t>
  </si>
  <si>
    <t>Wong M.-L.
Arcos-Burgos M.
Liu S.
Velez J.I.
Yu C.
Baune B.T.
Jawahar M.C.
Arolt V.
Dannlowski U.
Chuah A.
Huttley G.A.
Fogarty R.
Lewis M.D.
Bornstein S.R.
Licinio J.</t>
  </si>
  <si>
    <t>Molecular Psychiatry</t>
  </si>
  <si>
    <t>https://dx.doi.org/10.1038/mp.2016.174</t>
  </si>
  <si>
    <t>Effects of depression on thyroid function, pathology and ultrasonography in rats</t>
  </si>
  <si>
    <t>Wu, Xueyan; Gao, Yingjing; Liu, Siyan; Meng, Lei; Wang, Shaolian; Song, Chunhong</t>
  </si>
  <si>
    <t>JOURNAL OF MOLECULAR HISTOLOGY</t>
  </si>
  <si>
    <t>10.1007/s10735-025-10584-3</t>
  </si>
  <si>
    <t>The identification of metabolic disturbances in the prefrontal cortex of the chronic restraint stress rat model of depression</t>
  </si>
  <si>
    <t>Liu L, Zhou X, Zhang Y, Liu Y, Yang L, Pu J, Zhu D, Zhou C, Xie P.</t>
  </si>
  <si>
    <t>10.1016/j.bbr.2016.03.005</t>
  </si>
  <si>
    <t>Kamikihito rescued depressive-like behaviors and hippocampus neurogenesis in chronic restraint stress rats</t>
  </si>
  <si>
    <t>Adachi N, Sakhri FZ, Ikemoto H, Ohashi Y, Kato M, Inoue T, Hisamitsu T, Sunagawa M.</t>
  </si>
  <si>
    <t>J Tradit Complement Med</t>
  </si>
  <si>
    <t>10.1016/j.jtcme.2021.08.001</t>
  </si>
  <si>
    <t>ACTH(6-9)-Pro-Gly-Pro ameliorates anxiety-like and depressive-like behaviour and gut mucosal microbiota composition in rats under conditions of chronic restraint stress</t>
  </si>
  <si>
    <t>Vorvul, Anton O.; Bobyntsev, Igor I.; Medvedeva, Olga A.; Mukhina, Alexandra Y.; V. Svishcheva, Maria; Azarova, Iuliia E.; Andreeva, Lyudmila A.; Myasoedov, Nikolay F.</t>
  </si>
  <si>
    <t>NEUROPEPTIDES</t>
  </si>
  <si>
    <t>10.1016/j.npep.2022.102247</t>
  </si>
  <si>
    <t>Functional magnetic resonance imaging study on anxiety and depression disorders induced by chronic restraint stress in rats</t>
  </si>
  <si>
    <t>Li Z, Ma Y, Dong B, Hu B, He H, Jia J, Xiong M, Xu T, Xu B, Xi W.</t>
  </si>
  <si>
    <t>10.1016/j.bbr.2023.114496</t>
  </si>
  <si>
    <t>Data shown as violin plot</t>
  </si>
  <si>
    <t>Xiaoyaosan Exerts Therapeutic Effects on the Colon of Chronic Restraint Stress Model Rats via the Regulation of Immunoinflammatory Activation Induced by the TLR4/NLRP3 Inflammasome Signaling Pathway</t>
  </si>
  <si>
    <t>Zhu HZ, Liang YD, Hao WZ, Ma QY, Li XJ, Li YM, Chen JX.</t>
  </si>
  <si>
    <t>Evid Based Complement Alternat Med</t>
  </si>
  <si>
    <t>10.1155/2021/6673538</t>
  </si>
  <si>
    <t>Comparative analysis of the nucleus accumbens transcriptional features in multiple depressive animal models</t>
  </si>
  <si>
    <t>Yu, Ying; Li, Xuemei; Teng, Teng; He, Yuqian; Jiang, Yuanliang; Liu, Xueer; Zhou, Xinyu; Luo, Yong; Xie, Peng</t>
  </si>
  <si>
    <t>10.1016/j.bbr.2024.114890</t>
  </si>
  <si>
    <t>Unclear</t>
  </si>
  <si>
    <t>"Male Sprague-Dawley rats (8–12 weeks old, 250–300 g) and male Long-Evans rats (350–400 g) .... All rats were randomly assigned to one of the following four models"</t>
  </si>
  <si>
    <t>1I</t>
  </si>
  <si>
    <t>The ROCK Inhibitor Fasudil Prevents Chronic Restraint Stress-Induced Depressive-Like Behaviors and Dendritic Spine Loss in Rat Hippocampus</t>
  </si>
  <si>
    <t>García-Rojo G, Fresno C, Vilches N, Díaz-Véliz G, Mora S, Aguayo F, Pacheco A, Parra-Fiedler N, Parra CS, Rojas PS, Tejos M, Aliaga E, Fiedler JL.</t>
  </si>
  <si>
    <t>10.1093/ijnp/pyw108</t>
  </si>
  <si>
    <t>Effects of escitalopram and ibuprofen on a depression-like phenotype induced by chronic stress in rats</t>
  </si>
  <si>
    <t>Seo, Mi Kyoung; Lee, Jung Goo; Park, Sung Woo</t>
  </si>
  <si>
    <t>10.1016/j.neulet.2018.12.033</t>
  </si>
  <si>
    <t>Behavioral effects and CRF expression in brain structures of high- and low-anxiety rats after chronic restraint stress</t>
  </si>
  <si>
    <t>Wisłowska-Stanek A, Lehner M, Skórzewska A, Krząścik P, Płaźnik A.</t>
  </si>
  <si>
    <t>10.1016/j.bbr.2016.05.001</t>
  </si>
  <si>
    <t>Data from 'high anxiety' rats</t>
  </si>
  <si>
    <t>The effects of antidepressants "fluoxetine and imipramine" on vascular abnormalities and Toll like receptor-4 expression in diabetic and non-diabetic rats exposed to chronic stress</t>
  </si>
  <si>
    <t>Habib M, Shaker S, El-Gayar N, Aboul-Fotouh S.</t>
  </si>
  <si>
    <t>PLoS One</t>
  </si>
  <si>
    <t>10.1371/journal.pone.0120559</t>
  </si>
  <si>
    <t>9-14</t>
  </si>
  <si>
    <t>Gut microbiome-derived indole-3-carboxaldehyde regulates stress vulnerability in chronic restraint stress by activating aryl hydrocarbon receptors</t>
  </si>
  <si>
    <t>Chen, Congcong; Xiao, Qiang; Wen, Zhaoyi; Gong, Fenfang; Zhan, Huang; Liu, Jian; Li, Hui; Jiao, Yukun</t>
  </si>
  <si>
    <t>PHARMACOLOGICAL RESEARCH</t>
  </si>
  <si>
    <t>10.1016/j.phrs.2025.107654</t>
  </si>
  <si>
    <t>Antistress and antidepressant properties of dapoxetine and vortioxetine</t>
  </si>
  <si>
    <t>Ratajczak, Piotr; Kus, Krzysztof; Zielinska-Przyjemska, Malgorzata; Skorczewska, Beata; Zaprutko, Tomasz; Kopciuch, Dorota; Paczkowska, Anna; Nowakowska, Elzbieta</t>
  </si>
  <si>
    <t>ACTA NEUROBIOLOGIAE EXPERIMENTALIS</t>
  </si>
  <si>
    <t>10.21307/ane-2020-020</t>
  </si>
  <si>
    <t>24</t>
  </si>
  <si>
    <t>Chronic Restraint Stress Did Not Alter Active Avoidance Coping or Neuronal Activation Levels of the Medial Prefrontal Cortex or the Nucleus Accumbens in Male Rats</t>
  </si>
  <si>
    <t>Kuan, Hsun-Yi; Chang, Chun-Hui</t>
  </si>
  <si>
    <t>JOURNAL OF PHYSIOLOGICAL INVESTIGATION</t>
  </si>
  <si>
    <t>10.4103/ejpi.EJPI-D-24-00066</t>
  </si>
  <si>
    <t>Long-Evans</t>
  </si>
  <si>
    <t>Environmental Enrichment Increases Glucocorticoid Receptors and Decreases GluA2 and Protein Kinase M Zeta (PKMO Trafficking During Chronic Stress: A Protective Mechanism?</t>
  </si>
  <si>
    <t>Zanca, Roseanna M.; Braren, Stephen H.; Maloney, Brigid; Schrott, Lisa M.; Luine, Victoria N.; Serrano, Peter A.</t>
  </si>
  <si>
    <t>FRONTIERS IN BEHAVIORAL NEUROSCIENCE</t>
  </si>
  <si>
    <t>10.3389/fnbeh.2015.00303</t>
  </si>
  <si>
    <t>Data from 'standard housed' group</t>
  </si>
  <si>
    <t>1B</t>
  </si>
  <si>
    <t>Exploring the ameliorative effects of omega-3 fatty acid supplementation on maternal behavioral abnormalities induced by prenatal chronic restraint stress</t>
  </si>
  <si>
    <t>Wang, Bo; Liu, Peijie; Gao, Xinhui; Yang, Fengqi; Sun, Jiarui; He, Fengqin</t>
  </si>
  <si>
    <t>10.1016/j.bbr.2025.115458</t>
  </si>
  <si>
    <t>F (pregnant)</t>
  </si>
  <si>
    <t>Pregnant females restrained from GD14-21</t>
  </si>
  <si>
    <t>Validation of chronic restraint stress model in young adult rats for the study of depression using longitudinal multimodal MR imaging.</t>
  </si>
  <si>
    <t>Seewoo B.J.
Hennessy L.A.
Feindel K.W.
Etherington S.J.
Croarkin P.E.
Rodger J.</t>
  </si>
  <si>
    <t>eNeuro</t>
  </si>
  <si>
    <t>https://dx.doi.org/10.1523/ENEURO.0113-20.2020</t>
  </si>
  <si>
    <t>Behavioral effects of nicotinic antagonist mecamylamine in a rat model of depression: prefrontal cortex level of BDNF protein and monoaminergic neurotransmitters</t>
  </si>
  <si>
    <t>Aboul-Fotouh S.</t>
  </si>
  <si>
    <t>10.1007/s00213-014-3745-5</t>
  </si>
  <si>
    <t>Chronic restraint stress induced changes in colonic homeostasis-related indexes and tryptophan-kynurenine metabolism in rats</t>
  </si>
  <si>
    <t>Li CC, Gan L, Tan Y, Yan MZ, Liu XM, Chang Q, Pan RL.</t>
  </si>
  <si>
    <t>J Proteomics</t>
  </si>
  <si>
    <t>10.1016/j.jprot.2021.104190</t>
  </si>
  <si>
    <t>Association of N-cadherin levels and downstream effectors of Rho GTPases with dendritic spine loss induced by chronic stress in rat hippocampal neurons</t>
  </si>
  <si>
    <t>Castañeda P, Muñoz M, García-Rojo G, Ulloa JL, Bravo JA, Márquez R, García-Pérez MA, Arancibia D, Araneda K, Rojas PS, Mondaca-Ruff D, Díaz-Véliz G, Mora S, Aliaga E, Fiedler JL.</t>
  </si>
  <si>
    <t>J Neurosci Res</t>
  </si>
  <si>
    <t>10.1002/jnr.23602</t>
  </si>
  <si>
    <t>3C</t>
  </si>
  <si>
    <t>Lychee peel extract attenuates depression-like behavior in a rat model of chronic restraint stress.</t>
  </si>
  <si>
    <t>Phachonpai W.
Preedapirom W.
Wuthiyan K.
Junkaew A.
Tongun T.</t>
  </si>
  <si>
    <t>Journal of Applied Pharmaceutical Science</t>
  </si>
  <si>
    <t>https://dx.doi.org/10.7324/JAPS.2024.148021</t>
  </si>
  <si>
    <t>Meloxicam Targets COX-2/NOX1/NOX4/Nrf2 Axis to Ameliorate the Depression-like Neuropathology Induced by Chronic Restraint Stress in Rats.</t>
  </si>
  <si>
    <t>Arab H.H.
Khames A.
Mohammad M.K.
Alsufyani S.E.
Ashour A.M.
El-Sheikh A.A.K.
Darwish H.W.
Gad A.M.</t>
  </si>
  <si>
    <t>Pharmaceuticals</t>
  </si>
  <si>
    <t>https://dx.doi.org/10.3390/ph16060848</t>
  </si>
  <si>
    <t>Nature and nurture: environmental influences on a genetic rat model of depression</t>
  </si>
  <si>
    <t>Mehta-Raghavan NS, Wert SL, Morley C, Graf EN, Redei EE.</t>
  </si>
  <si>
    <t>10.1038/tp.2016.28</t>
  </si>
  <si>
    <t>Wistar Kyoto More Immobile </t>
  </si>
  <si>
    <t>"adult"</t>
  </si>
  <si>
    <t>Data expressed as number of 5-sec bins</t>
  </si>
  <si>
    <t>Wistar Kyoto Less Immobile </t>
  </si>
  <si>
    <t>Use of a gene expression signature to identify trimetazidine for repurposing to treat bipolar depression.</t>
  </si>
  <si>
    <t>Bortolasci C.C.
Kidnapillai S.
Spolding B.
Truong T.T.T.
Connor T.
Swinton C.
Panizzutti B.
Liu Z.S.J.
Sanigorski A.
Dean O.M.
Crowley T.
Richardson M.
Bozaoglu K.
Vlahos K.
Cowdery S.
Watmuff B.
Steyn S.F.
Wolmarans D.W.
Engelbrecht B.J.
Perry C.
Drummond K.
Pang T.
Jamain S.
Gray L.
McGee S.L.
Harvey B.H.
Kim J.H.
Leboyer M.
Berk M.
Walder K.</t>
  </si>
  <si>
    <t>Bipolar Disorders</t>
  </si>
  <si>
    <t>https://dx.doi.org/10.1111/bdi.13319</t>
  </si>
  <si>
    <t>Flinders Sensitive Line</t>
  </si>
  <si>
    <t>Electroconvulsive treatment prevents chronic restraint stress-induced atrophy of the hippocampal formation-A stereological study</t>
  </si>
  <si>
    <t>Alemu JL, Elberling F, Azam B, Pakkenberg B, Olesen MV.</t>
  </si>
  <si>
    <t>Brain Behav</t>
  </si>
  <si>
    <t>10.1002/brb3.1195</t>
  </si>
  <si>
    <t>NLRP3-mediated Neuroinflammation Exacerbates Incisional Hyperalgesia and Prolongs Recovery After Surgery in Chronic Stressed Rats</t>
  </si>
  <si>
    <t>Meng Y, Zhuang L, Xue Q, Zhang J, Yu B.</t>
  </si>
  <si>
    <t>Pain Physician</t>
  </si>
  <si>
    <t>https://www.painphysicianjournal.com/current/pdf?article=NzM1Mw%3D%3D&amp;journal=139</t>
  </si>
  <si>
    <t>Chronic Stress Disrupts Immune and Endocrine Axis, Inducing Persistent Behavioral Impairments in Male Rats: In Silico and In Vivo Insights</t>
  </si>
  <si>
    <t>Saeidi, Maryam; Hassanzadeh, Gholamreza; Rouhollah, Fatemeh; Mokhtari, Tahmineh</t>
  </si>
  <si>
    <t>10.1007/s11064-025-04579-5</t>
  </si>
  <si>
    <t>Roles of monoaminergic, antioxidant defense and neuroendocrine systems in antidepressant-like effect of Cnestis ferruginea Vahl ex DC (Connaraceae) in rats</t>
  </si>
  <si>
    <t>Ishola, Ismail O.; Akinleye, Moshood O.; Oduola, Mariam D.; Adeyemi, Olufunmilayo O.</t>
  </si>
  <si>
    <t>BIOMEDICINE &amp; PHARMACOTHERAPY</t>
  </si>
  <si>
    <t>10.1016/j.biopha.2016.06.054</t>
  </si>
  <si>
    <t>Combined exposure of alumina nanoparticles and chronic stress exacerbates hippocampal neuronal ferroptosis via activating IFN-gamma/ASK1/JNK signaling pathway in rats.</t>
  </si>
  <si>
    <t>Zhang H.
Jiao W.
Cui H.
Sun Q.
Fan H.</t>
  </si>
  <si>
    <t>Journal of Hazardous Materials</t>
  </si>
  <si>
    <t>https://dx.doi.org/10.1016/j.jhazmat.2021.125179</t>
  </si>
  <si>
    <t xml:space="preserve">CRS protocol used was from a mouse study: https://doi.org/10.1080/15548627.2019.1630222 </t>
  </si>
  <si>
    <t>Involvement of Hepatic SHIP2 and PI3K/Akt Signalling in the Regulation of Plasma Insulin by Xiaoyaosan in Chronic Immobilization-Stressed Rats</t>
  </si>
  <si>
    <t>Pan, Qiuxia; Wu, Jiajia; Liu, Yueyun; Li, Xiaojuan; Chen, Jiaxu</t>
  </si>
  <si>
    <t>MOLECULES</t>
  </si>
  <si>
    <t>10.3390/molecules24030480</t>
  </si>
  <si>
    <t>9-10</t>
  </si>
  <si>
    <t>Two Chronic Stress Models Based on Movement Restriction in Rats Respond Selectively to Antidepressant Drugs: Aldolase C As a Potential Biomarker</t>
  </si>
  <si>
    <t>Ampuero, Estibaliz; Luarte, Alejandro; Santibanez, Marcos; Varas-Godoy, Manuel; Toledo, Jorge; Diaz-Veliz, Gabriela; Cavada, Gabriel; Rubio, F. Javier; Wyneken, Ursula</t>
  </si>
  <si>
    <t>INTERNATIONAL JOURNAL OF NEUROPSYCHOPHARMACOLOGY</t>
  </si>
  <si>
    <t>10.1093/ijnp/pyv038</t>
  </si>
  <si>
    <t>"restraint"</t>
  </si>
  <si>
    <t>11-14</t>
  </si>
  <si>
    <t>11</t>
  </si>
  <si>
    <t>"immobilisation"</t>
  </si>
  <si>
    <t>Anti-oxidative effects of safranal on immobilization-induced oxidative damage in rat brain</t>
  </si>
  <si>
    <t>Samarghandian S, Samini F, Azimi-Nezhad M, Farkhondeh T.</t>
  </si>
  <si>
    <t>10.1016/j.neulet.2017.08.065</t>
  </si>
  <si>
    <t>Resveratrol reverses chronic restraint stress-induced depression-like behaviour: Involvement of BDNF level, ERK phosphorylation and expression of Bcl-2 and Bax in rats</t>
  </si>
  <si>
    <t>Wang X, Xie Y, Zhang T, Bo S, Bai X, Liu H, Li T, Liu S, Zhou Y, Cong X, Wang Z, Liu D.</t>
  </si>
  <si>
    <t>10.1016/j.brainresbull.2016.06.014</t>
  </si>
  <si>
    <t>CONTROL (% preference for sucrose)</t>
  </si>
  <si>
    <t>TEST (% preference for sucrose)</t>
  </si>
  <si>
    <t>SPT</t>
  </si>
  <si>
    <t>Test duration (h)</t>
  </si>
  <si>
    <t>% sucrose solution (w/v)</t>
  </si>
  <si>
    <t>Duration of prior water deprivation (h)</t>
  </si>
  <si>
    <t>Duration of prior food deprivation (h)</t>
  </si>
  <si>
    <t>Administration of Lactobacillus helveticus NS8 improves behavioral, cognitive, and biochemical aberrations caused by chronic restraint stress.</t>
  </si>
  <si>
    <t>Liang S.
Wang T.
Hu X.
Luo J.
Li W.
Wu X.
Duan Y.
Jin F.</t>
  </si>
  <si>
    <t>Neuroscience</t>
  </si>
  <si>
    <t>https://dx.doi.org/10.1016/j.neuroscience.2015.09.033</t>
  </si>
  <si>
    <t>A rat study model of depression-driven chronic prostatitis by modulating the PI3K/Akt/mTOR network</t>
  </si>
  <si>
    <t>Feng JL, Hou D, Zhao C, Bao BH, Huang SY, Deng S, Meng FC, Zhao Q, Wang B, Li HS, Wang JS.</t>
  </si>
  <si>
    <t>Andrologia</t>
  </si>
  <si>
    <t>10.1111/and.14488</t>
  </si>
  <si>
    <t>1F</t>
  </si>
  <si>
    <t>Antidepressant-like effects of albiflorin involved the NO signaling pathway in rats model of chronic restraint stress</t>
  </si>
  <si>
    <t>Zhu Ying-Li; Wang Lin-Yuan; Zhao Dan-Ping; Wang Cheng-Long; Zhang Rui; Fei Wen-Ting; Wang Jing-Xia; Zhang Jian-Jun</t>
  </si>
  <si>
    <t>CHINESE JOURNAL OF NATURAL MEDICINES</t>
  </si>
  <si>
    <t>10.1016/S1875-5364(20)60030-9</t>
  </si>
  <si>
    <t>A Comparison Study of Chaihu Shugan San and Fluoxetine on Antidepression and Regulating Blood Rheology Effects with Chronic Restrained Stress Rats</t>
  </si>
  <si>
    <t>Qian M, Peng R, Yue C, Yang Z, Zhu H, Liu B, Xie M.</t>
  </si>
  <si>
    <t>10.1155/2020/6426383</t>
  </si>
  <si>
    <t>1C1&amp;2</t>
  </si>
  <si>
    <t>Role of electrophysiological activity and interactions of lateral habenula in the development of depression-like behavior in a chronic restraint stress model</t>
  </si>
  <si>
    <t>Wang, Chang; Sun, Yuting; Xing, Yanjie; Liu, Kezhou; Xu, Kedi</t>
  </si>
  <si>
    <t>BRAIN RESEARCH</t>
  </si>
  <si>
    <t>10.1016/j.brainres.2024.148914</t>
  </si>
  <si>
    <t>3C&amp;D</t>
  </si>
  <si>
    <t>1% saccharin</t>
  </si>
  <si>
    <t>3H</t>
  </si>
  <si>
    <t>CRS method taken from cited article</t>
  </si>
  <si>
    <t>text &amp; S1e</t>
  </si>
  <si>
    <t>"n&gt;9"</t>
  </si>
  <si>
    <t>2G</t>
  </si>
  <si>
    <t>Effect of traditional Chinese medicine formula Sinisan on chronic restraint stress-induced nonalcoholic fatty liver disease: a rat study</t>
  </si>
  <si>
    <t>Cheng F, Ma C, Wang X, Zhai C, Wang G, Xu X, Mu J, Li C, Wang Z, Zhang X, Yue W, Du X, Lian Y, Zhu W, Yin X, Wei Z, Song W, Wang Q.</t>
  </si>
  <si>
    <t>BMC Complement Altern Med</t>
  </si>
  <si>
    <t>10.1186/s12906-017-1707-2</t>
  </si>
  <si>
    <t>Comparative analysis of gut microbiota and fecal metabolome features among multiple depressive animal models</t>
  </si>
  <si>
    <t>Liu X, Li X, Teng T, Jiang Y, Xiang Y, Fan L, Yu Y, Zhou X, Xie P.</t>
  </si>
  <si>
    <t>10.1016/j.jad.2022.06.088</t>
  </si>
  <si>
    <t>Chronic restraint stress alters rat behavior depending on sex and duration of stress</t>
  </si>
  <si>
    <t>Pansarim V, Leite-Panissi CRA, Schmidt A.</t>
  </si>
  <si>
    <t>Behav Processes</t>
  </si>
  <si>
    <t>10.1016/j.beproc.2023.104856</t>
  </si>
  <si>
    <t>Data from after 4 weeks of CRS</t>
  </si>
  <si>
    <t>Data from after 8 weeks of CRS</t>
  </si>
  <si>
    <t>5H</t>
  </si>
  <si>
    <t>Y axis mislabeled?</t>
  </si>
  <si>
    <t>6-16</t>
  </si>
  <si>
    <t>2E</t>
  </si>
  <si>
    <t>Shenyu ningshen tablet reduced neuronal damage in the hippocampus of chronic restraint stress model rat by inhibiting A1-reactive astrocytes</t>
  </si>
  <si>
    <t>Wang Y, Li S, Chen M, Zeng M, Zhou L, Yao R, Pang B, Xu Y, Cao S, Guo S, Cui X.</t>
  </si>
  <si>
    <t>Heliyon</t>
  </si>
  <si>
    <t>10.1016/j.heliyon.2024.e28916</t>
  </si>
  <si>
    <t>5A</t>
  </si>
  <si>
    <t>Acupuncture Ameliorates Depression-Like Behaviors Through Modulating the Neuroinflammation Mediated by TLR4 Signaling Pathway in Rats Exposed to Chronic Restraint Stress</t>
  </si>
  <si>
    <t>Jiang H, Long X, Wang Y, Zhang X, Chen L, Yang X, Zhao B, Zhang Y, Chai Y, Bao T.</t>
  </si>
  <si>
    <t>10.1007/s12035-023-03737-6</t>
  </si>
  <si>
    <t>Chronic restraint stress produces sex-specific behavioral and molecular outcomes in the dorsal and ventral rat hippocampus</t>
  </si>
  <si>
    <t>Olave FA, Aguayo FI, Román-Albasini L, Corrales WA, Silva JP, González PI, Lagos S, García MA, Alarcón-Mardones M, Rojas PS, Xu X, Cidlowski JA, Aliaga E, Fiedler J.</t>
  </si>
  <si>
    <t>Neurobiol Stress</t>
  </si>
  <si>
    <t>10.1016/j.ynstr.2022.100440</t>
  </si>
  <si>
    <t>13-15</t>
  </si>
  <si>
    <t>7K</t>
  </si>
  <si>
    <t>Electroacupuncture prevents depression via PINK1/Parkin-driven suppression of NLRP3 activation</t>
  </si>
  <si>
    <t>Li Z, Huang J, Zhang J, Tian B, Guo Y, Zhou X, Mao X, Wang Z, Tian F, Gou C, Mou Q.</t>
  </si>
  <si>
    <t>10.1016/j.brainresbull.2025.111609</t>
  </si>
  <si>
    <t>Mechanistic analysis of erectile dysfunction in a depression rat model</t>
  </si>
  <si>
    <t>Hong ZM, Chen ZL, Feng JL, Wang SJ, Qiu JF, Zeng YL, Wang Q, Wang JS.</t>
  </si>
  <si>
    <t>J Int Med Res</t>
  </si>
  <si>
    <t>10.1177/03000605221100334</t>
  </si>
  <si>
    <t>Novel hippocampal genes involved in enhanced susceptibility to chronic pain-induced behavioral emotionality.</t>
  </si>
  <si>
    <t>Garman A.
Ash A.M.
Kokkinos E.K.
Nerland D.
Winter L.
Langreck C.B.
Forgette M.L.
Girgenti M.J.
Banasr M.
Duric V.</t>
  </si>
  <si>
    <t>European Journal of Pharmacology</t>
  </si>
  <si>
    <t>https://dx.doi.org/10.1016/j.ejphar.2023.176273</t>
  </si>
  <si>
    <t>Study of Antidepressant-Like Effects of Albiflorin and Paeoniflorin Through Metabolomics From the Perspective of Cancer-Related Depression</t>
  </si>
  <si>
    <t>Zhao D, Zhang J, Zhu Y, He C, Fei W, Yue N, Wang C, Wang L.</t>
  </si>
  <si>
    <t>Front Neurol</t>
  </si>
  <si>
    <t>10.3389/fneur.2022.828612</t>
  </si>
  <si>
    <t>Anti-oxidant and anti-apoptotic effects of gamma-oryzanol on male reproductive function in chronic restraint stress in rats.</t>
  </si>
  <si>
    <t>Alizadeh M.
Moshtagh S.
Amir S.A.
Jeddi M.
Tahmasebzadeh S.
Radman G.
Bagheri A.
Bagheri Y.
Shahabinejad N.</t>
  </si>
  <si>
    <t>Avicenna Journal of Phytomedicine</t>
  </si>
  <si>
    <t>https://dx.doi.org/10.22038/AJP.2024.24819</t>
  </si>
  <si>
    <t>3A-b</t>
  </si>
  <si>
    <t>Acupuncture Ameliorates Depressive Behaviors by Modulating the Expression of Hippocampal Iba-1 and HMGB1 in Rats Exposed to Chronic Restraint Stress.</t>
  </si>
  <si>
    <t>Chen L.
Jiang H.
Bao T.
Wang Y.
Meng H.
Sun Y.
Liu P.
Quan S.
Li W.
Qi S.
Ren X.</t>
  </si>
  <si>
    <t>Frontiers in Psychiatry</t>
  </si>
  <si>
    <t>https://dx.doi.org/10.3389/fpsyt.2022.903004</t>
  </si>
  <si>
    <t>3A/B</t>
  </si>
  <si>
    <t>KXS Balances the Tryptophan Metabolism in Mild to Moderate Depressed Patients and Chronic Restraint Stress Induced Depressive Rats</t>
  </si>
  <si>
    <t>Wang Y, Li X, Jing R, Yang W, Wang Y, Wang C, Yao L, Cui X, Hu Y.</t>
  </si>
  <si>
    <t>Neuropsychiatr Dis Treat</t>
  </si>
  <si>
    <t>10.2147/NDT.S377982</t>
  </si>
  <si>
    <t>SPT pre-screen done</t>
  </si>
  <si>
    <t>Investigation of the Underlying Mechanism of Depression on Male Infertility: A Bioinformatics and Experimental Research Study</t>
  </si>
  <si>
    <t>Zhao, Qi; Yan, Fei; Ma, Chuan; Feng, Junlong; Deng, Sheng; Zhao, Cong; Zhang, Huanan; Li, Haisong; Wang, Bin; Wang, Jisheng</t>
  </si>
  <si>
    <t>ANDROLOGIA</t>
  </si>
  <si>
    <t>10.1155/2023/2820367</t>
  </si>
  <si>
    <t>4-5</t>
  </si>
  <si>
    <t>Genome-wide transcriptome analysis of hippocampus in rats indicated that TLR/NLR signaling pathway was involved in the pathogenisis of depressive disorder induced by chronic restraint stress</t>
  </si>
  <si>
    <t>Wang, Yu; Jiang, Huili; Meng, Hong; Lu, Jun; Li, Jing; Zhang, Xuhui; Yang, Xinjing; Zhao, Bingcong; Sun, Yang; Bao, Tuya</t>
  </si>
  <si>
    <t>BRAIN RESEARCH BULLETIN</t>
  </si>
  <si>
    <t>10.1016/j.brainresbull.2017.07.021</t>
  </si>
  <si>
    <t>Molecular-level effects of acupuncture on depression: a genome-wide transcriptome analysis of pituitary gland in rats exposed to chronic restraint stress</t>
  </si>
  <si>
    <t>Wang Y, Jiang H, Li J, Yang X, Zhao B, Yu Q, Liang X, Bao T, Meng H.</t>
  </si>
  <si>
    <t>J Tradit Chin Med</t>
  </si>
  <si>
    <t>https://www.sciencedirect.com/science/article/pii/S0254627217301553?via%3Dihub</t>
  </si>
  <si>
    <t>1A1/2</t>
  </si>
  <si>
    <t>Differences in DNA Methylation Reprogramming Underlie the Sexual Dimorphism of Behavioral Disorder Caused by Prenatal Stress in Rats</t>
  </si>
  <si>
    <t>Lei, Lei; Wu, Xinmiao; Gu, Hanwen; Ji, Muhuo; Yang, Jianjun</t>
  </si>
  <si>
    <t>FRONTIERS IN NEUROSCIENCE</t>
  </si>
  <si>
    <t>10.3389/fnins.2020.573107</t>
  </si>
  <si>
    <t>Pregnant females restrained from GD12-18</t>
  </si>
  <si>
    <t>Exploring pathogenesis and biomarkers through establishment of a rat model of male infertility with liver depression and kidney deficiency</t>
  </si>
  <si>
    <t>Shen Y, Fan J, Liu S, Tao L, Yang Q, Shen X.</t>
  </si>
  <si>
    <t>10.1371/journal.pone.0303189</t>
  </si>
  <si>
    <t>Limited SPT data provided</t>
  </si>
  <si>
    <t>Ketamine induces rapid antidepressant effects via the autophagy-NLRP3 inflammasome pathway</t>
  </si>
  <si>
    <t>Lyu D, Wang F, Zhang M, Yang W, Huang H, Huang Q, Wu C, Qian N, Wang M, Zhang H, Zheng S, Chen J, Fu Y, Zhang C, Li Z, Hong W.</t>
  </si>
  <si>
    <t>10.1007/s00213-022-06201-w</t>
  </si>
  <si>
    <t>S1</t>
  </si>
  <si>
    <t>8-12</t>
  </si>
  <si>
    <t>3B&amp;C</t>
  </si>
  <si>
    <t>Effects of Achillea tenuifolia Lam. hydro-alcoholic extract on anxiety-like behavior and reproductive parameters in rat model of chronic restraint stress</t>
  </si>
  <si>
    <t>Bagheri Y, Fathi E, Maghoul A, Moshtagh S, Mokhtari K, Abdollahpour A, Montazersaheb S, Bagheri A.</t>
  </si>
  <si>
    <t>Hum Exp Toxicol</t>
  </si>
  <si>
    <t>10.1177/09603271211026723</t>
  </si>
  <si>
    <t>Chronic stress associated with hypercaloric diet changes the hippocampal BDNF levels in male Wistar rats</t>
  </si>
  <si>
    <t>Macedo, I. C.; Rozisky, J. R.; Oliveira, C.; Oliveira, C. M.; Laste, G.; Nonose, Y.; Santos, V. S.; Marques, P. R.; Ribeiro, M. F. M.; Caumo, W.; Torres, I. L. S.</t>
  </si>
  <si>
    <t>10.1016/j.npep.2015.01.002</t>
  </si>
  <si>
    <t>restrained daily on Mon-Fri each week for 12 weeks</t>
  </si>
  <si>
    <t>CONTROL (time spent in open arms (sec or %))</t>
  </si>
  <si>
    <t>TEST (time spent in open arms (sec or %))</t>
  </si>
  <si>
    <t>EPM total time (min)</t>
  </si>
  <si>
    <t>Lateralization of the 5-HT1A receptors in the basolateral amygdala in metabolic and anxiety responses to chronic restraint stress</t>
  </si>
  <si>
    <t>Valipour, Habib; Meftahi, Gholam Hossein; Jahromi, Gila Pirzad; Mohammadi, Alireza</t>
  </si>
  <si>
    <t>AMINO ACIDS</t>
  </si>
  <si>
    <t>10.1007/s00726-023-03380-4</t>
  </si>
  <si>
    <t>Quercetin ameliorates cognitive deficit, expression of amyloid precursor gene, and pro-inflammatory cytokines in an experimental models of Alzheimer's disease in Wistar rats</t>
  </si>
  <si>
    <t>Safarzadeh, Elham; Ataei, Sina; Akbari, Mehdi; Abolhasani, Rozita; Baziar, Milad; Asghariazar, Vahid; Dadkhah, Masoomeh</t>
  </si>
  <si>
    <t>EXPERIMENTAL GERONTOLOGY</t>
  </si>
  <si>
    <t>10.1016/j.exger.2024.112466</t>
  </si>
  <si>
    <t>Inhibition of prefrontal glutamatergic neuron activity during the recovery period following chronic stress disrupts fear memory in male rats: potential role of the infralimbic cortex</t>
  </si>
  <si>
    <t>Judd, Jessica M.; Peay, Dylan N.; Kim, Jinah L.; Smith, Elliot A.; Donnay, Megan E.; Miller, Joel; Klein, Jean-Paul; Nagy, Erin K.; Acuna, Amanda M.; Olive, M. Foster; Conrad, Cheryl D.</t>
  </si>
  <si>
    <t>LEARNING &amp; MEMORY</t>
  </si>
  <si>
    <t>10.1101/lm.053957.124</t>
  </si>
  <si>
    <t>Short-term antidepressant treatment has long-lasting effects, and reverses stress-induced decreases in bone features in rats.</t>
  </si>
  <si>
    <t>Lee S.H.
Mastronardi C.A.
Li R.W.
Paz-Filho G.
Dutcher E.G.
Lewis M.D.
Vincent A.D.
Smith P.N.
Bornstein S.R.
Licinio J.
Wong M.L.</t>
  </si>
  <si>
    <t>https://dx.doi.org/10.1038/s41398-018-0351-z</t>
  </si>
  <si>
    <t>Chronic stress elicits sex-specific mitochondrial respiratory functional changes in the rat heart</t>
  </si>
  <si>
    <t>Odendaal-Gambrell CP, O'Brien C, Cairns M, Maarman GJ, Joseph DE, Smith C, Rautenbach F, Marnewick JL, Essop MF.</t>
  </si>
  <si>
    <t>Physiol Rep</t>
  </si>
  <si>
    <t>10.14814/phy2.70371</t>
  </si>
  <si>
    <t>Table 3</t>
  </si>
  <si>
    <t>4D</t>
  </si>
  <si>
    <t>NMDAR and JNK Activation in the Spinal Trigeminal Nucleus Caudalis Contributes to Masseter Hyperalgesia Induced by Stress</t>
  </si>
  <si>
    <t>Lin, Wenqing; Zhao, Yajuan; Cheng, Baixiang; Zhao, Haidan; Miao, Li; Li, Qiang; Chen, Yongjin; Zhang, Min</t>
  </si>
  <si>
    <t>FRONTIERS IN CELLULAR NEUROSCIENCE</t>
  </si>
  <si>
    <t>10.3389/fncel.2019.00495</t>
  </si>
  <si>
    <t>A study of neurobehavioral and biochemical activities of Acorus Calamus Linn. On restraint stressed wistar rats.</t>
  </si>
  <si>
    <t>Subamalani S.
Sasikumar A.
Manikandan S.
Ramaswamy C.</t>
  </si>
  <si>
    <t>International Journal of Pharmaceutical Sciences and Research</t>
  </si>
  <si>
    <t>https://dx.doi.org/10.13040/IJPSR.0975-8232.9%2811%29.4832-41</t>
  </si>
  <si>
    <t>Hippocampal orexin receptor blocking prevented the stress induced social learning and memory deficits</t>
  </si>
  <si>
    <t>Bahramzadeh Zoeram S, Elahdadi Salmani M, Lashkarbolouki T, Goudarzi I.</t>
  </si>
  <si>
    <t>Neurobiol Learn Mem</t>
  </si>
  <si>
    <t>10.1016/j.nlm.2018.11.009</t>
  </si>
  <si>
    <t>12-13</t>
  </si>
  <si>
    <t>11-12</t>
  </si>
  <si>
    <t>Divergent effects of noradrenergic activation and orexin receptor 1 blockade on hippocampal structure, anxiety-like behavior, and social interaction following chronic stress</t>
  </si>
  <si>
    <t>Sarfi, Masoumeh; Salmani, Mahmoud Elahdadi; Lashkarbolouki, Taghi; Goudarzi, Iran</t>
  </si>
  <si>
    <t>PHARMACOLOGY BIOCHEMISTRY AND BEHAVIOR</t>
  </si>
  <si>
    <t>10.1016/j.pbb.2025.173997</t>
  </si>
  <si>
    <t>Pre-clinical Investigations of Therapeutic Markers Associated with Acute and Chronic Restraint Stress: A Nuclear Magnetic Resonance Based Contrast Metabolic Approach</t>
  </si>
  <si>
    <t>Singh, Sanjay; Tripathy, Sukanya; Rawat, Atul; Dubey, Durgesh; Siddiqui, Sarfraj Ahmad; Ugale, Rajesh; Kumar, Dinesh; Prakash, Anand</t>
  </si>
  <si>
    <t>Nanotheranostics</t>
  </si>
  <si>
    <t>10.7150/ntno.76294</t>
  </si>
  <si>
    <t>Effects of Limonene on Chronic Restraint Stress-Induced Memory Impairment and Anxiety in Male Rats</t>
  </si>
  <si>
    <t>Bigdeli, Y.; Asle-Rousta, M.; Rahnema, M.</t>
  </si>
  <si>
    <t>10.1007/s11062-019-09800-0</t>
  </si>
  <si>
    <t>Ciproxifan differentially modifies cognitive impairment evoked by chronic stress and chronic corticosterone administration in rats</t>
  </si>
  <si>
    <t>Trofimiuk, Emil; Braszko, Jan J.</t>
  </si>
  <si>
    <t>10.1016/j.bbr.2015.01.038</t>
  </si>
  <si>
    <t>Wistar-Crl:WI(Han)</t>
  </si>
  <si>
    <t>Strain Differences in Responsiveness to Repeated Restraint Stress Affect Remote Contextual Fear Memory and Blood Transcriptomics</t>
  </si>
  <si>
    <t>Jung SH, Meckes JK, Schipma MJ, Lim PH, Jenz ST, Przybyl K, Wert SL, Kim S, Luo W, Gacek SA, Jankord R, Hatcher-Solis C, Redei EE.</t>
  </si>
  <si>
    <t>10.1016/j.neuroscience.2020.07.052</t>
  </si>
  <si>
    <t>F334</t>
  </si>
  <si>
    <t>2N</t>
  </si>
  <si>
    <t>Angiotensin (1-7) through modulation of the NMDAR-nNOS-NO pathway and serotonergic metabolism exerts an anxiolytic-like effect in rats</t>
  </si>
  <si>
    <t>Zhu, Donglin; Sun, Ming; Liu, Qinqin; Yue, Yu; Lu, Jie; Lin, Xingjian; Shi, Jingping</t>
  </si>
  <si>
    <t>10.1016/j.bbr.2020.112671</t>
  </si>
  <si>
    <t>Transcranial Direct Current Stimulation (tDCS) Promotes state-dependent Effects on Neuroinflammatory and Behavioral Parameters in rats Chronically Exposed to Stress and a Hyper-Palatable Diet</t>
  </si>
  <si>
    <t>de Castro, Josimar Macedo; de Freitas, Joice Soares; Stein, Dirson Joao; de Macedo, Isabel Cristina; Caumo, Wolnei; Torres, Iraci L. S.</t>
  </si>
  <si>
    <t>10.1007/s11064-023-03965-1</t>
  </si>
  <si>
    <t>Gallic acid ameliorates behavioral dysfunction, oxidative damage, and neuronal loss in the prefrontal cortex and hippocampus in stressed rats</t>
  </si>
  <si>
    <t>Meftahi, Gholam Hossein; Aboutaleb, Nahid</t>
  </si>
  <si>
    <t>JOURNAL OF CHEMICAL NEUROANATOMY</t>
  </si>
  <si>
    <t>10.1016/j.jchemneu.2023.102364</t>
  </si>
  <si>
    <t>Effects of morphine on stress induced anxiety in rats: Role of nitric oxide and Hsp70</t>
  </si>
  <si>
    <t>Joshi, Jagdish C.; Ray, Arunabha; Gulati, Kavita</t>
  </si>
  <si>
    <t>PHYSIOLOGY &amp; BEHAVIOR</t>
  </si>
  <si>
    <t>10.1016/j.physbeh.2014.11.056</t>
  </si>
  <si>
    <t>Altered Serotonin 5HT-1B Receptor Expression Regulate Sex-dependent Difference for Stress and Anxiety</t>
  </si>
  <si>
    <t>Siddiqui, Sarfraj Ahmad; Singh, Sanjay; Ahmad, Mohammad Kaleem; Arshad, Md</t>
  </si>
  <si>
    <t>BASIC AND CLINICAL NEUROSCIENCE</t>
  </si>
  <si>
    <t>10.32598/bcn.2024.4222.1</t>
  </si>
  <si>
    <t xml:space="preserve">Supp Fig 2 </t>
  </si>
  <si>
    <t>Supp Fig 3</t>
  </si>
  <si>
    <t>Anxiety and ultrastructural consequences of chronic mild stress in rats</t>
  </si>
  <si>
    <t>Zhvania, Mzia; Japaridze, Nadezhda; Tizabi, Yousef; Sharikadze, Irina; Pochkhidze, Nino; Cheishvili, Levan</t>
  </si>
  <si>
    <t>10.1016/j.neulet.2021.136390</t>
  </si>
  <si>
    <t>5D</t>
  </si>
  <si>
    <t>Median given</t>
  </si>
  <si>
    <t>Chronic Restraint Stress Induced Neurobehavioral Alterations and Histological Changes in Rat</t>
  </si>
  <si>
    <t>Guedri, Kamilia; Frih, Hacene; Chettoum, Aziez; Rouabhi, Rachid</t>
  </si>
  <si>
    <t>Toxicology and Environmental Health Sciences</t>
  </si>
  <si>
    <t>10.1007/s13530-017-0312-6</t>
  </si>
  <si>
    <t>Sub-chronic administration of St. John's wort reverses anxiety- and depressive-like behaviors induced by two different protocols of chronic stress</t>
  </si>
  <si>
    <t>Rojas-Carvajal, Mijail; Fornaguera, Jaime; Badilla, Sandra; Brenes, Juan C.; Calvo, Maria F.</t>
  </si>
  <si>
    <t>REVISTA MEXICANA DE NEUROCIENCIA</t>
  </si>
  <si>
    <t>https://www.researchgate.net/publication/319472376_Sub-chronic_administration_of_St_John's_wort_reverses_anxiety-_and_depressive-like_behaviors_induced_by_two_different_protocols_of_chronic_stress</t>
  </si>
  <si>
    <t>restraint stress applied "every other day"</t>
  </si>
  <si>
    <t>Effect of Restraint Stress on Plasma PTH Concentration and Its Molecular Targets Expressions in Wistar Rats</t>
  </si>
  <si>
    <t>Terzioglu-Usak S, Elibol B, Dalli T, Guler C, Aysan E.</t>
  </si>
  <si>
    <t>Int J Endocrinol Metab</t>
  </si>
  <si>
    <t>10.5812/ijem.66979</t>
  </si>
  <si>
    <t>6B</t>
  </si>
  <si>
    <t>Glucocorticoid alleviates hypothalamic nerve injury via remodeling HPA axis homeostasis in stressed rats</t>
  </si>
  <si>
    <t>Yi S, Zhao B, Wei L, Yao Z, Yang B.</t>
  </si>
  <si>
    <t>10.1016/j.bbr.2024.115223</t>
  </si>
  <si>
    <t>Comparative effects of the alcoholic extract of Terminalia chebula and crocin on stress-induced anxiety-like behavior and memory impairment in male rats</t>
  </si>
  <si>
    <t>Jahromi, Gila Pirzad; Jangravi, Zohreh; Hadipour, Mohammadmehdi; Shirvani, Hossein; Afarinesh, Mohammad Reza; Meftahi, Gholam Hossein</t>
  </si>
  <si>
    <t>10.55782/ane-2023-016</t>
  </si>
  <si>
    <t>Chronic restraint stress induces anxiety-like behavior and remodeling of dendritic spines in the central nucleus of the amygdala</t>
  </si>
  <si>
    <t>Moreno-Martinez, Saidel; Tendilla-Beltran, Hiram; Sandoval, Vicente; Flores, Gonzalo; Terron, Jose A.</t>
  </si>
  <si>
    <t>10.1016/j.bbr.2021.113523</t>
  </si>
  <si>
    <t>2B&amp;E</t>
  </si>
  <si>
    <t>Metabolomic characteristics of spontaneously hypertensive rats under chronic stress and the treatment effect of Danzhi Xiaoyao Powder, a traditional Chinese medicine formula.</t>
  </si>
  <si>
    <t>Chen S.
Hu J.
Lu D.-C.
Liu H.-Y.
Wei S.-S.</t>
  </si>
  <si>
    <t>Journal of Integrative Medicine</t>
  </si>
  <si>
    <t>https://dx.doi.org/10.1016/j.joim.2021.11.007</t>
  </si>
  <si>
    <t>"Spontaneously Hypertensive Rat"</t>
  </si>
  <si>
    <t>Environmental enrichment prevents acute restraint stress-induced anxiety-related behavior but not changes in basolateral amygdala spine density</t>
  </si>
  <si>
    <t>Novaes, Leonardo Santana; dos Santos, Nilton Barreto; Perfetto, Juliano Genaro; Goosens, Ki Ann; Munhoz, Carolina Demarchi</t>
  </si>
  <si>
    <t>PSYCHONEUROENDOCRINOLOGY</t>
  </si>
  <si>
    <t>10.1016/j.psyneuen.2018.07.031</t>
  </si>
  <si>
    <t>8.5</t>
  </si>
  <si>
    <t>10-14</t>
  </si>
  <si>
    <t>Data_Sheet_1_Tetramethylpyrazine Alleviates Behavioral and Psychological Symptoms of Dementia Through Facilitating Hippocampal Synaptic Plasticity in Rats With Chronic Cerebral Hypoperfusion.DOCX</t>
  </si>
  <si>
    <t>Tan, Zihu; Qiu, Jing; Zhang, Yuting; Yang, Qiong; Yin, Xixi; Li, Jia; Liu, Guangya; Li, Hengfei; Yang, Guang</t>
  </si>
  <si>
    <t>Figshare</t>
  </si>
  <si>
    <t>Corticosterone after acute stress prevents the delayed effects on the amygdala</t>
  </si>
  <si>
    <t>Chakraborty, Prabahan; Datta, Siddhartha; McEwen, Bruce S.; Chattarji, Sumantra</t>
  </si>
  <si>
    <t>NEUROPSYCHOPHARMACOLOGY</t>
  </si>
  <si>
    <t>10.1038/s41386-020-0758-0</t>
  </si>
  <si>
    <t>Short-term exposure to enriched environment rescues chronic stress-induced impaired hippocampal synaptic plasticity, anxiety, and memory deficits</t>
  </si>
  <si>
    <t>Bhagya, Venkanna Rao; Srikumar, Bettadapura N.; Veena, Jayagopalan; Rao, Byrathnahalli S. Shankaranarayana</t>
  </si>
  <si>
    <t>JOURNAL OF NEUROSCIENCE RESEARCH</t>
  </si>
  <si>
    <t>10.1002/jnr.23992</t>
  </si>
  <si>
    <t>Tetramethylpyrazine Alleviates Behavioral and Psychological Symptoms of Dementia Through Facilitating Hippocampal Synaptic Plasticity in Rats With Chronic Cerebral Hypoperfusion</t>
  </si>
  <si>
    <t>Tan Z, Qiu J, Zhang Y, Yang Q, Yin X, Li J, Liu G, Li H, Yang G.</t>
  </si>
  <si>
    <t>10.3389/fnins.2021.646537</t>
  </si>
  <si>
    <t xml:space="preserve">3Dc </t>
  </si>
  <si>
    <t>Comparing the Effects of Chlorogenic Acid and Ilex paraguariensis Extracts on Different Markers of Brain Alterations in Rats Subjected to Chronic Restraint Stress.</t>
  </si>
  <si>
    <t>de Lima M.E.
Ceolin Colpo A.Z.
Maya-Lopez M.
Rangel-Lopez E.
Becerril-Chavez H.
Galvan-Arzate S.
Villeda-Hernandez J.
Sanchez-Chapul L.
Tunez I.
Folmer V.
Santamaria A.</t>
  </si>
  <si>
    <t>Neurotoxicity Research</t>
  </si>
  <si>
    <t>https://dx.doi.org/10.1007/s12640-018-9963-6</t>
  </si>
  <si>
    <t>Effects of chronic stress on rat heart function following regional ischemia: a sex-dependent investigation</t>
  </si>
  <si>
    <t>Cairns M, Odendaal C, O'Brien C, Marais E, Oestlund I, Storbeck KH, Sishi B, Joseph D, Smith C, Essop MF.</t>
  </si>
  <si>
    <t>Am J Physiol Heart Circ Physiol</t>
  </si>
  <si>
    <t>10.1152/ajpheart.00424.2024</t>
  </si>
  <si>
    <t>Differential effects of chronic stress on anxiety-like behavior and contextual fear conditioning in the TgF344-AD rat model of Alzheimer's disease</t>
  </si>
  <si>
    <t>Pentkowski NS, Bouquin SJ, Maestas-Olguin CR, Villasenor ZM, Clark BJ.</t>
  </si>
  <si>
    <t>10.1016/j.bbr.2021.113661</t>
  </si>
  <si>
    <t>TgF344-AD (wild type)</t>
  </si>
  <si>
    <t>Tarooneh extract relieves anxiety-like behaviors and cognitive deficits by inhibiting synaptic loss in the hippocampus and frontal cortex in rats subjected to chronic restraint stress</t>
  </si>
  <si>
    <t>Hadipour M, Refahi S, Jangravi Z, Meftahi GH.</t>
  </si>
  <si>
    <t>3 Biotech</t>
  </si>
  <si>
    <t>10.1007/s13205-023-03577-0</t>
  </si>
  <si>
    <t>An optimized spectrophotometric assay reveals increased activity of enzymes involved in 2-arachidonoyl glycerol turnover in the cerebral cortex of a rat model of Alzheimer's disease</t>
  </si>
  <si>
    <t>Rodrigues MS, Ferreira C, Dias C, Pliássova A, Souza L, Ledo A, Laranjinha J, Cunha RA, Köfalvi A.</t>
  </si>
  <si>
    <t>10.1111/ejn.14944</t>
  </si>
  <si>
    <t>Wistar Han</t>
  </si>
  <si>
    <t>Effect of chronic physiological stress on rat oocyte reserve: Role of IGF-1, AMH and Bcl-2</t>
  </si>
  <si>
    <t>Ercetin, Deniz; Sapmaz-Metin, Melike; Topuz, Ruhan Deniz</t>
  </si>
  <si>
    <t>INDIAN JOURNAL OF EXPERIMENTAL BIOLOGY</t>
  </si>
  <si>
    <t>10.56042/ijeb.v61i06.1929</t>
  </si>
  <si>
    <t>RU486 Reverses Emotional Disorders by Influencing Astrocytes and Endoplasmic Reticulum Stress in Chronic Restraint Stress Challenged Rats</t>
  </si>
  <si>
    <t>Dong L, Wang S, Li Y, Zhao Z, Shen Y, Liu L, Xu G, Ma C, Li S, Zhang X, Cong B.</t>
  </si>
  <si>
    <t>Cell Physiol Biochem</t>
  </si>
  <si>
    <t>10.1159/000478764</t>
  </si>
  <si>
    <t>Comparison of Various Dosages of Escitalopram on Anxiety-like Behavior and Body Weight in Male Rats under Severe Chronic Stress</t>
  </si>
  <si>
    <t>Radahmadi, Maryam; Farahbakhsh, Zahra</t>
  </si>
  <si>
    <t>ADVANCED BIOMEDICAL RESEARCH</t>
  </si>
  <si>
    <t>10.4103/abr.abr_467_24</t>
  </si>
  <si>
    <t>Proteomic and microbiota analyses of the oral cavity during psychological stress</t>
  </si>
  <si>
    <t>Paudel D, Kuramitsu Y, Uehara O, Morikawa T, Yoshida K, Giri S, Islam ST, Kitagawa T, Kondo T, Sasaki K, Matsuoka H, Miura H, Abiko Y.</t>
  </si>
  <si>
    <t>10.1371/journal.pone.0268155</t>
  </si>
  <si>
    <t>Jie-Yu-He-Huan Capsule Ameliorates Anxiety-Like Behaviours in Rats Exposed to Chronic Restraint Stress via the cAMP/PKA/CREB/BDNF Signalling Pathway</t>
  </si>
  <si>
    <t>Geng X, Wu H, Li Z, Li C, Chen D, Zong J, Liu Z, Wei S, Peng W.</t>
  </si>
  <si>
    <t>Oxid Med Cell Longev</t>
  </si>
  <si>
    <t>10.1155/2021/1703981</t>
  </si>
  <si>
    <t>Pretreatment with 4-methylumbilliferon improves anxiety-like behaviors and memory impairment in stressed rats via modulation of neuronal cell death and oxidative stress</t>
  </si>
  <si>
    <t>Khankani, Alireza Moradi; Meftahi, Gholam Hossein</t>
  </si>
  <si>
    <t>10.1016/j.brainres.2024.149196</t>
  </si>
  <si>
    <t>OFT</t>
  </si>
  <si>
    <t>OFT total time (min)</t>
  </si>
  <si>
    <t>CONTROL (time spent in centre (sec or %))</t>
  </si>
  <si>
    <t>TEST (time spent in centre (sec or %))</t>
  </si>
  <si>
    <t>Resveratrol reversed chronic restraint stress-induced impaired cognitive function in rats.</t>
  </si>
  <si>
    <t>Zhang Q.
Wang X.
Bai X.
Xie Y.
Zhang T.
Bo S.
Chen X.</t>
  </si>
  <si>
    <t>Molecular Medicine Reports</t>
  </si>
  <si>
    <t>https://dx.doi.org/10.3892/mmr.2017.6851</t>
  </si>
  <si>
    <t>Electroacupuncture pretreatment exhibits anti-depressive effects by regulating hippocampal proteomics in rats with chronic restraint stress</t>
  </si>
  <si>
    <t>Guo Z, Tu Y, Guo TW, Wu YC, Yang XQ, Sun L, Yang XJ, Zhang WY, Wang Y, Zhang XH.</t>
  </si>
  <si>
    <t>Neural Regen Res</t>
  </si>
  <si>
    <t>10.4103/1673-5374.162764</t>
  </si>
  <si>
    <t>Multi-omics analysis of pathological changes in the amygdala of rats subjected to chronic restraint stress</t>
  </si>
  <si>
    <t>Li Z, Gao C, Peng J, Liu M, Cong B.</t>
  </si>
  <si>
    <t>10.1016/j.bbr.2020.112735</t>
  </si>
  <si>
    <t>Restraint stress activates defensive behaviors in male rats depending on age and housing condition</t>
  </si>
  <si>
    <t>Arakawa, Hiroyuki</t>
  </si>
  <si>
    <t>10.1016/j.physbeh.2020.113073</t>
  </si>
  <si>
    <t>1D-F</t>
  </si>
  <si>
    <t>Environmental determinants of behavioural responses to short-term stress in rats: Evidence for inhibitory effect of ambient landmarks</t>
  </si>
  <si>
    <t>Faraji, Jamshid; Singh, Surjeet; Soltanpour, Nasrin; Sutherland, Robert J.; Metz, Gerlinde A. S.</t>
  </si>
  <si>
    <t>10.1016/j.bbr.2019.112332</t>
  </si>
  <si>
    <t>11-13</t>
  </si>
  <si>
    <t>Moxibustion upregulates hippocampal progranulin expression</t>
  </si>
  <si>
    <t>Yi, Tao; Qi, Li; Li, Ji; Le, Jing-jing; Shao, Lei; Du, Xin; Dong, Jing-cheng</t>
  </si>
  <si>
    <t>NEURAL REGENERATION RESEARCH</t>
  </si>
  <si>
    <t>10.4103/1673-5374.180746</t>
  </si>
  <si>
    <t>The FST used was a "modification of the traditional method", where "swimming endurance capacity was assessed by forcing the rats to swim until exhaustion, which was defined as the point at which the rat's nose remained below the water surface for 10 seconds".</t>
  </si>
  <si>
    <t>Effects of electrical lesion of basolateral amygdala nucleus on rat anxiety-like behaviour under acute, sub-chronic, and chronic stresses</t>
  </si>
  <si>
    <t>Ranjbar, Hoda; Radahmadi, Maryam; Reisi, Parham; Alaei, Hojjatallah</t>
  </si>
  <si>
    <t>CLINICAL AND EXPERIMENTAL PHARMACOLOGY AND PHYSIOLOGY</t>
  </si>
  <si>
    <t>10.1111/1440-1681.12727</t>
  </si>
  <si>
    <t>The Role of MAPK and Dopaminergic Synapse Signaling Pathways in Antidepressant Effect of Electroacupuncture Pretreatment in Chronic Restraint Stress Rats.</t>
  </si>
  <si>
    <t>Yang X.
Guo Z.
Lu J.
Zhao B.
Fei Y.
Li J.
Jiang H.
Sun L.
Wang Y.
Sun Y.
Bao T.</t>
  </si>
  <si>
    <t>Evidence-based Complementary and Alternative Medicine</t>
  </si>
  <si>
    <t>https://dx.doi.org/10.1155/2017/2357653</t>
  </si>
  <si>
    <t>Proteomic Analysis of Liver Proteins in a Rat Model of Chronic Restraint Stress-Induced Depression</t>
  </si>
  <si>
    <t>Li C, Guo Z, Zhao R, Sun W, Xie M.</t>
  </si>
  <si>
    <t>Biomed Res Int</t>
  </si>
  <si>
    <t>10.1155/2017/7508316</t>
  </si>
  <si>
    <t>The involvement of Notch1 signaling pathway in mid-aged female rats under chronic restraint stress</t>
  </si>
  <si>
    <t>Shen J, Lin L, Liao L, Liang W, Yang X, Lin K, Ke L, Zhang L, Kang J, Ding S, Li C, Zheng Z.</t>
  </si>
  <si>
    <t>10.1016/j.neulet.2020.135313</t>
  </si>
  <si>
    <t>10-15</t>
  </si>
  <si>
    <t>Lycopene Alleviates Chronic Stress-Induced Hippocampal Microglial Pyroptosis by Inhibiting the Cathepsin B/NLRP3 Signaling Pathway</t>
  </si>
  <si>
    <t>Zhu, Qiuxiang; Gao, Zhicheng; Peng, Jinghui; Liu, Chang; Wang, Xiaoyue; Li, Shoujun; Zhang, Haiyang</t>
  </si>
  <si>
    <t>JOURNAL OF AGRICULTURAL AND FOOD CHEMISTRY</t>
  </si>
  <si>
    <t>10.1021/acs.jafc.3c02749</t>
  </si>
  <si>
    <t>Curcumin Alleviates Restraint Stress-Induced Learning and Memory Deficit and Activity via Modulation of Biochemical, Morphology Changes, and Apoptosis in the Prefrontal Cortex and Hippocampus</t>
  </si>
  <si>
    <t>Pourheydar, Bagher; Abar, Mojgan; Farjah, Gholamhossein; Pourheydar, Maryam; Derafshpour, Leila</t>
  </si>
  <si>
    <t>BEHAVIORAL NEUROSCIENCE</t>
  </si>
  <si>
    <t>10.1037/bne0000498</t>
  </si>
  <si>
    <t>P-STAT3 Inhibition Activates Endoplasmic Reticulum Stress-Induced Splenocyte Apoptosis in Chronic Stress</t>
  </si>
  <si>
    <t>Song, Manyu; Wang, Chaoran; Yang, Haotian; Chen, Yongping; Feng, Xiujing; Li, Bei; Fan, Honggang</t>
  </si>
  <si>
    <t>FRONTIERS IN PHYSIOLOGY</t>
  </si>
  <si>
    <t>10.3389/fphys.2020.00680</t>
  </si>
  <si>
    <t>Changes in gonadal function at different stages of chronic restraint stress-induced depression animals</t>
  </si>
  <si>
    <t>Liu B, Zhao L, Yue C, Qian M, Xie M.</t>
  </si>
  <si>
    <t>Physiol Behav</t>
  </si>
  <si>
    <t>10.1016/j.physbeh.2019.112656</t>
  </si>
  <si>
    <t/>
  </si>
  <si>
    <t>Free Wanderer Powder regulates AMPA receptor homeostasis in chronic restraint stress-induced rat model of depression with liver-depression and spleen-deficiency syndrome</t>
  </si>
  <si>
    <t>Xi S, Yue G, Liu Y, Wang Y, Qiu Y, Li Z, Ma P, Liu T, Jiang Y, Liang Y, Liu Q, Shi J, Chen J, Yue L.</t>
  </si>
  <si>
    <t>Aging (Albany NY)</t>
  </si>
  <si>
    <t>10.18632/aging.103912</t>
  </si>
  <si>
    <t>Multiple SPTs and OFTs done</t>
  </si>
  <si>
    <t>1Bb</t>
  </si>
  <si>
    <t>Cannabidiol/cannabidiolic acid-rich hemp (Cannabis sativa L.) extract attenuates cognitive impairments and glial activations in rats exposed to chronic stress</t>
  </si>
  <si>
    <t>Kamsrijai, Utcharaporn; Charoensup, Rawiwan; Jaidee, Wuttichai; Hawiset, Thaneeya; Thaweethee-Sukjai, Benjamard; Praman, Siwaporn</t>
  </si>
  <si>
    <t>10.1016/j.jep.2024.119113</t>
  </si>
  <si>
    <t>Lycopene Alleviates Chronic Stress-Induced Spleen Apoptosis and Immunosuppression via Inhibiting the Notch Signaling Pathway in Rats</t>
  </si>
  <si>
    <t>Zhang, Jiuyan; Zhao, Yuan; Sun, Ning; Song, Manyu; Chen, Yongping; Li, Lin; Cui, Hailin; Yang, Haotian; Wang, Chuqiao; Zhang, Haiyang; Fan, Honggang</t>
  </si>
  <si>
    <t>10.1021/acs.jafc.1c07550</t>
  </si>
  <si>
    <t>Spinal alarmin HMGB1 and the activation of TLR4 lead to chronic stress-induced nociceptive hypersensitivity in rodents</t>
  </si>
  <si>
    <t>Rodriguez-Palma, Erick J.; Velazquez-Lagunas, Isabel; Salinas-Abarca, Ana Belen; Vidal-Cantu, Guadalupe C.; Escoto-Rosales, Maria J.; Castaneda-Corral, Gabriela; Fernandez-Guasti, Alonso; Granados-Soto, Vinicio</t>
  </si>
  <si>
    <t>EUROPEAN JOURNAL OF PHARMACOLOGY</t>
  </si>
  <si>
    <t>10.1016/j.ejphar.2023.175804</t>
  </si>
  <si>
    <t>Effects of chronic mild stress on ammorphine induced behavioral sensitization in different brain regions of rats in relation to serotonin mange</t>
  </si>
  <si>
    <t>Farhan, Muhammad; Haleem, Darakshan Jabeen</t>
  </si>
  <si>
    <t>ADVANCEMENTS IN LIFE SCIENCES</t>
  </si>
  <si>
    <t>https://www.als-journal.com/314-15/</t>
  </si>
  <si>
    <t>Age-related effects of chronic restraint stress on ethanol drinking, ethanol-induced sedation, and on basal and stress-induced anxiety response</t>
  </si>
  <si>
    <t>Fernández MS, Fabio MC, Miranda-Morales RS, Virgolini MB, De Giovanni LN, Hansen C, Wille-Bille A, Nizhnikov ME, Spear LP, Pautassi RM.</t>
  </si>
  <si>
    <t>Alcohol</t>
  </si>
  <si>
    <t>10.1016/j.alcohol.2015.11.009</t>
  </si>
  <si>
    <t>7 (at testing)</t>
  </si>
  <si>
    <t>11 (at testing)</t>
  </si>
  <si>
    <t>Co-exposure of chronic stress and alumina nanoparticles aggravates hippocampal microglia pyroptosis by activating cathepsin B/NLRP3 signaling pathway</t>
  </si>
  <si>
    <t>Zhang H, Wang J, Ruan C, Gao Z, Zhu Q, Li S.</t>
  </si>
  <si>
    <t>J Hazard Mater</t>
  </si>
  <si>
    <t>10.1016/j.jhazmat.2022.129093</t>
  </si>
  <si>
    <t>Protective effect of ginsenoside Rb1 against chronic restraint stress (CRS)-induced memory impairments in rats</t>
  </si>
  <si>
    <t>Jiang N, Wang K, Zhang Y, Huang H, Lv JW, Wang Q, Wang HX, Xia TJ, Liu XM.</t>
  </si>
  <si>
    <t>10.1016/j.bbr.2021.113146</t>
  </si>
  <si>
    <t>Effect of Chlorogenic Acid via Upregulating Resolvin D1 Inhibiting the NF-kappaB Pathway on Chronic Restraint Stress-Induced Liver Inflammation.</t>
  </si>
  <si>
    <t>Wang H.
Zhao Y.
Zhang Y.
Yang T.
Zhao S.
Sun N.
Tan H.
Zhang H.
Wang C.
Fan H.</t>
  </si>
  <si>
    <t>Journal of agricultural and food chemistry</t>
  </si>
  <si>
    <t>https://dx.doi.org/10.1021/acs.jafc.2c04593</t>
  </si>
  <si>
    <t>Antidepressant Mechanism Research of Acupuncture: Insights from a Genome-Wide Transcriptome Analysis of Frontal Cortex in Rats with Chronic Restraint Stress.</t>
  </si>
  <si>
    <t>Wang Y.
Jiang H.
Meng H.
Li J.
Yang X.
Zhao B.
Sun Y.
Bao T.</t>
  </si>
  <si>
    <t>https://dx.doi.org/10.1155/2017/1676808</t>
  </si>
  <si>
    <t>Activation of satellite glial cells in the trigeminal ganglion contributes to masseter mechanical allodynia induced by restraint stress in rats</t>
  </si>
  <si>
    <t>Zhao, Ya-Juan; Liu, Yang; Zhao, Yin-Hua; Li, Qiang; Zhang, Min; Chen, Yong-Jin</t>
  </si>
  <si>
    <t>10.1016/j.neulet.2015.06.048</t>
  </si>
  <si>
    <t>Involvement of trigeminal astrocyte activation in masseter hyperalgesia under stress</t>
  </si>
  <si>
    <t>Zhao YJ, Liu Y, Li Q, Zhao YH, Wang J, Zhang M, Chen YJ.</t>
  </si>
  <si>
    <t>10.1016/j.physbeh.2015.02.005</t>
  </si>
  <si>
    <t>Lycopene Alleviates Chronic Stress-Induced Liver Injury by Inhibiting Oxidative Stress-Mediated Endoplasmic Reticulum Stress Pathway Apoptosis in Rats</t>
  </si>
  <si>
    <t>Sun, Ning; Yang, Tianyuan; Tang, Yulin; Zhao, Yuan; Li, Lin; Fan, Honggang</t>
  </si>
  <si>
    <t>10.1021/acs.jafc.2c06650</t>
  </si>
  <si>
    <t>Date palm spathe extract reverses chronic stress-induced changes in dendritic arborization in the amygdala and impairment of hippocampal long-term potentiation</t>
  </si>
  <si>
    <t>Hadipour M, Meftahi GH, Jahromi GP.</t>
  </si>
  <si>
    <t>Synapse</t>
  </si>
  <si>
    <t>10.1002/syn.22278</t>
  </si>
  <si>
    <t>TCM Formula Xiaoyaosan Decoction Improves Depressive-Like Behaviors in Rats with Type 2 Diabetes.</t>
  </si>
  <si>
    <t>Li N.
Liu Q.
Li X.-J.
Bai X.-H.
Liu Y.-Y.
Zhao H.-B.
Jin Z.-Y.
Jing Y.-X.
Yan Z.-Y.
Chen J.-X.</t>
  </si>
  <si>
    <t>https://dx.doi.org/10.1155/2015/415243</t>
  </si>
  <si>
    <t>Xiaoyaosan improves depressive-like behavior in rats with chronic immobilization stress through modulation of the gut microbiota</t>
  </si>
  <si>
    <t>Zhu, Hui-Zheng; Liang, Yu-Dan; Ma, Qing-Yu; Hao, Wen-Zhi; Li, Xiao-Juan; Wu, Man-Si; Deng, Li-Juan; Li, Yu-Ming; Chen, Jia-Xu</t>
  </si>
  <si>
    <t>10.1016/j.biopha.2019.108621</t>
  </si>
  <si>
    <t>Hydrogen sulfide antagonizes chronic restraint stress-induced depressive-like behaviors via upregulation of adiponectin.</t>
  </si>
  <si>
    <t>Tian Q.
Chen L.
Luo B.
Wang A.-P.
Zou W.
You Y.
Zhang P.
Tang X.-Q.</t>
  </si>
  <si>
    <t>https://dx.doi.org/10.3389/fpsyt.2018.00399</t>
  </si>
  <si>
    <t>Effects of mood stabilizer lithium on noradrenergic turnover in the prefrontal cortex of chronically stressed rats.</t>
  </si>
  <si>
    <t>Gavrilovic L.
Popovic N.
Stojiljkovic V.
Pejic S.
Todorovic A.
Pavlovic I.
Pantelic M.
Pajovic S.B.</t>
  </si>
  <si>
    <t>Neuroendocrinology Letters</t>
  </si>
  <si>
    <t>Shugan granule contributes to the improvement of depression-like behaviors in chronic restraint stress-stimulated rats by altering gut microbiota</t>
  </si>
  <si>
    <t>Li, Junnan; Li, Yannan; Duan, Wenzhe; Zhao, Zhonghui; Yang, Lixuan; Wei, Wei; Li, Jingchun; Li, Yang; Yu, Yao; Dai, Baoan; Guo, Rongjuan</t>
  </si>
  <si>
    <t>CNS NEUROSCIENCE &amp; THERAPEUTICS</t>
  </si>
  <si>
    <t>10.1111/cns.13881</t>
  </si>
  <si>
    <t>50</t>
  </si>
  <si>
    <t>5.4</t>
  </si>
  <si>
    <t>Aged 40 days at testing - pair housed</t>
  </si>
  <si>
    <t>Aged 40 days at testing - single housed</t>
  </si>
  <si>
    <t>Aged 65 days at testing - pair housed</t>
  </si>
  <si>
    <t>Aged 65 days at testing - single housed</t>
  </si>
  <si>
    <t>Aged 130 days at testing - pair housed</t>
  </si>
  <si>
    <t>Aged 130 days at testing - single housed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</si>
</sst>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name val="Aptos Narrow"/>
      <family val="2"/>
      <scheme val="minor"/>
    </font>
    <font>
      <sz val="12"/>
      <name val="Aptos Narrow"/>
      <family val="2"/>
      <scheme val="minor"/>
    </font>
    <font>
      <u/>
      <sz val="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16" fillId="0" borderId="0" xfId="0" applyFont="1"/>
    <xf numFmtId="49" fontId="0" fillId="0" borderId="0" xfId="0" applyNumberFormat="1" applyAlignment="1">
      <alignment horizontal="right"/>
    </xf>
    <xf numFmtId="0" fontId="0" fillId="0" borderId="0" xfId="0" applyAlignment="1">
      <alignment horizontal="right"/>
    </xf>
    <xf numFmtId="0" fontId="0" fillId="0" borderId="0" xfId="0" applyAlignment="1">
      <alignment horizontal="left" vertical="top"/>
    </xf>
    <xf numFmtId="0" fontId="16" fillId="35" borderId="0" xfId="0" applyFont="1" applyFill="1" applyAlignment="1">
      <alignment horizontal="left" vertical="top"/>
    </xf>
    <xf numFmtId="0" fontId="0" fillId="35" borderId="0" xfId="0" applyFill="1" applyAlignment="1">
      <alignment horizontal="left" vertical="top"/>
    </xf>
    <xf numFmtId="0" fontId="0" fillId="0" borderId="0" xfId="0" applyAlignment="1">
      <alignment horizontal="right" vertical="top"/>
    </xf>
    <xf numFmtId="164" fontId="16" fillId="35" borderId="0" xfId="0" applyNumberFormat="1" applyFont="1" applyFill="1" applyAlignment="1">
      <alignment horizontal="right" vertical="top"/>
    </xf>
    <xf numFmtId="0" fontId="16" fillId="35" borderId="0" xfId="0" applyFont="1" applyFill="1" applyAlignment="1">
      <alignment horizontal="right" vertical="top"/>
    </xf>
    <xf numFmtId="49" fontId="16" fillId="35" borderId="0" xfId="0" applyNumberFormat="1" applyFont="1" applyFill="1" applyAlignment="1">
      <alignment horizontal="right" vertical="top"/>
    </xf>
    <xf numFmtId="164" fontId="0" fillId="0" borderId="0" xfId="0" applyNumberFormat="1" applyAlignment="1">
      <alignment horizontal="right" vertical="top"/>
    </xf>
    <xf numFmtId="49" fontId="0" fillId="0" borderId="0" xfId="0" applyNumberFormat="1" applyAlignment="1">
      <alignment horizontal="right" vertical="top"/>
    </xf>
    <xf numFmtId="2" fontId="0" fillId="0" borderId="0" xfId="0" applyNumberFormat="1" applyAlignment="1">
      <alignment horizontal="right" vertical="top"/>
    </xf>
    <xf numFmtId="0" fontId="0" fillId="36" borderId="0" xfId="0" applyFill="1" applyAlignment="1">
      <alignment horizontal="right"/>
    </xf>
    <xf numFmtId="0" fontId="18" fillId="0" borderId="0" xfId="0" applyFont="1"/>
    <xf numFmtId="49" fontId="0" fillId="36" borderId="0" xfId="0" applyNumberFormat="1" applyFill="1" applyAlignment="1">
      <alignment horizontal="right"/>
    </xf>
    <xf numFmtId="49" fontId="0" fillId="35" borderId="0" xfId="0" applyNumberFormat="1" applyFill="1" applyAlignment="1">
      <alignment horizontal="right" vertical="top"/>
    </xf>
    <xf numFmtId="0" fontId="18" fillId="0" borderId="0" xfId="0" applyFont="1" applyAlignment="1">
      <alignment horizontal="right"/>
    </xf>
    <xf numFmtId="0" fontId="18" fillId="0" borderId="0" xfId="0" applyFont="1" applyAlignment="1">
      <alignment horizontal="right" vertical="top"/>
    </xf>
    <xf numFmtId="0" fontId="14" fillId="0" borderId="0" xfId="0" applyFont="1"/>
    <xf numFmtId="0" fontId="19" fillId="0" borderId="0" xfId="0" applyFont="1"/>
    <xf numFmtId="0" fontId="18" fillId="0" borderId="0" xfId="0" applyFont="1" applyAlignment="1">
      <alignment horizontal="left" vertical="top"/>
    </xf>
    <xf numFmtId="0" fontId="19" fillId="34" borderId="0" xfId="0" applyFont="1" applyFill="1" applyAlignment="1">
      <alignment horizontal="left" vertical="top"/>
    </xf>
    <xf numFmtId="0" fontId="18" fillId="34" borderId="0" xfId="0" applyFont="1" applyFill="1" applyAlignment="1">
      <alignment horizontal="left" vertical="top"/>
    </xf>
    <xf numFmtId="49" fontId="18" fillId="34" borderId="0" xfId="0" applyNumberFormat="1" applyFont="1" applyFill="1" applyAlignment="1">
      <alignment horizontal="right" vertical="top"/>
    </xf>
    <xf numFmtId="49" fontId="19" fillId="0" borderId="0" xfId="0" applyNumberFormat="1" applyFont="1" applyAlignment="1">
      <alignment horizontal="right"/>
    </xf>
    <xf numFmtId="0" fontId="19" fillId="0" borderId="0" xfId="0" applyFont="1" applyAlignment="1">
      <alignment horizontal="right"/>
    </xf>
    <xf numFmtId="0" fontId="19" fillId="0" borderId="0" xfId="0" applyFont="1" applyAlignment="1">
      <alignment horizontal="left" vertical="top"/>
    </xf>
    <xf numFmtId="164" fontId="19" fillId="34" borderId="0" xfId="0" applyNumberFormat="1" applyFont="1" applyFill="1" applyAlignment="1">
      <alignment horizontal="right" vertical="top"/>
    </xf>
    <xf numFmtId="0" fontId="19" fillId="34" borderId="0" xfId="0" applyFont="1" applyFill="1" applyAlignment="1">
      <alignment horizontal="right" vertical="top"/>
    </xf>
    <xf numFmtId="49" fontId="19" fillId="34" borderId="0" xfId="0" applyNumberFormat="1" applyFont="1" applyFill="1" applyAlignment="1">
      <alignment horizontal="right" vertical="top"/>
    </xf>
    <xf numFmtId="49" fontId="18" fillId="0" borderId="0" xfId="0" applyNumberFormat="1" applyFont="1" applyAlignment="1">
      <alignment horizontal="right"/>
    </xf>
    <xf numFmtId="0" fontId="18" fillId="36" borderId="0" xfId="0" applyFont="1" applyFill="1" applyAlignment="1">
      <alignment horizontal="right"/>
    </xf>
    <xf numFmtId="49" fontId="18" fillId="0" borderId="0" xfId="0" applyNumberFormat="1" applyFont="1" applyAlignment="1">
      <alignment horizontal="right" vertical="top"/>
    </xf>
    <xf numFmtId="164" fontId="18" fillId="0" borderId="0" xfId="0" applyNumberFormat="1" applyFont="1" applyAlignment="1">
      <alignment horizontal="right" vertical="top"/>
    </xf>
    <xf numFmtId="2" fontId="18" fillId="0" borderId="0" xfId="0" applyNumberFormat="1" applyFont="1" applyAlignment="1">
      <alignment horizontal="right" vertical="top"/>
    </xf>
    <xf numFmtId="0" fontId="18" fillId="33" borderId="0" xfId="0" applyFont="1" applyFill="1"/>
    <xf numFmtId="49" fontId="18" fillId="36" borderId="0" xfId="0" applyNumberFormat="1" applyFont="1" applyFill="1" applyAlignment="1">
      <alignment horizontal="right"/>
    </xf>
    <xf numFmtId="0" fontId="20" fillId="0" borderId="0" xfId="0" applyFont="1"/>
    <xf numFmtId="0" fontId="18" fillId="0" borderId="0" xfId="0" applyFont="1" applyAlignment="1">
      <alignment vertical="top"/>
    </xf>
    <xf numFmtId="1" fontId="21" fillId="0" borderId="0" xfId="0" applyNumberFormat="1" applyFont="1" applyAlignment="1">
      <alignment vertical="top"/>
    </xf>
    <xf numFmtId="0" fontId="18" fillId="38" borderId="0" xfId="0" applyFont="1" applyFill="1"/>
    <xf numFmtId="0" fontId="18" fillId="33" borderId="0" xfId="0" applyFont="1" applyFill="1" applyAlignment="1">
      <alignment vertical="top"/>
    </xf>
    <xf numFmtId="1" fontId="21" fillId="33" borderId="0" xfId="0" applyNumberFormat="1" applyFont="1" applyFill="1" applyAlignment="1">
      <alignment vertical="top"/>
    </xf>
    <xf numFmtId="0" fontId="19" fillId="35" borderId="0" xfId="0" applyFont="1" applyFill="1" applyAlignment="1">
      <alignment horizontal="left" vertical="top"/>
    </xf>
    <xf numFmtId="0" fontId="18" fillId="35" borderId="0" xfId="0" applyFont="1" applyFill="1" applyAlignment="1">
      <alignment horizontal="left" vertical="top"/>
    </xf>
    <xf numFmtId="49" fontId="18" fillId="35" borderId="0" xfId="0" applyNumberFormat="1" applyFont="1" applyFill="1" applyAlignment="1">
      <alignment horizontal="right" vertical="top"/>
    </xf>
    <xf numFmtId="164" fontId="19" fillId="35" borderId="0" xfId="0" applyNumberFormat="1" applyFont="1" applyFill="1" applyAlignment="1">
      <alignment horizontal="right" vertical="top"/>
    </xf>
    <xf numFmtId="0" fontId="19" fillId="35" borderId="0" xfId="0" applyFont="1" applyFill="1" applyAlignment="1">
      <alignment horizontal="right" vertical="top"/>
    </xf>
    <xf numFmtId="49" fontId="19" fillId="35" borderId="0" xfId="0" applyNumberFormat="1" applyFont="1" applyFill="1" applyAlignment="1">
      <alignment horizontal="right" vertical="top"/>
    </xf>
    <xf numFmtId="0" fontId="18" fillId="33" borderId="0" xfId="0" applyFont="1" applyFill="1" applyAlignment="1">
      <alignment horizontal="right"/>
    </xf>
    <xf numFmtId="0" fontId="18" fillId="0" borderId="0" xfId="0" applyFont="1" applyAlignment="1">
      <alignment horizontal="left"/>
    </xf>
    <xf numFmtId="0" fontId="18" fillId="36" borderId="0" xfId="0" applyFont="1" applyFill="1"/>
    <xf numFmtId="0" fontId="18" fillId="36" borderId="0" xfId="0" applyFont="1" applyFill="1" applyAlignment="1">
      <alignment horizontal="left"/>
    </xf>
    <xf numFmtId="0" fontId="18" fillId="37" borderId="0" xfId="0" applyFont="1" applyFill="1"/>
    <xf numFmtId="49" fontId="18" fillId="33" borderId="0" xfId="0" applyNumberFormat="1" applyFont="1" applyFill="1" applyAlignment="1">
      <alignment horizontal="right"/>
    </xf>
    <xf numFmtId="0" fontId="18" fillId="39" borderId="0" xfId="0" applyFont="1" applyFill="1"/>
    <xf numFmtId="49" fontId="18" fillId="36" borderId="0" xfId="0" applyNumberFormat="1" applyFont="1" applyFill="1" applyAlignment="1">
      <alignment horizontal="right" vertical="top"/>
    </xf>
    <xf numFmtId="0" fontId="18" fillId="36" borderId="0" xfId="0" applyFont="1" applyFill="1" applyAlignment="1">
      <alignment horizontal="right" vertical="top"/>
    </xf>
    <xf numFmtId="0" fontId="0" fillId="36" borderId="0" xfId="0" applyFill="1" applyAlignment="1">
      <alignment horizontal="right" vertical="top"/>
    </xf>
    <xf numFmtId="49" fontId="0" fillId="36" borderId="0" xfId="0" applyNumberFormat="1" applyFill="1" applyAlignment="1">
      <alignment horizontal="right" vertical="top"/>
    </xf>
    <xf numFmtId="0" fontId="18" fillId="39" borderId="0" xfId="0" applyFont="1" applyFill="1" applyAlignment="1">
      <alignment horizontal="right"/>
    </xf>
    <xf numFmtId="49" fontId="18" fillId="0" borderId="0" xfId="0" applyNumberFormat="1" applyFon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x.doi.org/10.1016/j.ynirp.2022.100104" TargetMode="External"/><Relationship Id="rId13" Type="http://schemas.openxmlformats.org/officeDocument/2006/relationships/hyperlink" Target="https://dx.doi.org/10.1038/mp.2016.174" TargetMode="External"/><Relationship Id="rId18" Type="http://schemas.openxmlformats.org/officeDocument/2006/relationships/hyperlink" Target="https://dx.doi.org/10.7324/JAPS.2024.148021" TargetMode="External"/><Relationship Id="rId3" Type="http://schemas.openxmlformats.org/officeDocument/2006/relationships/hyperlink" Target="https://dx.doi.org/10.61186/jambr.32.151.144" TargetMode="External"/><Relationship Id="rId7" Type="http://schemas.openxmlformats.org/officeDocument/2006/relationships/hyperlink" Target="https://dx.doi.org/10.3390/ph16060848" TargetMode="External"/><Relationship Id="rId12" Type="http://schemas.openxmlformats.org/officeDocument/2006/relationships/hyperlink" Target="https://dx.doi.org/10.22159/ajpcr.2018.v11i1.21593" TargetMode="External"/><Relationship Id="rId17" Type="http://schemas.openxmlformats.org/officeDocument/2006/relationships/hyperlink" Target="https://dx.doi.org/10.7324/JAPS.2024.148021" TargetMode="External"/><Relationship Id="rId2" Type="http://schemas.openxmlformats.org/officeDocument/2006/relationships/hyperlink" Target="https://dx.doi.org/10.3390/brainsci15070709" TargetMode="External"/><Relationship Id="rId16" Type="http://schemas.openxmlformats.org/officeDocument/2006/relationships/hyperlink" Target="https://dx.doi.org/10.7324/JAPS.2024.148021" TargetMode="External"/><Relationship Id="rId1" Type="http://schemas.openxmlformats.org/officeDocument/2006/relationships/hyperlink" Target="https://dx.doi.org/10.1016/j.ibneur.2025.07.014" TargetMode="External"/><Relationship Id="rId6" Type="http://schemas.openxmlformats.org/officeDocument/2006/relationships/hyperlink" Target="https://dx.doi.org/10.1111/bdi.13319" TargetMode="External"/><Relationship Id="rId11" Type="http://schemas.openxmlformats.org/officeDocument/2006/relationships/hyperlink" Target="https://dx.doi.org/10.1523/ENEURO.0113-20.2020" TargetMode="External"/><Relationship Id="rId5" Type="http://schemas.openxmlformats.org/officeDocument/2006/relationships/hyperlink" Target="https://dx.doi.org/10.1038/s41398-024-02887-y" TargetMode="External"/><Relationship Id="rId15" Type="http://schemas.openxmlformats.org/officeDocument/2006/relationships/hyperlink" Target="https://dx.doi.org/10.1016/j.ibneur.2025.07.014" TargetMode="External"/><Relationship Id="rId10" Type="http://schemas.openxmlformats.org/officeDocument/2006/relationships/hyperlink" Target="https://dx.doi.org/10.32598/bcn.11.4.1775.2" TargetMode="External"/><Relationship Id="rId19" Type="http://schemas.openxmlformats.org/officeDocument/2006/relationships/printerSettings" Target="../printerSettings/printerSettings1.bin"/><Relationship Id="rId4" Type="http://schemas.openxmlformats.org/officeDocument/2006/relationships/hyperlink" Target="https://dx.doi.org/10.7324/JAPS.2024.148021" TargetMode="External"/><Relationship Id="rId9" Type="http://schemas.openxmlformats.org/officeDocument/2006/relationships/hyperlink" Target="https://dx.doi.org/10.1016/j.jhazmat.2021.125179" TargetMode="External"/><Relationship Id="rId14" Type="http://schemas.openxmlformats.org/officeDocument/2006/relationships/hyperlink" Target="https://dx.doi.org/10.1038/s41398-024-02887-y"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x.doi.org/10.1016/j.jhazmat.2021.125179" TargetMode="External"/><Relationship Id="rId13" Type="http://schemas.openxmlformats.org/officeDocument/2006/relationships/printerSettings" Target="../printerSettings/printerSettings2.bin"/><Relationship Id="rId3" Type="http://schemas.openxmlformats.org/officeDocument/2006/relationships/hyperlink" Target="https://dx.doi.org/10.1016/j.ejphar.2023.176273" TargetMode="External"/><Relationship Id="rId7" Type="http://schemas.openxmlformats.org/officeDocument/2006/relationships/hyperlink" Target="https://dx.doi.org/10.1016/j.ynirp.2022.100104" TargetMode="External"/><Relationship Id="rId12" Type="http://schemas.openxmlformats.org/officeDocument/2006/relationships/hyperlink" Target="https://dx.doi.org/10.1038/s41398-024-02887-y" TargetMode="External"/><Relationship Id="rId2" Type="http://schemas.openxmlformats.org/officeDocument/2006/relationships/hyperlink" Target="https://dx.doi.org/10.22038/AJP.2024.24819" TargetMode="External"/><Relationship Id="rId1" Type="http://schemas.openxmlformats.org/officeDocument/2006/relationships/hyperlink" Target="https://dx.doi.org/10.3390/brainsci15070709" TargetMode="External"/><Relationship Id="rId6" Type="http://schemas.openxmlformats.org/officeDocument/2006/relationships/hyperlink" Target="https://dx.doi.org/10.3389/fpsyt.2022.903004" TargetMode="External"/><Relationship Id="rId11" Type="http://schemas.openxmlformats.org/officeDocument/2006/relationships/hyperlink" Target="https://dx.doi.org/10.3389/fpsyt.2022.903004" TargetMode="External"/><Relationship Id="rId5" Type="http://schemas.openxmlformats.org/officeDocument/2006/relationships/hyperlink" Target="https://dx.doi.org/10.1111/bdi.13319" TargetMode="External"/><Relationship Id="rId10" Type="http://schemas.openxmlformats.org/officeDocument/2006/relationships/hyperlink" Target="https://dx.doi.org/10.3389/fpsyt.2022.903004" TargetMode="External"/><Relationship Id="rId4" Type="http://schemas.openxmlformats.org/officeDocument/2006/relationships/hyperlink" Target="https://dx.doi.org/10.1038/s41398-024-02887-y" TargetMode="External"/><Relationship Id="rId9" Type="http://schemas.openxmlformats.org/officeDocument/2006/relationships/hyperlink" Target="https://dx.doi.org/10.1016/j.neuroscience.2015.09.033"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x.doi.org/10.1007/s12640-018-9963-6" TargetMode="External"/><Relationship Id="rId3" Type="http://schemas.openxmlformats.org/officeDocument/2006/relationships/hyperlink" Target="https://dx.doi.org/10.1111/bdi.13319" TargetMode="External"/><Relationship Id="rId7" Type="http://schemas.openxmlformats.org/officeDocument/2006/relationships/hyperlink" Target="https://dx.doi.org/10.1038/s41398-018-0351-z" TargetMode="External"/><Relationship Id="rId2" Type="http://schemas.openxmlformats.org/officeDocument/2006/relationships/hyperlink" Target="https://dx.doi.org/10.1016/j.ejphar.2023.176273" TargetMode="External"/><Relationship Id="rId1" Type="http://schemas.openxmlformats.org/officeDocument/2006/relationships/hyperlink" Target="https://dx.doi.org/10.3390/brainsci15070709" TargetMode="External"/><Relationship Id="rId6" Type="http://schemas.openxmlformats.org/officeDocument/2006/relationships/hyperlink" Target="https://dx.doi.org/10.1523/ENEURO.0113-20.2020" TargetMode="External"/><Relationship Id="rId5" Type="http://schemas.openxmlformats.org/officeDocument/2006/relationships/hyperlink" Target="https://dx.doi.org/10.1016/j.joim.2021.11.007" TargetMode="External"/><Relationship Id="rId10" Type="http://schemas.openxmlformats.org/officeDocument/2006/relationships/hyperlink" Target="https://dx.doi.org/10.1016/j.neuroscience.2015.09.033" TargetMode="External"/><Relationship Id="rId4" Type="http://schemas.openxmlformats.org/officeDocument/2006/relationships/hyperlink" Target="https://dx.doi.org/10.1016/j.ynirp.2022.100104" TargetMode="External"/><Relationship Id="rId9" Type="http://schemas.openxmlformats.org/officeDocument/2006/relationships/hyperlink" Target="https://dx.doi.org/10.13040/IJPSR.0975-8232.9%2811%29.4832-4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x.doi.org/10.1038/s41398-018-0351-z" TargetMode="External"/><Relationship Id="rId13" Type="http://schemas.openxmlformats.org/officeDocument/2006/relationships/hyperlink" Target="https://dx.doi.org/10.1155/2017/1676808" TargetMode="External"/><Relationship Id="rId3" Type="http://schemas.openxmlformats.org/officeDocument/2006/relationships/hyperlink" Target="https://dx.doi.org/10.7324/JAPS.2024.148021" TargetMode="External"/><Relationship Id="rId7" Type="http://schemas.openxmlformats.org/officeDocument/2006/relationships/hyperlink" Target="https://dx.doi.org/10.1021/acs.jafc.2c04593" TargetMode="External"/><Relationship Id="rId12" Type="http://schemas.openxmlformats.org/officeDocument/2006/relationships/hyperlink" Target="https://dx.doi.org/10.3892/mmr.2017.6851" TargetMode="External"/><Relationship Id="rId17" Type="http://schemas.openxmlformats.org/officeDocument/2006/relationships/hyperlink" Target="https://dx.doi.org/10.3389/fpsyt.2018.00399" TargetMode="External"/><Relationship Id="rId2" Type="http://schemas.openxmlformats.org/officeDocument/2006/relationships/hyperlink" Target="https://dx.doi.org/10.61186/jambr.32.151.144" TargetMode="External"/><Relationship Id="rId16" Type="http://schemas.openxmlformats.org/officeDocument/2006/relationships/hyperlink" Target="https://dx.doi.org/10.1038/s41398-024-02887-y" TargetMode="External"/><Relationship Id="rId1" Type="http://schemas.openxmlformats.org/officeDocument/2006/relationships/hyperlink" Target="https://dx.doi.org/10.3390/brainsci15070709" TargetMode="External"/><Relationship Id="rId6" Type="http://schemas.openxmlformats.org/officeDocument/2006/relationships/hyperlink" Target="https://dx.doi.org/10.3390/ph16060848" TargetMode="External"/><Relationship Id="rId11" Type="http://schemas.openxmlformats.org/officeDocument/2006/relationships/hyperlink" Target="https://dx.doi.org/10.1155/2017/2357653" TargetMode="External"/><Relationship Id="rId5" Type="http://schemas.openxmlformats.org/officeDocument/2006/relationships/hyperlink" Target="https://dx.doi.org/10.1111/bdi.13319" TargetMode="External"/><Relationship Id="rId15" Type="http://schemas.openxmlformats.org/officeDocument/2006/relationships/hyperlink" Target="https://dx.doi.org/10.1155/2015/415243" TargetMode="External"/><Relationship Id="rId10" Type="http://schemas.openxmlformats.org/officeDocument/2006/relationships/hyperlink" Target="https://dx.doi.org/10.13040/IJPSR.0975-8232.9%2811%29.4832-41" TargetMode="External"/><Relationship Id="rId4" Type="http://schemas.openxmlformats.org/officeDocument/2006/relationships/hyperlink" Target="https://dx.doi.org/10.1038/s41398-024-02887-y" TargetMode="External"/><Relationship Id="rId9" Type="http://schemas.openxmlformats.org/officeDocument/2006/relationships/hyperlink" Target="https://dx.doi.org/10.1007/s12640-018-9963-6" TargetMode="External"/><Relationship Id="rId14" Type="http://schemas.openxmlformats.org/officeDocument/2006/relationships/hyperlink" Target="https://dx.doi.org/10.1016/j.neuroscience.2015.09.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827B-BAD1-4506-A490-810FCCC79D2B}">
  <dimension ref="A1:AH108"/>
  <sheetViews>
    <sheetView tabSelected="1" workbookViewId="0">
      <pane ySplit="2" topLeftCell="A3" activePane="bottomLeft" state="frozen"/>
      <selection pane="bottomLeft"/>
    </sheetView>
  </sheetViews>
  <sheetFormatPr defaultRowHeight="15" x14ac:dyDescent="0.25"/>
  <cols>
    <col min="1" max="1" width="10.85546875" customWidth="1"/>
    <col min="2" max="2" width="9.140625" style="20"/>
    <col min="3" max="3" width="33" style="20" customWidth="1"/>
    <col min="4" max="4" width="12.140625" style="20" customWidth="1"/>
    <col min="5" max="5" width="15.5703125" style="20" customWidth="1"/>
    <col min="6" max="6" width="9.140625" style="20"/>
    <col min="7" max="7" width="20.42578125" style="20" customWidth="1"/>
    <col min="8" max="8" width="4.28515625" customWidth="1"/>
    <col min="9" max="9" width="26.7109375" bestFit="1" customWidth="1"/>
    <col min="10" max="10" width="11.7109375" bestFit="1" customWidth="1"/>
    <col min="11" max="11" width="17.5703125" style="2" bestFit="1" customWidth="1"/>
    <col min="12" max="12" width="16.7109375" bestFit="1" customWidth="1"/>
    <col min="13" max="13" width="13.42578125" bestFit="1" customWidth="1"/>
    <col min="14" max="14" width="19.7109375" style="3" bestFit="1" customWidth="1"/>
    <col min="15" max="15" width="19" style="3" bestFit="1" customWidth="1"/>
    <col min="16" max="16" width="9" customWidth="1"/>
    <col min="17" max="18" width="16.7109375" customWidth="1"/>
    <col min="19" max="19" width="10.7109375" style="3" customWidth="1"/>
    <col min="20" max="20" width="14" style="7" customWidth="1"/>
    <col min="21" max="21" width="11.85546875" style="7" bestFit="1" customWidth="1"/>
    <col min="22" max="23" width="8.85546875" style="12" customWidth="1"/>
    <col min="24" max="24" width="18.85546875" style="7" customWidth="1"/>
    <col min="25" max="25" width="2.7109375" style="7" customWidth="1"/>
    <col min="26" max="26" width="14.140625" style="7" customWidth="1"/>
    <col min="27" max="27" width="11.85546875" style="7" bestFit="1" customWidth="1"/>
    <col min="28" max="28" width="8.5703125" style="12" bestFit="1" customWidth="1"/>
    <col min="29" max="29" width="8.5703125" style="12" customWidth="1"/>
    <col min="30" max="30" width="18.85546875" style="7" customWidth="1"/>
    <col min="31" max="31" width="3.7109375" style="3" customWidth="1"/>
    <col min="32" max="32" width="25.28515625" customWidth="1"/>
  </cols>
  <sheetData>
    <row r="1" spans="1:34" x14ac:dyDescent="0.25">
      <c r="T1" s="23" t="s">
        <v>0</v>
      </c>
      <c r="U1" s="24"/>
      <c r="V1" s="25"/>
      <c r="W1" s="25"/>
      <c r="X1" s="24"/>
      <c r="Y1" s="4"/>
      <c r="Z1" s="5" t="s">
        <v>1</v>
      </c>
      <c r="AA1" s="6"/>
      <c r="AB1" s="17"/>
      <c r="AC1" s="17"/>
      <c r="AD1" s="6"/>
    </row>
    <row r="2" spans="1:34" x14ac:dyDescent="0.25">
      <c r="A2" s="21" t="s">
        <v>2</v>
      </c>
      <c r="B2" s="21" t="s">
        <v>3</v>
      </c>
      <c r="C2" s="21" t="s">
        <v>4</v>
      </c>
      <c r="D2" s="21" t="s">
        <v>5</v>
      </c>
      <c r="E2" s="21" t="s">
        <v>6</v>
      </c>
      <c r="F2" s="21" t="s">
        <v>7</v>
      </c>
      <c r="G2" s="21" t="s">
        <v>8</v>
      </c>
      <c r="H2" s="21" t="s">
        <v>9</v>
      </c>
      <c r="I2" s="21" t="s">
        <v>10</v>
      </c>
      <c r="J2" s="21" t="s">
        <v>11</v>
      </c>
      <c r="K2" s="26" t="s">
        <v>12</v>
      </c>
      <c r="L2" s="21" t="s">
        <v>13</v>
      </c>
      <c r="M2" s="21" t="s">
        <v>14</v>
      </c>
      <c r="N2" s="27" t="s">
        <v>15</v>
      </c>
      <c r="O2" s="27" t="s">
        <v>16</v>
      </c>
      <c r="P2" s="21" t="s">
        <v>17</v>
      </c>
      <c r="Q2" s="21" t="s">
        <v>18</v>
      </c>
      <c r="R2" s="21" t="s">
        <v>19</v>
      </c>
      <c r="S2" s="28" t="s">
        <v>20</v>
      </c>
      <c r="T2" s="29" t="s">
        <v>21</v>
      </c>
      <c r="U2" s="30" t="s">
        <v>22</v>
      </c>
      <c r="V2" s="31" t="s">
        <v>23</v>
      </c>
      <c r="W2" s="31" t="s">
        <v>24</v>
      </c>
      <c r="X2" s="30" t="s">
        <v>25</v>
      </c>
      <c r="Z2" s="8" t="s">
        <v>26</v>
      </c>
      <c r="AA2" s="9" t="s">
        <v>27</v>
      </c>
      <c r="AB2" s="10" t="s">
        <v>23</v>
      </c>
      <c r="AC2" s="10" t="s">
        <v>24</v>
      </c>
      <c r="AD2" s="9" t="s">
        <v>25</v>
      </c>
    </row>
    <row r="3" spans="1:34" x14ac:dyDescent="0.25">
      <c r="A3">
        <v>1016</v>
      </c>
      <c r="B3" s="15"/>
      <c r="C3" s="15" t="s">
        <v>903</v>
      </c>
      <c r="D3" s="15" t="s">
        <v>904</v>
      </c>
      <c r="E3" s="15" t="s">
        <v>905</v>
      </c>
      <c r="F3" s="15">
        <v>2022</v>
      </c>
      <c r="G3" s="15" t="s">
        <v>906</v>
      </c>
      <c r="H3">
        <v>1</v>
      </c>
      <c r="I3" t="s">
        <v>32</v>
      </c>
      <c r="J3" t="s">
        <v>33</v>
      </c>
      <c r="K3" s="2" t="s">
        <v>158</v>
      </c>
      <c r="L3">
        <v>360</v>
      </c>
      <c r="M3">
        <v>1</v>
      </c>
      <c r="N3" s="3">
        <v>28</v>
      </c>
      <c r="O3" s="18">
        <f>N3*L3</f>
        <v>10080</v>
      </c>
      <c r="Q3">
        <v>6</v>
      </c>
      <c r="R3">
        <v>4</v>
      </c>
      <c r="S3" s="3" t="s">
        <v>388</v>
      </c>
      <c r="T3" s="3">
        <v>26</v>
      </c>
      <c r="U3" s="2" t="s">
        <v>40</v>
      </c>
      <c r="V3" s="34" t="s">
        <v>40</v>
      </c>
      <c r="W3" s="34" t="s">
        <v>40</v>
      </c>
      <c r="X3" s="35">
        <f>U3*(SQRT(W3))</f>
        <v>22.627416997969522</v>
      </c>
      <c r="Z3" s="7">
        <v>140</v>
      </c>
      <c r="AA3" s="7">
        <v>32</v>
      </c>
      <c r="AB3" s="34" t="s">
        <v>40</v>
      </c>
      <c r="AC3" s="34" t="s">
        <v>40</v>
      </c>
      <c r="AD3" s="35">
        <f>AA3*(SQRT(AC3))</f>
        <v>90.509667991878089</v>
      </c>
    </row>
    <row r="4" spans="1:34" s="1" customFormat="1" x14ac:dyDescent="0.25">
      <c r="A4" s="15">
        <v>1287</v>
      </c>
      <c r="B4" s="15"/>
      <c r="C4" s="15" t="s">
        <v>28</v>
      </c>
      <c r="D4" s="15" t="s">
        <v>29</v>
      </c>
      <c r="E4" s="15" t="s">
        <v>30</v>
      </c>
      <c r="F4" s="15">
        <v>2024</v>
      </c>
      <c r="G4" s="15" t="s">
        <v>31</v>
      </c>
      <c r="H4" s="15">
        <v>1</v>
      </c>
      <c r="I4" s="15" t="s">
        <v>32</v>
      </c>
      <c r="J4" s="15" t="s">
        <v>33</v>
      </c>
      <c r="K4" s="32" t="s">
        <v>34</v>
      </c>
      <c r="L4" s="15">
        <v>300</v>
      </c>
      <c r="M4" s="15">
        <v>1</v>
      </c>
      <c r="N4" s="18">
        <v>21</v>
      </c>
      <c r="O4" s="18">
        <f>L4*M4*N4</f>
        <v>6300</v>
      </c>
      <c r="P4" s="15"/>
      <c r="Q4" s="15">
        <v>5</v>
      </c>
      <c r="R4" s="15">
        <v>5</v>
      </c>
      <c r="S4" s="33"/>
      <c r="T4" s="33"/>
      <c r="U4" s="33"/>
      <c r="V4" s="38"/>
      <c r="W4" s="38"/>
      <c r="X4" s="33"/>
      <c r="Y4" s="7"/>
      <c r="Z4" s="14"/>
      <c r="AA4" s="14"/>
      <c r="AB4" s="16"/>
      <c r="AC4" s="16"/>
      <c r="AD4" s="14"/>
      <c r="AE4" s="3"/>
      <c r="AF4"/>
      <c r="AG4"/>
      <c r="AH4"/>
    </row>
    <row r="5" spans="1:34" s="1" customFormat="1" x14ac:dyDescent="0.25">
      <c r="A5" s="15">
        <v>1407</v>
      </c>
      <c r="B5" s="15"/>
      <c r="C5" s="15" t="s">
        <v>35</v>
      </c>
      <c r="D5" s="15" t="s">
        <v>36</v>
      </c>
      <c r="E5" s="15" t="s">
        <v>37</v>
      </c>
      <c r="F5" s="15">
        <v>2021</v>
      </c>
      <c r="G5" s="15" t="s">
        <v>38</v>
      </c>
      <c r="H5" s="15">
        <v>1</v>
      </c>
      <c r="I5" s="15" t="s">
        <v>32</v>
      </c>
      <c r="J5" s="15" t="s">
        <v>33</v>
      </c>
      <c r="K5" s="32" t="s">
        <v>34</v>
      </c>
      <c r="L5" s="15">
        <v>60</v>
      </c>
      <c r="M5" s="15">
        <v>1</v>
      </c>
      <c r="N5" s="18">
        <v>14</v>
      </c>
      <c r="O5" s="18">
        <f>L5*M5*N5</f>
        <v>840</v>
      </c>
      <c r="P5" s="15"/>
      <c r="Q5" s="15">
        <v>6</v>
      </c>
      <c r="R5" s="15">
        <v>6</v>
      </c>
      <c r="S5" s="18" t="s">
        <v>39</v>
      </c>
      <c r="T5" s="15">
        <v>343</v>
      </c>
      <c r="U5" s="15">
        <v>10</v>
      </c>
      <c r="V5" s="34" t="s">
        <v>40</v>
      </c>
      <c r="W5" s="34" t="s">
        <v>40</v>
      </c>
      <c r="X5" s="35">
        <f>U5*(SQRT(W5))</f>
        <v>28.284271247461902</v>
      </c>
      <c r="Y5" s="7"/>
      <c r="Z5" s="7">
        <v>339</v>
      </c>
      <c r="AA5" s="7">
        <v>7</v>
      </c>
      <c r="AB5" s="34" t="s">
        <v>40</v>
      </c>
      <c r="AC5" s="34" t="s">
        <v>40</v>
      </c>
      <c r="AD5" s="35">
        <f>AA5*(SQRT(AC5))</f>
        <v>19.798989873223331</v>
      </c>
      <c r="AE5" s="3"/>
      <c r="AF5"/>
      <c r="AG5"/>
      <c r="AH5"/>
    </row>
    <row r="6" spans="1:34" x14ac:dyDescent="0.25">
      <c r="A6" s="15">
        <v>1502</v>
      </c>
      <c r="B6" s="15"/>
      <c r="C6" s="15" t="s">
        <v>41</v>
      </c>
      <c r="D6" s="15" t="s">
        <v>42</v>
      </c>
      <c r="E6" s="15" t="s">
        <v>43</v>
      </c>
      <c r="F6" s="15">
        <v>2018</v>
      </c>
      <c r="G6" s="15" t="s">
        <v>44</v>
      </c>
      <c r="H6" s="15">
        <v>1</v>
      </c>
      <c r="I6" s="15" t="s">
        <v>45</v>
      </c>
      <c r="J6" s="32" t="s">
        <v>34</v>
      </c>
      <c r="K6" s="32"/>
      <c r="L6" s="15">
        <v>360</v>
      </c>
      <c r="M6" s="15">
        <v>1</v>
      </c>
      <c r="N6" s="18">
        <v>7</v>
      </c>
      <c r="O6" s="18">
        <f>L6*M6*N6</f>
        <v>2520</v>
      </c>
      <c r="P6" s="15"/>
      <c r="Q6" s="15">
        <v>6</v>
      </c>
      <c r="R6" s="15">
        <v>6</v>
      </c>
      <c r="S6" s="18" t="s">
        <v>46</v>
      </c>
      <c r="T6" s="15">
        <v>40</v>
      </c>
      <c r="U6" s="15">
        <v>3</v>
      </c>
      <c r="V6" s="12" t="s">
        <v>47</v>
      </c>
      <c r="W6" s="12" t="s">
        <v>47</v>
      </c>
      <c r="X6" s="35">
        <f>U6*(SQRT(W6))</f>
        <v>6.7082039324993694</v>
      </c>
      <c r="Z6" s="7">
        <v>50</v>
      </c>
      <c r="AA6" s="7">
        <v>5</v>
      </c>
      <c r="AB6" s="12" t="s">
        <v>47</v>
      </c>
      <c r="AC6" s="12" t="s">
        <v>47</v>
      </c>
      <c r="AD6" s="35">
        <f>AA6*(SQRT(AC6))</f>
        <v>11.180339887498949</v>
      </c>
    </row>
    <row r="7" spans="1:34" x14ac:dyDescent="0.25">
      <c r="A7" s="15">
        <v>1565</v>
      </c>
      <c r="B7" s="15"/>
      <c r="C7" s="15" t="s">
        <v>48</v>
      </c>
      <c r="D7" s="15" t="s">
        <v>49</v>
      </c>
      <c r="E7" s="15" t="s">
        <v>50</v>
      </c>
      <c r="F7" s="15">
        <v>2019</v>
      </c>
      <c r="G7" s="15" t="s">
        <v>51</v>
      </c>
      <c r="H7" s="15">
        <v>1</v>
      </c>
      <c r="I7" s="15" t="s">
        <v>45</v>
      </c>
      <c r="J7" s="15" t="s">
        <v>33</v>
      </c>
      <c r="K7" s="32" t="s">
        <v>52</v>
      </c>
      <c r="L7" s="15">
        <v>120</v>
      </c>
      <c r="M7" s="15">
        <v>1</v>
      </c>
      <c r="N7" s="18">
        <v>10</v>
      </c>
      <c r="O7" s="18">
        <f>L7*M7*N7</f>
        <v>1200</v>
      </c>
      <c r="P7" s="15"/>
      <c r="Q7" s="15">
        <v>5</v>
      </c>
      <c r="R7" s="15">
        <v>5</v>
      </c>
      <c r="S7" s="18" t="s">
        <v>53</v>
      </c>
      <c r="T7" s="15">
        <v>65</v>
      </c>
      <c r="U7" s="15">
        <v>6</v>
      </c>
      <c r="V7" s="34" t="s">
        <v>54</v>
      </c>
      <c r="W7" s="34" t="s">
        <v>55</v>
      </c>
      <c r="X7" s="35">
        <f>U7*(SQRT(W7))</f>
        <v>15.874507866387544</v>
      </c>
      <c r="Z7" s="7">
        <v>114</v>
      </c>
      <c r="AA7" s="7">
        <v>10</v>
      </c>
      <c r="AB7" s="34" t="s">
        <v>54</v>
      </c>
      <c r="AC7" s="34" t="s">
        <v>55</v>
      </c>
      <c r="AD7" s="35">
        <f>AA7*(SQRT(AC7))</f>
        <v>26.457513110645905</v>
      </c>
    </row>
    <row r="8" spans="1:34" x14ac:dyDescent="0.25">
      <c r="A8" s="15">
        <v>1764</v>
      </c>
      <c r="B8" s="15">
        <v>30740068</v>
      </c>
      <c r="C8" s="15" t="s">
        <v>56</v>
      </c>
      <c r="D8" s="15" t="s">
        <v>57</v>
      </c>
      <c r="E8" s="15" t="s">
        <v>58</v>
      </c>
      <c r="F8" s="15">
        <v>2019</v>
      </c>
      <c r="G8" s="15" t="s">
        <v>59</v>
      </c>
      <c r="H8" s="15">
        <v>1</v>
      </c>
      <c r="I8" s="15" t="s">
        <v>32</v>
      </c>
      <c r="J8" s="15" t="s">
        <v>33</v>
      </c>
      <c r="K8" s="32" t="s">
        <v>40</v>
      </c>
      <c r="L8" s="15">
        <v>240</v>
      </c>
      <c r="M8" s="15">
        <v>1</v>
      </c>
      <c r="N8" s="18">
        <v>21</v>
      </c>
      <c r="O8" s="18">
        <f>N8*L8</f>
        <v>5040</v>
      </c>
      <c r="P8" s="15"/>
      <c r="Q8" s="15">
        <v>5</v>
      </c>
      <c r="R8" s="15">
        <v>5</v>
      </c>
      <c r="S8" s="18" t="s">
        <v>39</v>
      </c>
      <c r="T8" s="18">
        <v>32</v>
      </c>
      <c r="U8" s="18">
        <v>6.5</v>
      </c>
      <c r="V8" s="32">
        <v>10</v>
      </c>
      <c r="W8" s="32">
        <v>10</v>
      </c>
      <c r="X8" s="35">
        <f>U8*(SQRT(W8))</f>
        <v>20.554804791094465</v>
      </c>
      <c r="Y8" s="3"/>
      <c r="Z8" s="3">
        <v>71</v>
      </c>
      <c r="AA8" s="3">
        <v>10</v>
      </c>
      <c r="AB8" s="2">
        <v>10</v>
      </c>
      <c r="AC8" s="2">
        <v>10</v>
      </c>
      <c r="AD8" s="11">
        <f>AA8*(SQRT(AC8))</f>
        <v>31.622776601683796</v>
      </c>
    </row>
    <row r="9" spans="1:34" x14ac:dyDescent="0.25">
      <c r="A9" s="15">
        <v>1796</v>
      </c>
      <c r="B9" s="15">
        <v>25446675</v>
      </c>
      <c r="C9" s="15" t="s">
        <v>60</v>
      </c>
      <c r="D9" s="15" t="s">
        <v>61</v>
      </c>
      <c r="E9" s="15" t="s">
        <v>62</v>
      </c>
      <c r="F9" s="15">
        <v>2015</v>
      </c>
      <c r="G9" s="15" t="s">
        <v>63</v>
      </c>
      <c r="H9" s="15">
        <v>1</v>
      </c>
      <c r="I9" s="15" t="s">
        <v>32</v>
      </c>
      <c r="J9" s="15" t="s">
        <v>33</v>
      </c>
      <c r="K9" s="32" t="s">
        <v>40</v>
      </c>
      <c r="L9" s="15">
        <v>240</v>
      </c>
      <c r="M9" s="15">
        <v>1</v>
      </c>
      <c r="N9" s="18">
        <v>10</v>
      </c>
      <c r="O9" s="18">
        <f>N9*L9</f>
        <v>2400</v>
      </c>
      <c r="P9" s="15"/>
      <c r="Q9" s="15">
        <v>5</v>
      </c>
      <c r="R9" s="15">
        <v>5</v>
      </c>
      <c r="S9" s="18" t="s">
        <v>64</v>
      </c>
      <c r="T9" s="19">
        <v>29</v>
      </c>
      <c r="U9" s="36" t="s">
        <v>65</v>
      </c>
      <c r="V9" s="34" t="s">
        <v>55</v>
      </c>
      <c r="W9" s="34"/>
      <c r="X9" s="35">
        <v>8</v>
      </c>
      <c r="Y9"/>
      <c r="Z9" s="7">
        <v>60</v>
      </c>
      <c r="AA9" s="13" t="s">
        <v>65</v>
      </c>
      <c r="AB9" s="12" t="s">
        <v>55</v>
      </c>
      <c r="AD9" s="11">
        <v>3</v>
      </c>
    </row>
    <row r="10" spans="1:34" x14ac:dyDescent="0.25">
      <c r="A10" s="15">
        <v>1983</v>
      </c>
      <c r="B10" s="15"/>
      <c r="C10" s="15" t="s">
        <v>66</v>
      </c>
      <c r="D10" s="15" t="s">
        <v>67</v>
      </c>
      <c r="E10" s="15" t="s">
        <v>68</v>
      </c>
      <c r="F10" s="15">
        <v>2017</v>
      </c>
      <c r="G10" s="15" t="s">
        <v>69</v>
      </c>
      <c r="H10" s="15">
        <v>1</v>
      </c>
      <c r="I10" s="15" t="s">
        <v>45</v>
      </c>
      <c r="J10" s="15" t="s">
        <v>33</v>
      </c>
      <c r="K10" s="32"/>
      <c r="L10" s="15">
        <v>180</v>
      </c>
      <c r="M10" s="15">
        <v>1</v>
      </c>
      <c r="N10" s="18">
        <v>15</v>
      </c>
      <c r="O10" s="18">
        <f>L10*M10*N10</f>
        <v>2700</v>
      </c>
      <c r="P10" s="15" t="s">
        <v>70</v>
      </c>
      <c r="Q10" s="15">
        <v>5</v>
      </c>
      <c r="R10" s="15">
        <v>5</v>
      </c>
      <c r="S10" s="18" t="s">
        <v>71</v>
      </c>
      <c r="T10" s="15">
        <v>260</v>
      </c>
      <c r="U10" s="15">
        <v>3</v>
      </c>
      <c r="V10" s="34" t="s">
        <v>72</v>
      </c>
      <c r="W10" s="34" t="s">
        <v>72</v>
      </c>
      <c r="X10" s="11">
        <f>U10*(SQRT(W10))</f>
        <v>9.4868329805051381</v>
      </c>
      <c r="Z10" s="7">
        <v>287</v>
      </c>
      <c r="AA10" s="7">
        <v>1</v>
      </c>
      <c r="AB10" s="12" t="s">
        <v>73</v>
      </c>
      <c r="AC10" s="12" t="s">
        <v>73</v>
      </c>
      <c r="AD10" s="11">
        <f>AA10*(SQRT(AC10))</f>
        <v>3</v>
      </c>
    </row>
    <row r="11" spans="1:34" x14ac:dyDescent="0.25">
      <c r="A11" s="15">
        <v>2075</v>
      </c>
      <c r="B11" s="15">
        <v>35814204</v>
      </c>
      <c r="C11" s="15" t="s">
        <v>74</v>
      </c>
      <c r="D11" s="15" t="s">
        <v>75</v>
      </c>
      <c r="E11" s="15" t="s">
        <v>76</v>
      </c>
      <c r="F11" s="15">
        <v>2022</v>
      </c>
      <c r="G11" s="15" t="s">
        <v>77</v>
      </c>
      <c r="H11" s="15">
        <v>1</v>
      </c>
      <c r="I11" s="15" t="s">
        <v>32</v>
      </c>
      <c r="J11" s="15" t="s">
        <v>33</v>
      </c>
      <c r="K11" s="32" t="s">
        <v>40</v>
      </c>
      <c r="L11" s="15">
        <v>180</v>
      </c>
      <c r="M11" s="15">
        <v>1</v>
      </c>
      <c r="N11" s="18">
        <v>21</v>
      </c>
      <c r="O11" s="18">
        <f>N11*L11</f>
        <v>3780</v>
      </c>
      <c r="P11" s="15"/>
      <c r="Q11" s="15">
        <v>6</v>
      </c>
      <c r="R11" s="15">
        <v>6</v>
      </c>
      <c r="S11" s="19" t="s">
        <v>39</v>
      </c>
      <c r="T11" s="19">
        <v>99</v>
      </c>
      <c r="U11" s="19">
        <v>9</v>
      </c>
      <c r="V11" s="34" t="s">
        <v>78</v>
      </c>
      <c r="W11" s="34" t="s">
        <v>78</v>
      </c>
      <c r="X11" s="35">
        <f>U11*(SQRT(W11))</f>
        <v>31.176914536239789</v>
      </c>
      <c r="Z11" s="7">
        <v>233</v>
      </c>
      <c r="AA11" s="7">
        <v>26</v>
      </c>
      <c r="AB11" s="12" t="s">
        <v>78</v>
      </c>
      <c r="AC11" s="12" t="s">
        <v>78</v>
      </c>
      <c r="AD11" s="11">
        <f>AA11*(SQRT(AC11))</f>
        <v>90.066641993581612</v>
      </c>
    </row>
    <row r="12" spans="1:34" x14ac:dyDescent="0.25">
      <c r="A12" s="15">
        <v>2300</v>
      </c>
      <c r="B12" s="15">
        <v>29561292</v>
      </c>
      <c r="C12" s="15" t="s">
        <v>79</v>
      </c>
      <c r="D12" s="15" t="s">
        <v>80</v>
      </c>
      <c r="E12" s="15" t="s">
        <v>81</v>
      </c>
      <c r="F12" s="15">
        <v>2018</v>
      </c>
      <c r="G12" s="15" t="s">
        <v>82</v>
      </c>
      <c r="H12" s="15">
        <v>1</v>
      </c>
      <c r="I12" s="15" t="s">
        <v>45</v>
      </c>
      <c r="J12" s="15" t="s">
        <v>33</v>
      </c>
      <c r="K12" s="32"/>
      <c r="L12" s="15">
        <v>360</v>
      </c>
      <c r="M12" s="15">
        <v>1</v>
      </c>
      <c r="N12" s="18">
        <v>28</v>
      </c>
      <c r="O12" s="18">
        <f>N12*L12</f>
        <v>10080</v>
      </c>
      <c r="P12" s="15"/>
      <c r="Q12" s="15">
        <v>5</v>
      </c>
      <c r="R12" s="15">
        <v>5</v>
      </c>
      <c r="S12" s="34" t="s">
        <v>83</v>
      </c>
      <c r="T12" s="19">
        <v>64</v>
      </c>
      <c r="U12" s="19">
        <v>3</v>
      </c>
      <c r="V12" s="34" t="s">
        <v>40</v>
      </c>
      <c r="W12" s="34" t="s">
        <v>40</v>
      </c>
      <c r="X12" s="35">
        <f>U12*(SQRT(W12))</f>
        <v>8.4852813742385713</v>
      </c>
      <c r="Z12" s="7">
        <v>117</v>
      </c>
      <c r="AA12" s="7">
        <v>11</v>
      </c>
      <c r="AB12" s="12" t="s">
        <v>40</v>
      </c>
      <c r="AC12" s="12" t="s">
        <v>40</v>
      </c>
      <c r="AD12" s="11">
        <f>AA12*(SQRT(AC12))</f>
        <v>31.112698372208094</v>
      </c>
    </row>
    <row r="13" spans="1:34" x14ac:dyDescent="0.25">
      <c r="A13" s="37">
        <v>2319</v>
      </c>
      <c r="B13" s="37"/>
      <c r="C13" s="43" t="s">
        <v>84</v>
      </c>
      <c r="D13" s="43" t="s">
        <v>85</v>
      </c>
      <c r="E13" s="43" t="s">
        <v>86</v>
      </c>
      <c r="F13" s="43">
        <v>2025</v>
      </c>
      <c r="G13" s="44" t="s">
        <v>87</v>
      </c>
      <c r="H13" s="37">
        <v>1</v>
      </c>
      <c r="I13" s="15" t="s">
        <v>45</v>
      </c>
      <c r="J13" s="37" t="s">
        <v>33</v>
      </c>
      <c r="K13" s="32" t="s">
        <v>88</v>
      </c>
      <c r="L13" s="15" t="s">
        <v>89</v>
      </c>
      <c r="M13" s="15"/>
      <c r="N13" s="18">
        <v>21</v>
      </c>
      <c r="O13" s="18">
        <v>2520</v>
      </c>
      <c r="P13" s="15"/>
      <c r="Q13" s="15">
        <v>6</v>
      </c>
      <c r="R13" s="15">
        <v>4</v>
      </c>
      <c r="S13" s="18" t="s">
        <v>90</v>
      </c>
      <c r="T13" s="15">
        <v>150</v>
      </c>
      <c r="U13" s="15">
        <v>5</v>
      </c>
      <c r="V13" s="32">
        <v>5</v>
      </c>
      <c r="W13" s="32">
        <v>5</v>
      </c>
      <c r="X13" s="35">
        <f t="shared" ref="X13:X14" si="0">U13*(SQRT(W13))</f>
        <v>11.180339887498949</v>
      </c>
      <c r="Z13" s="7">
        <v>171</v>
      </c>
      <c r="AA13" s="14"/>
      <c r="AB13" s="32">
        <v>5</v>
      </c>
      <c r="AC13" s="32">
        <v>5</v>
      </c>
      <c r="AD13" s="14"/>
    </row>
    <row r="14" spans="1:34" x14ac:dyDescent="0.25">
      <c r="A14" s="37">
        <v>2319</v>
      </c>
      <c r="B14" s="37"/>
      <c r="C14" s="43" t="s">
        <v>84</v>
      </c>
      <c r="D14" s="43" t="s">
        <v>85</v>
      </c>
      <c r="E14" s="43" t="s">
        <v>86</v>
      </c>
      <c r="F14" s="43">
        <v>2025</v>
      </c>
      <c r="G14" s="44" t="s">
        <v>87</v>
      </c>
      <c r="H14" s="37">
        <v>1</v>
      </c>
      <c r="I14" s="15" t="s">
        <v>45</v>
      </c>
      <c r="J14" s="37" t="s">
        <v>91</v>
      </c>
      <c r="K14" s="32" t="s">
        <v>88</v>
      </c>
      <c r="L14" s="15" t="s">
        <v>89</v>
      </c>
      <c r="M14" s="15"/>
      <c r="N14" s="18">
        <v>21</v>
      </c>
      <c r="O14" s="18">
        <v>2520</v>
      </c>
      <c r="P14" s="15"/>
      <c r="Q14" s="15">
        <v>6</v>
      </c>
      <c r="R14" s="15">
        <v>4</v>
      </c>
      <c r="S14" s="18" t="s">
        <v>92</v>
      </c>
      <c r="T14" s="15">
        <v>114</v>
      </c>
      <c r="U14" s="15">
        <v>3</v>
      </c>
      <c r="V14" s="32">
        <v>5</v>
      </c>
      <c r="W14" s="32">
        <v>5</v>
      </c>
      <c r="X14" s="35">
        <f t="shared" si="0"/>
        <v>6.7082039324993694</v>
      </c>
      <c r="Z14" s="7">
        <v>172</v>
      </c>
      <c r="AA14" s="7">
        <v>8</v>
      </c>
      <c r="AB14" s="32">
        <v>5</v>
      </c>
      <c r="AC14" s="32">
        <v>5</v>
      </c>
      <c r="AD14" s="35">
        <f t="shared" ref="AD14" si="1">AA14*(SQRT(AC14))</f>
        <v>17.888543819998318</v>
      </c>
    </row>
    <row r="15" spans="1:34" x14ac:dyDescent="0.25">
      <c r="A15" s="15">
        <v>2504</v>
      </c>
      <c r="B15" s="15">
        <v>36162616</v>
      </c>
      <c r="C15" s="15" t="s">
        <v>93</v>
      </c>
      <c r="D15" s="15" t="s">
        <v>94</v>
      </c>
      <c r="E15" s="15" t="s">
        <v>95</v>
      </c>
      <c r="F15" s="15">
        <v>2022</v>
      </c>
      <c r="G15" s="15" t="s">
        <v>96</v>
      </c>
      <c r="H15" s="15">
        <v>1</v>
      </c>
      <c r="I15" s="15" t="s">
        <v>45</v>
      </c>
      <c r="J15" s="15" t="s">
        <v>33</v>
      </c>
      <c r="K15" s="32"/>
      <c r="L15" s="15">
        <v>360</v>
      </c>
      <c r="M15" s="15">
        <v>1</v>
      </c>
      <c r="N15" s="18">
        <v>21</v>
      </c>
      <c r="O15" s="18">
        <f>N15*L15</f>
        <v>7560</v>
      </c>
      <c r="P15" s="15" t="s">
        <v>97</v>
      </c>
      <c r="Q15" s="15">
        <v>20</v>
      </c>
      <c r="R15" s="15">
        <v>5</v>
      </c>
      <c r="S15" s="18" t="s">
        <v>39</v>
      </c>
      <c r="T15" s="19">
        <v>99</v>
      </c>
      <c r="U15" s="36" t="s">
        <v>65</v>
      </c>
      <c r="V15" s="34" t="s">
        <v>78</v>
      </c>
      <c r="W15" s="34"/>
      <c r="X15" s="35">
        <v>11</v>
      </c>
      <c r="Z15" s="7">
        <v>229</v>
      </c>
      <c r="AA15" s="13" t="s">
        <v>65</v>
      </c>
      <c r="AB15" s="12" t="s">
        <v>78</v>
      </c>
      <c r="AD15" s="11">
        <v>28</v>
      </c>
    </row>
    <row r="16" spans="1:34" x14ac:dyDescent="0.25">
      <c r="A16" s="15">
        <v>2506</v>
      </c>
      <c r="B16" s="15">
        <v>30735600</v>
      </c>
      <c r="C16" s="15" t="s">
        <v>98</v>
      </c>
      <c r="D16" s="15" t="s">
        <v>99</v>
      </c>
      <c r="E16" s="15" t="s">
        <v>100</v>
      </c>
      <c r="F16" s="15">
        <v>2019</v>
      </c>
      <c r="G16" s="15" t="s">
        <v>101</v>
      </c>
      <c r="H16" s="15">
        <v>1</v>
      </c>
      <c r="I16" s="15" t="s">
        <v>32</v>
      </c>
      <c r="J16" s="15" t="s">
        <v>33</v>
      </c>
      <c r="K16" s="32"/>
      <c r="L16" s="15">
        <v>360</v>
      </c>
      <c r="M16" s="15">
        <v>1</v>
      </c>
      <c r="N16" s="18">
        <v>14</v>
      </c>
      <c r="O16" s="18">
        <f>N16*L16</f>
        <v>5040</v>
      </c>
      <c r="P16" s="15"/>
      <c r="Q16" s="15">
        <v>7</v>
      </c>
      <c r="R16" s="15">
        <v>5</v>
      </c>
      <c r="S16" s="18" t="s">
        <v>53</v>
      </c>
      <c r="T16" s="19">
        <v>49</v>
      </c>
      <c r="U16" s="19">
        <v>7</v>
      </c>
      <c r="V16" s="32">
        <v>10</v>
      </c>
      <c r="W16" s="32">
        <v>10</v>
      </c>
      <c r="X16" s="35">
        <f>U16*(SQRT(W16))</f>
        <v>22.135943621178658</v>
      </c>
      <c r="Z16" s="7">
        <v>115</v>
      </c>
      <c r="AA16" s="7">
        <v>10</v>
      </c>
      <c r="AB16" s="2">
        <v>10</v>
      </c>
      <c r="AC16" s="2">
        <v>10</v>
      </c>
      <c r="AD16" s="11">
        <f>AA16*(SQRT(AC16))</f>
        <v>31.622776601683796</v>
      </c>
    </row>
    <row r="17" spans="1:30" x14ac:dyDescent="0.25">
      <c r="A17" s="15">
        <v>2714</v>
      </c>
      <c r="B17" s="15">
        <v>36746244</v>
      </c>
      <c r="C17" s="15" t="s">
        <v>102</v>
      </c>
      <c r="D17" s="15" t="s">
        <v>103</v>
      </c>
      <c r="E17" s="15" t="s">
        <v>104</v>
      </c>
      <c r="F17" s="15">
        <v>2023</v>
      </c>
      <c r="G17" s="15" t="s">
        <v>105</v>
      </c>
      <c r="H17" s="15">
        <v>1</v>
      </c>
      <c r="I17" s="15" t="s">
        <v>32</v>
      </c>
      <c r="J17" s="15" t="s">
        <v>34</v>
      </c>
      <c r="K17" s="32"/>
      <c r="L17" s="15">
        <v>360</v>
      </c>
      <c r="M17" s="15">
        <v>1</v>
      </c>
      <c r="N17" s="18">
        <v>28</v>
      </c>
      <c r="O17" s="18">
        <f>N17*L17</f>
        <v>10080</v>
      </c>
      <c r="P17" s="15"/>
      <c r="Q17" s="15">
        <v>15</v>
      </c>
      <c r="R17" s="15">
        <v>5</v>
      </c>
      <c r="S17" s="18" t="s">
        <v>106</v>
      </c>
      <c r="T17" s="19">
        <v>100</v>
      </c>
      <c r="U17" s="19">
        <v>2</v>
      </c>
      <c r="V17" s="34" t="s">
        <v>72</v>
      </c>
      <c r="W17" s="34" t="s">
        <v>72</v>
      </c>
      <c r="X17" s="35">
        <f>U17*(SQRT(W17))</f>
        <v>6.324555320336759</v>
      </c>
      <c r="Z17" s="7">
        <v>116</v>
      </c>
      <c r="AA17" s="7">
        <v>3</v>
      </c>
      <c r="AB17" s="12" t="s">
        <v>72</v>
      </c>
      <c r="AC17" s="12" t="s">
        <v>72</v>
      </c>
      <c r="AD17" s="11">
        <f>AA17*(SQRT(AC17))</f>
        <v>9.4868329805051381</v>
      </c>
    </row>
    <row r="18" spans="1:30" x14ac:dyDescent="0.25">
      <c r="A18" s="15">
        <v>2744</v>
      </c>
      <c r="B18" s="15">
        <v>37259443</v>
      </c>
      <c r="C18" s="15" t="s">
        <v>107</v>
      </c>
      <c r="D18" s="15" t="s">
        <v>108</v>
      </c>
      <c r="E18" s="15" t="s">
        <v>109</v>
      </c>
      <c r="F18" s="15">
        <v>2023</v>
      </c>
      <c r="G18" s="15" t="s">
        <v>110</v>
      </c>
      <c r="H18" s="15">
        <v>1</v>
      </c>
      <c r="I18" s="15" t="s">
        <v>45</v>
      </c>
      <c r="J18" s="15" t="s">
        <v>33</v>
      </c>
      <c r="K18" s="32"/>
      <c r="L18" s="15">
        <v>360</v>
      </c>
      <c r="M18" s="15">
        <v>1</v>
      </c>
      <c r="N18" s="18">
        <v>21</v>
      </c>
      <c r="O18" s="18">
        <f>N18*L18</f>
        <v>7560</v>
      </c>
      <c r="P18" s="15" t="s">
        <v>111</v>
      </c>
      <c r="Q18" s="15">
        <v>5</v>
      </c>
      <c r="R18" s="15">
        <v>5</v>
      </c>
      <c r="S18" s="18" t="s">
        <v>112</v>
      </c>
      <c r="T18" s="33"/>
      <c r="U18" s="33"/>
      <c r="V18" s="38"/>
      <c r="W18" s="38"/>
      <c r="X18" s="33"/>
      <c r="Z18" s="14"/>
      <c r="AA18" s="14"/>
      <c r="AB18" s="16"/>
      <c r="AC18" s="16"/>
      <c r="AD18" s="14"/>
    </row>
    <row r="19" spans="1:30" x14ac:dyDescent="0.25">
      <c r="A19" s="15">
        <v>2795</v>
      </c>
      <c r="B19" s="15"/>
      <c r="C19" s="15" t="s">
        <v>113</v>
      </c>
      <c r="D19" s="15" t="s">
        <v>114</v>
      </c>
      <c r="E19" s="15" t="s">
        <v>115</v>
      </c>
      <c r="F19" s="15">
        <v>2022</v>
      </c>
      <c r="G19" s="15" t="s">
        <v>116</v>
      </c>
      <c r="H19" s="15">
        <v>1</v>
      </c>
      <c r="I19" s="15" t="s">
        <v>117</v>
      </c>
      <c r="J19" s="15" t="s">
        <v>33</v>
      </c>
      <c r="K19" s="32"/>
      <c r="L19" s="15">
        <v>360</v>
      </c>
      <c r="M19" s="15">
        <v>1</v>
      </c>
      <c r="N19" s="18">
        <v>28</v>
      </c>
      <c r="O19" s="18">
        <f>L19*M19*N19</f>
        <v>10080</v>
      </c>
      <c r="P19" s="15"/>
      <c r="Q19" s="15">
        <v>4</v>
      </c>
      <c r="R19" s="15">
        <v>3</v>
      </c>
      <c r="S19" s="18" t="s">
        <v>118</v>
      </c>
      <c r="T19" s="15">
        <v>20</v>
      </c>
      <c r="U19" s="15">
        <v>13</v>
      </c>
      <c r="V19" s="34" t="s">
        <v>40</v>
      </c>
      <c r="W19" s="34" t="s">
        <v>40</v>
      </c>
      <c r="X19" s="35">
        <f>U19*(SQRT(W19))</f>
        <v>36.769552621700477</v>
      </c>
      <c r="Z19" s="7">
        <v>89</v>
      </c>
      <c r="AA19" s="7">
        <v>32</v>
      </c>
      <c r="AB19" s="12" t="s">
        <v>72</v>
      </c>
      <c r="AC19" s="12" t="s">
        <v>72</v>
      </c>
      <c r="AD19" s="35">
        <f>AA19*(SQRT(AC19))</f>
        <v>101.19288512538814</v>
      </c>
    </row>
    <row r="20" spans="1:30" x14ac:dyDescent="0.25">
      <c r="A20" s="15">
        <v>2926</v>
      </c>
      <c r="B20" s="15">
        <v>27957715</v>
      </c>
      <c r="C20" s="15" t="s">
        <v>119</v>
      </c>
      <c r="D20" s="15" t="s">
        <v>120</v>
      </c>
      <c r="E20" s="15" t="s">
        <v>121</v>
      </c>
      <c r="F20" s="15">
        <v>2017</v>
      </c>
      <c r="G20" s="15" t="s">
        <v>122</v>
      </c>
      <c r="H20" s="15">
        <v>1</v>
      </c>
      <c r="I20" s="15" t="s">
        <v>45</v>
      </c>
      <c r="J20" s="15" t="s">
        <v>91</v>
      </c>
      <c r="K20" s="32" t="s">
        <v>123</v>
      </c>
      <c r="L20" s="15">
        <v>360</v>
      </c>
      <c r="M20" s="15">
        <v>1</v>
      </c>
      <c r="N20" s="18">
        <v>21</v>
      </c>
      <c r="O20" s="18">
        <f>N20*L20</f>
        <v>7560</v>
      </c>
      <c r="P20" s="15"/>
      <c r="Q20" s="15">
        <v>5</v>
      </c>
      <c r="R20" s="15">
        <v>5</v>
      </c>
      <c r="S20" s="18" t="s">
        <v>53</v>
      </c>
      <c r="T20" s="19">
        <v>82</v>
      </c>
      <c r="U20" s="19">
        <v>11</v>
      </c>
      <c r="V20" s="32">
        <v>5</v>
      </c>
      <c r="W20" s="32">
        <v>5</v>
      </c>
      <c r="X20" s="35">
        <f>U20*(SQRT(W20))</f>
        <v>24.596747752497688</v>
      </c>
      <c r="Y20"/>
      <c r="Z20" s="7">
        <v>120</v>
      </c>
      <c r="AA20" s="7">
        <v>7</v>
      </c>
      <c r="AB20" s="12">
        <v>5</v>
      </c>
      <c r="AC20" s="12">
        <v>5</v>
      </c>
      <c r="AD20" s="11">
        <f>AA20*(SQRT(AC20))</f>
        <v>15.652475842498529</v>
      </c>
    </row>
    <row r="21" spans="1:30" x14ac:dyDescent="0.25">
      <c r="A21" s="15">
        <v>3077</v>
      </c>
      <c r="B21" s="15">
        <v>28763303</v>
      </c>
      <c r="C21" s="15" t="s">
        <v>124</v>
      </c>
      <c r="D21" s="15" t="s">
        <v>125</v>
      </c>
      <c r="E21" s="15" t="s">
        <v>81</v>
      </c>
      <c r="F21" s="15">
        <v>2018</v>
      </c>
      <c r="G21" s="15" t="s">
        <v>126</v>
      </c>
      <c r="H21" s="15">
        <v>1</v>
      </c>
      <c r="I21" s="15" t="s">
        <v>45</v>
      </c>
      <c r="J21" s="15" t="s">
        <v>33</v>
      </c>
      <c r="K21" s="32"/>
      <c r="L21" s="15">
        <v>360</v>
      </c>
      <c r="M21" s="15">
        <v>1</v>
      </c>
      <c r="N21" s="18">
        <v>28</v>
      </c>
      <c r="O21" s="18">
        <f>N21*L21</f>
        <v>10080</v>
      </c>
      <c r="P21" s="15"/>
      <c r="Q21" s="15">
        <v>5</v>
      </c>
      <c r="R21" s="15">
        <v>5</v>
      </c>
      <c r="S21" s="18" t="s">
        <v>127</v>
      </c>
      <c r="T21" s="19">
        <v>54</v>
      </c>
      <c r="U21" s="19">
        <v>4</v>
      </c>
      <c r="V21" s="32">
        <v>12</v>
      </c>
      <c r="W21" s="32">
        <v>12</v>
      </c>
      <c r="X21" s="35">
        <f>U21*(SQRT(W21))</f>
        <v>13.856406460551018</v>
      </c>
      <c r="Z21" s="7">
        <v>105</v>
      </c>
      <c r="AA21" s="7">
        <v>4</v>
      </c>
      <c r="AB21" s="2">
        <v>12</v>
      </c>
      <c r="AC21" s="2">
        <v>12</v>
      </c>
      <c r="AD21" s="11">
        <f>AA21*(SQRT(AC21))</f>
        <v>13.856406460551018</v>
      </c>
    </row>
    <row r="22" spans="1:30" x14ac:dyDescent="0.25">
      <c r="A22" s="15">
        <v>3263</v>
      </c>
      <c r="B22" s="15"/>
      <c r="C22" s="15" t="s">
        <v>128</v>
      </c>
      <c r="D22" s="15" t="s">
        <v>129</v>
      </c>
      <c r="E22" s="15" t="s">
        <v>130</v>
      </c>
      <c r="F22" s="15">
        <v>2023</v>
      </c>
      <c r="G22" s="15" t="s">
        <v>131</v>
      </c>
      <c r="H22" s="15">
        <v>1</v>
      </c>
      <c r="I22" s="15" t="s">
        <v>45</v>
      </c>
      <c r="J22" s="15" t="s">
        <v>33</v>
      </c>
      <c r="K22" s="32"/>
      <c r="L22" s="42" t="s">
        <v>132</v>
      </c>
      <c r="M22" s="42"/>
      <c r="N22" s="42"/>
      <c r="O22" s="18">
        <v>98</v>
      </c>
      <c r="P22" s="15" t="s">
        <v>133</v>
      </c>
      <c r="Q22" s="15">
        <v>5</v>
      </c>
      <c r="R22" s="15">
        <v>5</v>
      </c>
      <c r="S22" s="18" t="s">
        <v>134</v>
      </c>
      <c r="T22" s="15">
        <v>159</v>
      </c>
      <c r="U22" s="15">
        <v>6</v>
      </c>
      <c r="V22" s="34" t="s">
        <v>40</v>
      </c>
      <c r="W22" s="34" t="s">
        <v>40</v>
      </c>
      <c r="X22" s="35">
        <f>U22*(SQRT(W22))</f>
        <v>16.970562748477143</v>
      </c>
      <c r="Z22" s="7">
        <v>134</v>
      </c>
      <c r="AA22" s="7">
        <v>11</v>
      </c>
      <c r="AB22" s="34" t="s">
        <v>40</v>
      </c>
      <c r="AC22" s="34" t="s">
        <v>40</v>
      </c>
      <c r="AD22" s="35">
        <f>AA22*(SQRT(AC22))</f>
        <v>31.112698372208094</v>
      </c>
    </row>
    <row r="23" spans="1:30" x14ac:dyDescent="0.25">
      <c r="A23">
        <v>3385</v>
      </c>
      <c r="B23" s="15"/>
      <c r="C23" s="40" t="s">
        <v>900</v>
      </c>
      <c r="D23" s="40" t="s">
        <v>901</v>
      </c>
      <c r="E23" s="40" t="s">
        <v>902</v>
      </c>
      <c r="F23" s="40">
        <v>2021</v>
      </c>
      <c r="G23" s="15"/>
      <c r="H23">
        <v>1</v>
      </c>
      <c r="I23" t="s">
        <v>45</v>
      </c>
      <c r="J23" t="s">
        <v>33</v>
      </c>
      <c r="K23" s="2" t="s">
        <v>461</v>
      </c>
      <c r="L23">
        <v>120</v>
      </c>
      <c r="M23">
        <v>1</v>
      </c>
      <c r="N23" s="3">
        <v>14</v>
      </c>
      <c r="O23" s="18">
        <f>N23*L23</f>
        <v>1680</v>
      </c>
      <c r="Q23" s="15">
        <v>5</v>
      </c>
      <c r="R23" s="15">
        <v>5</v>
      </c>
      <c r="S23" s="3">
        <v>4</v>
      </c>
      <c r="T23" s="3">
        <v>53</v>
      </c>
      <c r="U23" s="2" t="s">
        <v>47</v>
      </c>
      <c r="V23" s="34">
        <v>10</v>
      </c>
      <c r="W23" s="34">
        <v>10</v>
      </c>
      <c r="X23" s="35">
        <f>U23*(SQRT(W23))</f>
        <v>15.811388300841898</v>
      </c>
      <c r="Z23" s="7">
        <v>66</v>
      </c>
      <c r="AA23" s="7">
        <v>5</v>
      </c>
      <c r="AB23" s="34">
        <v>10</v>
      </c>
      <c r="AC23" s="34">
        <v>10</v>
      </c>
      <c r="AD23" s="35">
        <f>AA23*(SQRT(AC23))</f>
        <v>15.811388300841898</v>
      </c>
    </row>
    <row r="24" spans="1:30" x14ac:dyDescent="0.25">
      <c r="A24" s="15">
        <v>3516</v>
      </c>
      <c r="B24" s="15"/>
      <c r="C24" s="40" t="s">
        <v>135</v>
      </c>
      <c r="D24" s="40" t="s">
        <v>136</v>
      </c>
      <c r="E24" s="40" t="s">
        <v>137</v>
      </c>
      <c r="F24" s="40">
        <v>2020</v>
      </c>
      <c r="G24" s="41" t="s">
        <v>138</v>
      </c>
      <c r="H24" s="15">
        <v>1</v>
      </c>
      <c r="I24" s="15" t="s">
        <v>45</v>
      </c>
      <c r="J24" s="15" t="s">
        <v>33</v>
      </c>
      <c r="K24" s="32"/>
      <c r="L24" s="15">
        <v>360</v>
      </c>
      <c r="M24" s="15">
        <v>1</v>
      </c>
      <c r="N24" s="18">
        <v>21</v>
      </c>
      <c r="O24" s="18">
        <f>L24*M24*N24</f>
        <v>7560</v>
      </c>
      <c r="P24" s="15"/>
      <c r="Q24" s="15">
        <v>5</v>
      </c>
      <c r="R24" s="15">
        <v>5</v>
      </c>
      <c r="S24" s="18">
        <v>4</v>
      </c>
      <c r="T24" s="15">
        <v>86</v>
      </c>
      <c r="U24" s="36" t="s">
        <v>65</v>
      </c>
      <c r="V24" s="34" t="s">
        <v>40</v>
      </c>
      <c r="W24" s="34"/>
      <c r="X24" s="19">
        <v>4</v>
      </c>
      <c r="Z24" s="7">
        <v>242</v>
      </c>
      <c r="AA24" s="36" t="s">
        <v>65</v>
      </c>
      <c r="AB24" s="34" t="s">
        <v>40</v>
      </c>
      <c r="AC24" s="34"/>
      <c r="AD24" s="7">
        <v>12</v>
      </c>
    </row>
    <row r="25" spans="1:30" x14ac:dyDescent="0.25">
      <c r="A25" s="15">
        <v>3569</v>
      </c>
      <c r="B25" s="15"/>
      <c r="C25" s="40" t="s">
        <v>139</v>
      </c>
      <c r="D25" s="40" t="s">
        <v>140</v>
      </c>
      <c r="E25" s="40" t="s">
        <v>141</v>
      </c>
      <c r="F25" s="40">
        <v>2024</v>
      </c>
      <c r="G25" s="41" t="s">
        <v>142</v>
      </c>
      <c r="H25" s="15">
        <v>1</v>
      </c>
      <c r="I25" s="15" t="s">
        <v>45</v>
      </c>
      <c r="J25" s="15" t="s">
        <v>33</v>
      </c>
      <c r="K25" s="32"/>
      <c r="L25" s="15">
        <v>360</v>
      </c>
      <c r="M25" s="15">
        <v>1</v>
      </c>
      <c r="N25" s="18">
        <v>14</v>
      </c>
      <c r="O25" s="18">
        <f>L25*M25*N25</f>
        <v>5040</v>
      </c>
      <c r="P25" s="15"/>
      <c r="Q25" s="33" t="s">
        <v>143</v>
      </c>
      <c r="R25" s="33"/>
      <c r="S25" s="33"/>
      <c r="T25" s="33"/>
      <c r="U25" s="33"/>
      <c r="V25" s="38"/>
      <c r="W25" s="38"/>
      <c r="X25" s="33"/>
      <c r="Z25" s="14"/>
      <c r="AA25" s="14"/>
      <c r="AB25" s="16"/>
      <c r="AC25" s="16"/>
      <c r="AD25" s="14"/>
    </row>
    <row r="26" spans="1:30" x14ac:dyDescent="0.25">
      <c r="A26" s="15">
        <v>3670</v>
      </c>
      <c r="B26" s="15"/>
      <c r="C26" s="15" t="s">
        <v>144</v>
      </c>
      <c r="D26" s="15" t="s">
        <v>145</v>
      </c>
      <c r="E26" s="15" t="s">
        <v>146</v>
      </c>
      <c r="F26" s="15">
        <v>2021</v>
      </c>
      <c r="G26" s="15" t="s">
        <v>147</v>
      </c>
      <c r="H26" s="15">
        <v>1</v>
      </c>
      <c r="I26" s="15" t="s">
        <v>45</v>
      </c>
      <c r="J26" s="15" t="s">
        <v>33</v>
      </c>
      <c r="K26" s="32" t="s">
        <v>40</v>
      </c>
      <c r="L26" s="15">
        <v>360</v>
      </c>
      <c r="M26" s="15">
        <v>1</v>
      </c>
      <c r="N26" s="18">
        <v>28</v>
      </c>
      <c r="O26" s="18">
        <f>L26*M26*N26</f>
        <v>10080</v>
      </c>
      <c r="P26" s="15"/>
      <c r="Q26" s="15">
        <v>5</v>
      </c>
      <c r="R26" s="15">
        <v>5</v>
      </c>
      <c r="S26" s="18" t="s">
        <v>127</v>
      </c>
      <c r="T26" s="15">
        <v>75</v>
      </c>
      <c r="U26" s="15">
        <v>7</v>
      </c>
      <c r="V26" s="34" t="s">
        <v>148</v>
      </c>
      <c r="W26" s="34" t="s">
        <v>40</v>
      </c>
      <c r="X26" s="35">
        <f>U26*(SQRT(W26))</f>
        <v>19.798989873223331</v>
      </c>
      <c r="Z26" s="7">
        <v>113</v>
      </c>
      <c r="AA26" s="7">
        <v>7</v>
      </c>
      <c r="AB26" s="34" t="s">
        <v>148</v>
      </c>
      <c r="AC26" s="34" t="s">
        <v>40</v>
      </c>
      <c r="AD26" s="35">
        <f>AA26*(SQRT(AC26))</f>
        <v>19.798989873223331</v>
      </c>
    </row>
    <row r="27" spans="1:30" x14ac:dyDescent="0.25">
      <c r="A27" s="15">
        <v>3676</v>
      </c>
      <c r="B27" s="15">
        <v>38992775</v>
      </c>
      <c r="C27" s="15" t="s">
        <v>149</v>
      </c>
      <c r="D27" s="15" t="s">
        <v>150</v>
      </c>
      <c r="E27" s="15" t="s">
        <v>151</v>
      </c>
      <c r="F27" s="15">
        <v>2024</v>
      </c>
      <c r="G27" s="15" t="s">
        <v>152</v>
      </c>
      <c r="H27" s="15">
        <v>1</v>
      </c>
      <c r="I27" s="15" t="s">
        <v>32</v>
      </c>
      <c r="J27" s="15" t="s">
        <v>33</v>
      </c>
      <c r="K27" s="32">
        <v>4</v>
      </c>
      <c r="L27" s="15">
        <v>120</v>
      </c>
      <c r="M27" s="15">
        <v>1</v>
      </c>
      <c r="N27" s="18">
        <v>14</v>
      </c>
      <c r="O27" s="18">
        <f>N27*L27</f>
        <v>1680</v>
      </c>
      <c r="P27" s="15"/>
      <c r="Q27" s="15">
        <v>5</v>
      </c>
      <c r="R27" s="15">
        <v>5</v>
      </c>
      <c r="S27" s="34" t="s">
        <v>153</v>
      </c>
      <c r="T27" s="19">
        <v>21</v>
      </c>
      <c r="U27" s="19">
        <v>13</v>
      </c>
      <c r="V27" s="19" t="s">
        <v>72</v>
      </c>
      <c r="W27" s="19" t="s">
        <v>72</v>
      </c>
      <c r="X27" s="35">
        <f>U27*(SQRT(W27))</f>
        <v>41.109609582188931</v>
      </c>
      <c r="Z27" s="7">
        <v>84</v>
      </c>
      <c r="AA27" s="7">
        <v>9</v>
      </c>
      <c r="AB27" s="7" t="s">
        <v>72</v>
      </c>
      <c r="AC27" s="7" t="s">
        <v>72</v>
      </c>
      <c r="AD27" s="11">
        <f>AA27*(SQRT(AC27))</f>
        <v>28.460498941515414</v>
      </c>
    </row>
    <row r="28" spans="1:30" x14ac:dyDescent="0.25">
      <c r="A28" s="37">
        <v>3926</v>
      </c>
      <c r="B28" s="37"/>
      <c r="C28" s="37" t="s">
        <v>154</v>
      </c>
      <c r="D28" s="37" t="s">
        <v>155</v>
      </c>
      <c r="E28" s="37" t="s">
        <v>156</v>
      </c>
      <c r="F28" s="37">
        <v>2023</v>
      </c>
      <c r="G28" s="37" t="s">
        <v>157</v>
      </c>
      <c r="H28" s="37">
        <v>1</v>
      </c>
      <c r="I28" s="15" t="s">
        <v>32</v>
      </c>
      <c r="J28" s="37" t="s">
        <v>33</v>
      </c>
      <c r="K28" s="32" t="s">
        <v>158</v>
      </c>
      <c r="L28" s="15">
        <v>240</v>
      </c>
      <c r="M28" s="15">
        <v>1</v>
      </c>
      <c r="N28" s="18">
        <v>21</v>
      </c>
      <c r="O28" s="18">
        <f>L28*M28*N28</f>
        <v>5040</v>
      </c>
      <c r="P28" s="15"/>
      <c r="Q28" s="15">
        <v>6</v>
      </c>
      <c r="R28" s="15">
        <v>6</v>
      </c>
      <c r="S28" s="18" t="s">
        <v>118</v>
      </c>
      <c r="T28" s="15">
        <v>105</v>
      </c>
      <c r="U28" s="15">
        <v>27</v>
      </c>
      <c r="V28" s="34" t="s">
        <v>159</v>
      </c>
      <c r="W28" s="34" t="s">
        <v>159</v>
      </c>
      <c r="X28" s="11">
        <f>U28*(SQRT(W28))</f>
        <v>66.136223055145805</v>
      </c>
      <c r="Z28" s="7">
        <v>138</v>
      </c>
      <c r="AA28" s="7">
        <v>37</v>
      </c>
      <c r="AB28" s="12" t="s">
        <v>159</v>
      </c>
      <c r="AC28" s="12" t="s">
        <v>159</v>
      </c>
      <c r="AD28" s="11">
        <f>AA28*(SQRT(AC28))</f>
        <v>90.631120482977579</v>
      </c>
    </row>
    <row r="29" spans="1:30" x14ac:dyDescent="0.25">
      <c r="A29" s="37">
        <v>3926</v>
      </c>
      <c r="B29" s="37"/>
      <c r="C29" s="37" t="s">
        <v>154</v>
      </c>
      <c r="D29" s="37" t="s">
        <v>155</v>
      </c>
      <c r="E29" s="37" t="s">
        <v>156</v>
      </c>
      <c r="F29" s="37">
        <v>2023</v>
      </c>
      <c r="G29" s="37" t="s">
        <v>157</v>
      </c>
      <c r="H29" s="37">
        <v>1</v>
      </c>
      <c r="I29" s="15" t="s">
        <v>32</v>
      </c>
      <c r="J29" s="37" t="s">
        <v>91</v>
      </c>
      <c r="K29" s="32" t="s">
        <v>158</v>
      </c>
      <c r="L29" s="15">
        <v>240</v>
      </c>
      <c r="M29" s="15">
        <v>1</v>
      </c>
      <c r="N29" s="18">
        <v>21</v>
      </c>
      <c r="O29" s="18">
        <f>L29*M29*N29</f>
        <v>5040</v>
      </c>
      <c r="P29" s="15"/>
      <c r="Q29" s="15">
        <v>6</v>
      </c>
      <c r="R29" s="15">
        <v>6</v>
      </c>
      <c r="S29" s="57"/>
      <c r="T29" s="57"/>
      <c r="U29" s="57"/>
      <c r="V29" s="57"/>
      <c r="W29" s="57"/>
      <c r="X29" s="57"/>
      <c r="Y29" s="15"/>
      <c r="Z29" s="57"/>
      <c r="AA29" s="57"/>
      <c r="AB29" s="57"/>
      <c r="AC29" s="57"/>
      <c r="AD29" s="57"/>
    </row>
    <row r="30" spans="1:30" x14ac:dyDescent="0.25">
      <c r="A30" s="15">
        <v>4002</v>
      </c>
      <c r="B30" s="15">
        <v>28420875</v>
      </c>
      <c r="C30" s="15" t="s">
        <v>160</v>
      </c>
      <c r="D30" s="15" t="s">
        <v>161</v>
      </c>
      <c r="E30" s="15" t="s">
        <v>162</v>
      </c>
      <c r="F30" s="15">
        <v>2017</v>
      </c>
      <c r="G30" s="15" t="s">
        <v>163</v>
      </c>
      <c r="H30" s="15">
        <v>1</v>
      </c>
      <c r="I30" s="15" t="s">
        <v>32</v>
      </c>
      <c r="J30" s="15" t="s">
        <v>33</v>
      </c>
      <c r="K30" s="32"/>
      <c r="L30" s="15">
        <v>120</v>
      </c>
      <c r="M30" s="15">
        <v>1</v>
      </c>
      <c r="N30" s="18">
        <v>14</v>
      </c>
      <c r="O30" s="18">
        <f>N30*L30</f>
        <v>1680</v>
      </c>
      <c r="P30" s="15" t="s">
        <v>164</v>
      </c>
      <c r="Q30" s="15">
        <v>5</v>
      </c>
      <c r="R30" s="15">
        <v>5</v>
      </c>
      <c r="S30" s="18" t="s">
        <v>165</v>
      </c>
      <c r="T30" s="19">
        <v>120</v>
      </c>
      <c r="U30" s="19">
        <v>12</v>
      </c>
      <c r="V30" s="32">
        <v>20</v>
      </c>
      <c r="W30" s="32">
        <v>20</v>
      </c>
      <c r="X30" s="35">
        <f>U30*(SQRT(W30))</f>
        <v>53.665631459994955</v>
      </c>
      <c r="Y30"/>
      <c r="Z30" s="7">
        <v>170</v>
      </c>
      <c r="AA30" s="7">
        <v>15</v>
      </c>
      <c r="AB30" s="12">
        <v>20</v>
      </c>
      <c r="AC30" s="12">
        <v>20</v>
      </c>
      <c r="AD30" s="11">
        <f>AA30*(SQRT(AC30))</f>
        <v>67.082039324993701</v>
      </c>
    </row>
    <row r="31" spans="1:30" x14ac:dyDescent="0.25">
      <c r="A31" s="15">
        <v>4025</v>
      </c>
      <c r="B31" s="15">
        <v>33291797</v>
      </c>
      <c r="C31" s="15" t="s">
        <v>166</v>
      </c>
      <c r="D31" s="15" t="s">
        <v>167</v>
      </c>
      <c r="E31" s="15" t="s">
        <v>168</v>
      </c>
      <c r="F31" s="15">
        <v>2020</v>
      </c>
      <c r="G31" s="15" t="s">
        <v>169</v>
      </c>
      <c r="H31" s="15">
        <v>1</v>
      </c>
      <c r="I31" s="15" t="s">
        <v>32</v>
      </c>
      <c r="J31" s="15" t="s">
        <v>33</v>
      </c>
      <c r="K31" s="32">
        <v>6</v>
      </c>
      <c r="L31" s="15">
        <v>120</v>
      </c>
      <c r="M31" s="15">
        <v>1</v>
      </c>
      <c r="N31" s="18">
        <v>21</v>
      </c>
      <c r="O31" s="18">
        <f>N31*L31</f>
        <v>2520</v>
      </c>
      <c r="P31" s="15" t="s">
        <v>170</v>
      </c>
      <c r="Q31" s="15">
        <v>5</v>
      </c>
      <c r="R31" s="15">
        <v>5</v>
      </c>
      <c r="S31" s="34" t="s">
        <v>118</v>
      </c>
      <c r="T31" s="33"/>
      <c r="U31" s="33"/>
      <c r="V31" s="38"/>
      <c r="W31" s="38"/>
      <c r="X31" s="33"/>
      <c r="Z31" s="14"/>
      <c r="AA31" s="14"/>
      <c r="AB31" s="16"/>
      <c r="AC31" s="16"/>
      <c r="AD31" s="14"/>
    </row>
    <row r="32" spans="1:30" x14ac:dyDescent="0.25">
      <c r="A32" s="15">
        <v>4027</v>
      </c>
      <c r="B32" s="15">
        <v>39411919</v>
      </c>
      <c r="C32" s="15" t="s">
        <v>171</v>
      </c>
      <c r="D32" s="15" t="s">
        <v>172</v>
      </c>
      <c r="E32" s="15" t="s">
        <v>173</v>
      </c>
      <c r="F32" s="15">
        <v>2025</v>
      </c>
      <c r="G32" s="15" t="s">
        <v>174</v>
      </c>
      <c r="H32" s="15">
        <v>1</v>
      </c>
      <c r="I32" s="15" t="s">
        <v>32</v>
      </c>
      <c r="J32" s="15" t="s">
        <v>33</v>
      </c>
      <c r="K32" s="32" t="s">
        <v>55</v>
      </c>
      <c r="L32" s="15">
        <v>120</v>
      </c>
      <c r="M32" s="15">
        <v>1</v>
      </c>
      <c r="N32" s="18">
        <v>10</v>
      </c>
      <c r="O32" s="18">
        <f>L32*M32*N32</f>
        <v>1200</v>
      </c>
      <c r="P32" s="15"/>
      <c r="Q32" s="15">
        <v>5</v>
      </c>
      <c r="R32" s="15">
        <v>5</v>
      </c>
      <c r="S32" s="18" t="s">
        <v>175</v>
      </c>
      <c r="T32" s="15">
        <v>14</v>
      </c>
      <c r="U32" s="15">
        <v>2</v>
      </c>
      <c r="V32" s="34" t="s">
        <v>72</v>
      </c>
      <c r="W32" s="34" t="s">
        <v>72</v>
      </c>
      <c r="X32" s="35">
        <f>U32*(SQRT(W32))</f>
        <v>6.324555320336759</v>
      </c>
      <c r="Z32" s="7">
        <v>39</v>
      </c>
      <c r="AA32" s="7">
        <v>8</v>
      </c>
      <c r="AB32" s="34" t="s">
        <v>72</v>
      </c>
      <c r="AC32" s="34" t="s">
        <v>72</v>
      </c>
      <c r="AD32" s="35">
        <f>AA32*(SQRT(AC32))</f>
        <v>25.298221281347036</v>
      </c>
    </row>
    <row r="33" spans="1:30" x14ac:dyDescent="0.25">
      <c r="A33" s="15">
        <v>4041</v>
      </c>
      <c r="B33" s="15"/>
      <c r="C33" s="15" t="s">
        <v>176</v>
      </c>
      <c r="D33" s="15" t="s">
        <v>177</v>
      </c>
      <c r="E33" s="15" t="s">
        <v>178</v>
      </c>
      <c r="F33" s="15">
        <v>2020</v>
      </c>
      <c r="G33" s="15" t="s">
        <v>179</v>
      </c>
      <c r="H33" s="15">
        <v>1</v>
      </c>
      <c r="I33" s="15" t="s">
        <v>45</v>
      </c>
      <c r="J33" s="15" t="s">
        <v>33</v>
      </c>
      <c r="K33" s="32"/>
      <c r="L33" s="15">
        <v>360</v>
      </c>
      <c r="M33" s="15">
        <v>1</v>
      </c>
      <c r="N33" s="18">
        <v>21</v>
      </c>
      <c r="O33" s="18">
        <f>L33*M33*N33</f>
        <v>7560</v>
      </c>
      <c r="P33" s="15"/>
      <c r="Q33" s="15">
        <v>5</v>
      </c>
      <c r="R33" s="15">
        <v>5</v>
      </c>
      <c r="S33" s="18" t="s">
        <v>180</v>
      </c>
      <c r="T33" s="15">
        <v>87</v>
      </c>
      <c r="U33" s="15">
        <v>8</v>
      </c>
      <c r="V33" s="34" t="s">
        <v>159</v>
      </c>
      <c r="W33" s="34" t="s">
        <v>159</v>
      </c>
      <c r="X33" s="35">
        <f>U33*(SQRT(W33))</f>
        <v>19.595917942265423</v>
      </c>
      <c r="Z33" s="7">
        <v>218</v>
      </c>
      <c r="AA33" s="7">
        <v>9</v>
      </c>
      <c r="AB33" s="34" t="s">
        <v>159</v>
      </c>
      <c r="AC33" s="34" t="s">
        <v>159</v>
      </c>
      <c r="AD33" s="35">
        <f>AA33*(SQRT(AC33))</f>
        <v>22.045407685048602</v>
      </c>
    </row>
    <row r="34" spans="1:30" x14ac:dyDescent="0.25">
      <c r="A34" s="15">
        <v>4070</v>
      </c>
      <c r="B34" s="15">
        <v>29317595</v>
      </c>
      <c r="C34" s="15" t="s">
        <v>181</v>
      </c>
      <c r="D34" s="15" t="s">
        <v>182</v>
      </c>
      <c r="E34" s="15" t="s">
        <v>183</v>
      </c>
      <c r="F34" s="15">
        <v>2018</v>
      </c>
      <c r="G34" s="15" t="s">
        <v>184</v>
      </c>
      <c r="H34" s="15">
        <v>1</v>
      </c>
      <c r="I34" s="15" t="s">
        <v>32</v>
      </c>
      <c r="J34" s="15" t="s">
        <v>33</v>
      </c>
      <c r="K34" s="32"/>
      <c r="L34" s="15">
        <v>360</v>
      </c>
      <c r="M34" s="15">
        <v>1</v>
      </c>
      <c r="N34" s="18">
        <v>21</v>
      </c>
      <c r="O34" s="18">
        <f>N34*L34</f>
        <v>7560</v>
      </c>
      <c r="P34" s="15"/>
      <c r="Q34" s="15">
        <v>5</v>
      </c>
      <c r="R34" s="15">
        <v>5</v>
      </c>
      <c r="S34" s="34" t="s">
        <v>185</v>
      </c>
      <c r="T34" s="33"/>
      <c r="U34" s="33"/>
      <c r="V34" s="33"/>
      <c r="W34" s="33"/>
      <c r="X34" s="33"/>
      <c r="Z34" s="14"/>
      <c r="AA34" s="14"/>
      <c r="AB34" s="14"/>
      <c r="AC34" s="14"/>
      <c r="AD34" s="14"/>
    </row>
    <row r="35" spans="1:30" x14ac:dyDescent="0.25">
      <c r="A35" s="15">
        <v>4832</v>
      </c>
      <c r="B35" s="15">
        <v>26555398</v>
      </c>
      <c r="C35" s="15" t="s">
        <v>186</v>
      </c>
      <c r="D35" s="15" t="s">
        <v>187</v>
      </c>
      <c r="E35" s="15" t="s">
        <v>188</v>
      </c>
      <c r="F35" s="15">
        <v>2016</v>
      </c>
      <c r="G35" s="15" t="s">
        <v>189</v>
      </c>
      <c r="H35" s="15">
        <v>1</v>
      </c>
      <c r="I35" s="15" t="s">
        <v>32</v>
      </c>
      <c r="J35" s="15" t="s">
        <v>33</v>
      </c>
      <c r="K35" s="32"/>
      <c r="L35" s="15">
        <v>240</v>
      </c>
      <c r="M35" s="15">
        <v>1</v>
      </c>
      <c r="N35" s="18">
        <v>5</v>
      </c>
      <c r="O35" s="18">
        <f>N35*L35</f>
        <v>1200</v>
      </c>
      <c r="P35" s="15" t="s">
        <v>190</v>
      </c>
      <c r="Q35" s="15">
        <v>5</v>
      </c>
      <c r="R35" s="15">
        <v>5</v>
      </c>
      <c r="S35" s="18" t="s">
        <v>134</v>
      </c>
      <c r="T35" s="19">
        <v>115</v>
      </c>
      <c r="U35" s="19">
        <v>3</v>
      </c>
      <c r="V35" s="34" t="s">
        <v>191</v>
      </c>
      <c r="W35" s="34" t="s">
        <v>72</v>
      </c>
      <c r="X35" s="35">
        <f>U35*(SQRT(W35))</f>
        <v>9.4868329805051381</v>
      </c>
      <c r="Y35"/>
      <c r="Z35" s="7">
        <v>92</v>
      </c>
      <c r="AA35" s="7">
        <v>6</v>
      </c>
      <c r="AB35" s="12" t="s">
        <v>191</v>
      </c>
      <c r="AC35" s="12" t="s">
        <v>72</v>
      </c>
      <c r="AD35" s="11">
        <f>AA35*(SQRT(AC35))</f>
        <v>18.973665961010276</v>
      </c>
    </row>
    <row r="36" spans="1:30" x14ac:dyDescent="0.25">
      <c r="A36" s="15">
        <v>4846</v>
      </c>
      <c r="B36" s="15">
        <v>25139647</v>
      </c>
      <c r="C36" s="15" t="s">
        <v>192</v>
      </c>
      <c r="D36" s="15" t="s">
        <v>193</v>
      </c>
      <c r="E36" s="15" t="s">
        <v>194</v>
      </c>
      <c r="F36" s="15">
        <v>2015</v>
      </c>
      <c r="G36" s="15" t="s">
        <v>195</v>
      </c>
      <c r="H36" s="15">
        <v>1</v>
      </c>
      <c r="I36" s="15" t="s">
        <v>45</v>
      </c>
      <c r="J36" s="15" t="s">
        <v>33</v>
      </c>
      <c r="K36" s="32" t="s">
        <v>196</v>
      </c>
      <c r="L36" s="15">
        <v>360</v>
      </c>
      <c r="M36" s="15">
        <v>1</v>
      </c>
      <c r="N36" s="18">
        <v>21</v>
      </c>
      <c r="O36" s="18">
        <f>N36*L36</f>
        <v>7560</v>
      </c>
      <c r="P36" s="15" t="s">
        <v>197</v>
      </c>
      <c r="Q36" s="15">
        <v>5</v>
      </c>
      <c r="R36" s="15">
        <v>5</v>
      </c>
      <c r="S36" s="18">
        <v>3</v>
      </c>
      <c r="T36" s="33"/>
      <c r="U36" s="33"/>
      <c r="V36" s="33"/>
      <c r="W36" s="33"/>
      <c r="X36" s="33"/>
      <c r="Y36"/>
      <c r="Z36" s="14"/>
      <c r="AA36" s="14"/>
      <c r="AB36" s="14"/>
      <c r="AC36" s="14"/>
      <c r="AD36" s="14"/>
    </row>
    <row r="37" spans="1:30" x14ac:dyDescent="0.25">
      <c r="A37" s="15">
        <v>4911</v>
      </c>
      <c r="B37" s="15">
        <v>39432823</v>
      </c>
      <c r="C37" s="15" t="s">
        <v>198</v>
      </c>
      <c r="D37" s="15" t="s">
        <v>199</v>
      </c>
      <c r="E37" s="15" t="s">
        <v>200</v>
      </c>
      <c r="F37" s="15">
        <v>2024</v>
      </c>
      <c r="G37" s="15" t="s">
        <v>201</v>
      </c>
      <c r="H37" s="15">
        <v>1</v>
      </c>
      <c r="I37" s="15" t="s">
        <v>32</v>
      </c>
      <c r="J37" s="15" t="s">
        <v>33</v>
      </c>
      <c r="K37" s="32" t="s">
        <v>159</v>
      </c>
      <c r="L37" s="15">
        <v>480</v>
      </c>
      <c r="M37" s="15">
        <v>1</v>
      </c>
      <c r="N37" s="18">
        <v>28</v>
      </c>
      <c r="O37" s="18">
        <f>L37*M37*N37</f>
        <v>13440</v>
      </c>
      <c r="P37" s="15" t="s">
        <v>202</v>
      </c>
      <c r="Q37" s="15">
        <v>4</v>
      </c>
      <c r="R37" s="15">
        <v>4</v>
      </c>
      <c r="S37" s="18" t="s">
        <v>64</v>
      </c>
      <c r="T37" s="33"/>
      <c r="U37" s="33"/>
      <c r="V37" s="33"/>
      <c r="W37" s="33"/>
      <c r="X37" s="33"/>
      <c r="Y37"/>
      <c r="Z37" s="14"/>
      <c r="AA37" s="14"/>
      <c r="AB37" s="14"/>
      <c r="AC37" s="14"/>
      <c r="AD37" s="14"/>
    </row>
    <row r="38" spans="1:30" x14ac:dyDescent="0.25">
      <c r="A38" s="15">
        <v>4961</v>
      </c>
      <c r="B38" s="15">
        <v>38882046</v>
      </c>
      <c r="C38" s="15" t="s">
        <v>203</v>
      </c>
      <c r="D38" s="15" t="s">
        <v>204</v>
      </c>
      <c r="E38" s="15" t="s">
        <v>205</v>
      </c>
      <c r="F38" s="15">
        <v>2024</v>
      </c>
      <c r="G38" s="15" t="s">
        <v>206</v>
      </c>
      <c r="H38" s="15">
        <v>1</v>
      </c>
      <c r="I38" s="15" t="s">
        <v>32</v>
      </c>
      <c r="J38" s="15" t="s">
        <v>33</v>
      </c>
      <c r="K38" s="32"/>
      <c r="L38" s="15">
        <v>180</v>
      </c>
      <c r="M38" s="15">
        <v>1</v>
      </c>
      <c r="N38" s="18">
        <v>28</v>
      </c>
      <c r="O38" s="18">
        <f>N38*L38</f>
        <v>5040</v>
      </c>
      <c r="P38" s="15"/>
      <c r="Q38" s="15">
        <v>5</v>
      </c>
      <c r="R38" s="15">
        <v>4</v>
      </c>
      <c r="S38" s="34" t="s">
        <v>207</v>
      </c>
      <c r="T38" s="36">
        <v>24</v>
      </c>
      <c r="U38" s="36" t="s">
        <v>65</v>
      </c>
      <c r="V38" s="34" t="s">
        <v>159</v>
      </c>
      <c r="W38" s="34"/>
      <c r="X38" s="35">
        <v>2.6</v>
      </c>
      <c r="Z38" s="13">
        <v>22</v>
      </c>
      <c r="AA38" s="13" t="s">
        <v>65</v>
      </c>
      <c r="AB38" s="12" t="s">
        <v>159</v>
      </c>
      <c r="AD38" s="11">
        <v>6</v>
      </c>
    </row>
    <row r="39" spans="1:30" x14ac:dyDescent="0.25">
      <c r="A39" s="15">
        <v>4973</v>
      </c>
      <c r="B39" s="15"/>
      <c r="C39" s="40" t="s">
        <v>208</v>
      </c>
      <c r="D39" s="40" t="s">
        <v>209</v>
      </c>
      <c r="E39" s="40" t="s">
        <v>210</v>
      </c>
      <c r="F39" s="40">
        <v>2022</v>
      </c>
      <c r="G39" s="41" t="s">
        <v>211</v>
      </c>
      <c r="H39" s="15">
        <v>1</v>
      </c>
      <c r="I39" s="15" t="s">
        <v>32</v>
      </c>
      <c r="J39" s="15" t="s">
        <v>33</v>
      </c>
      <c r="K39" s="32"/>
      <c r="L39" s="15">
        <v>150</v>
      </c>
      <c r="M39" s="15">
        <v>1</v>
      </c>
      <c r="N39" s="18">
        <v>13</v>
      </c>
      <c r="O39" s="18">
        <f>L39*M39*N39</f>
        <v>1950</v>
      </c>
      <c r="P39" s="15"/>
      <c r="Q39" s="15">
        <v>6</v>
      </c>
      <c r="R39" s="15">
        <v>6</v>
      </c>
      <c r="S39" s="33"/>
      <c r="T39" s="33"/>
      <c r="U39" s="33"/>
      <c r="V39" s="38"/>
      <c r="W39" s="38"/>
      <c r="X39" s="33"/>
      <c r="Z39" s="14"/>
      <c r="AA39" s="14"/>
      <c r="AB39" s="16"/>
      <c r="AC39" s="16"/>
      <c r="AD39" s="14"/>
    </row>
    <row r="40" spans="1:30" ht="15.75" x14ac:dyDescent="0.25">
      <c r="A40" s="15">
        <v>5014</v>
      </c>
      <c r="B40" s="15">
        <v>38703343</v>
      </c>
      <c r="C40" s="15" t="s">
        <v>212</v>
      </c>
      <c r="D40" s="15" t="s">
        <v>213</v>
      </c>
      <c r="E40" s="15" t="s">
        <v>214</v>
      </c>
      <c r="F40" s="15">
        <v>2024</v>
      </c>
      <c r="G40" s="15" t="s">
        <v>215</v>
      </c>
      <c r="H40" s="15">
        <v>1</v>
      </c>
      <c r="I40" s="15" t="s">
        <v>45</v>
      </c>
      <c r="J40" s="15" t="s">
        <v>33</v>
      </c>
      <c r="K40" s="32" t="s">
        <v>88</v>
      </c>
      <c r="L40" s="15">
        <v>360</v>
      </c>
      <c r="M40" s="15">
        <v>1</v>
      </c>
      <c r="N40" s="18">
        <v>21</v>
      </c>
      <c r="O40" s="18">
        <f>N40*L40</f>
        <v>7560</v>
      </c>
      <c r="P40" s="39" t="s">
        <v>216</v>
      </c>
      <c r="Q40" s="15">
        <v>5</v>
      </c>
      <c r="R40" s="15">
        <v>5</v>
      </c>
      <c r="S40" s="18" t="s">
        <v>217</v>
      </c>
      <c r="T40" s="33"/>
      <c r="U40" s="33"/>
      <c r="V40" s="38"/>
      <c r="W40" s="38"/>
      <c r="X40" s="33"/>
      <c r="Z40" s="14"/>
      <c r="AA40" s="14"/>
      <c r="AB40" s="16"/>
      <c r="AC40" s="16"/>
      <c r="AD40" s="14"/>
    </row>
    <row r="41" spans="1:30" x14ac:dyDescent="0.25">
      <c r="A41" s="15">
        <v>5109</v>
      </c>
      <c r="B41" s="15">
        <v>36728843</v>
      </c>
      <c r="C41" s="15" t="s">
        <v>218</v>
      </c>
      <c r="D41" s="15" t="s">
        <v>219</v>
      </c>
      <c r="E41" s="15" t="s">
        <v>220</v>
      </c>
      <c r="F41" s="15">
        <v>2023</v>
      </c>
      <c r="G41" s="15" t="s">
        <v>221</v>
      </c>
      <c r="H41" s="15">
        <v>1</v>
      </c>
      <c r="I41" s="15" t="s">
        <v>32</v>
      </c>
      <c r="J41" s="15" t="s">
        <v>33</v>
      </c>
      <c r="K41" s="32" t="s">
        <v>222</v>
      </c>
      <c r="L41" s="15">
        <v>360</v>
      </c>
      <c r="M41" s="15">
        <v>1</v>
      </c>
      <c r="N41" s="18">
        <v>28</v>
      </c>
      <c r="O41" s="18">
        <f>N41*L41</f>
        <v>10080</v>
      </c>
      <c r="P41" s="15"/>
      <c r="Q41" s="15">
        <v>5</v>
      </c>
      <c r="R41" s="15">
        <v>5</v>
      </c>
      <c r="S41" s="18">
        <v>4</v>
      </c>
      <c r="T41" s="19">
        <v>41</v>
      </c>
      <c r="U41" s="19">
        <v>2</v>
      </c>
      <c r="V41" s="34" t="s">
        <v>223</v>
      </c>
      <c r="W41" s="34" t="s">
        <v>159</v>
      </c>
      <c r="X41" s="35">
        <f>U41*(SQRT(W41))</f>
        <v>4.8989794855663558</v>
      </c>
      <c r="Z41" s="7">
        <v>51</v>
      </c>
      <c r="AA41" s="7">
        <v>5</v>
      </c>
      <c r="AB41" s="12" t="s">
        <v>223</v>
      </c>
      <c r="AC41" s="12" t="s">
        <v>159</v>
      </c>
      <c r="AD41" s="11">
        <f>AA41*(SQRT(AC41))</f>
        <v>12.24744871391589</v>
      </c>
    </row>
    <row r="42" spans="1:30" x14ac:dyDescent="0.25">
      <c r="A42" s="15">
        <v>5214</v>
      </c>
      <c r="B42" s="15">
        <v>34409523</v>
      </c>
      <c r="C42" s="15" t="s">
        <v>224</v>
      </c>
      <c r="D42" s="15" t="s">
        <v>225</v>
      </c>
      <c r="E42" s="15" t="s">
        <v>226</v>
      </c>
      <c r="F42" s="15">
        <v>2021</v>
      </c>
      <c r="G42" s="15" t="s">
        <v>227</v>
      </c>
      <c r="H42" s="15">
        <v>1</v>
      </c>
      <c r="I42" s="15" t="s">
        <v>45</v>
      </c>
      <c r="J42" s="15" t="s">
        <v>33</v>
      </c>
      <c r="K42" s="32"/>
      <c r="L42" s="15">
        <v>240</v>
      </c>
      <c r="M42" s="15">
        <v>1</v>
      </c>
      <c r="N42" s="18">
        <v>14</v>
      </c>
      <c r="O42" s="18">
        <f>N42*L42</f>
        <v>3360</v>
      </c>
      <c r="P42" s="15" t="s">
        <v>228</v>
      </c>
      <c r="Q42" s="33" t="s">
        <v>143</v>
      </c>
      <c r="R42" s="33"/>
      <c r="S42" s="18" t="s">
        <v>229</v>
      </c>
      <c r="T42" s="19">
        <v>245</v>
      </c>
      <c r="U42" s="36">
        <v>8</v>
      </c>
      <c r="V42" s="32" t="s">
        <v>78</v>
      </c>
      <c r="W42" s="32" t="s">
        <v>78</v>
      </c>
      <c r="X42" s="35">
        <f>U42*(SQRT(W42))</f>
        <v>27.712812921102035</v>
      </c>
      <c r="Z42" s="7">
        <v>278</v>
      </c>
      <c r="AA42" s="13">
        <v>6</v>
      </c>
      <c r="AB42" s="2" t="s">
        <v>78</v>
      </c>
      <c r="AC42" s="2" t="s">
        <v>78</v>
      </c>
      <c r="AD42" s="11">
        <f>AA42*(SQRT(AC42))</f>
        <v>20.784609690826528</v>
      </c>
    </row>
    <row r="43" spans="1:30" x14ac:dyDescent="0.25">
      <c r="A43" s="15">
        <v>5216</v>
      </c>
      <c r="B43" s="15">
        <v>37767889</v>
      </c>
      <c r="C43" s="15" t="s">
        <v>230</v>
      </c>
      <c r="D43" s="15" t="s">
        <v>231</v>
      </c>
      <c r="E43" s="15" t="s">
        <v>232</v>
      </c>
      <c r="F43" s="15">
        <v>2023</v>
      </c>
      <c r="G43" s="15" t="s">
        <v>233</v>
      </c>
      <c r="H43" s="15">
        <v>1</v>
      </c>
      <c r="I43" s="15" t="s">
        <v>45</v>
      </c>
      <c r="J43" s="15" t="s">
        <v>33</v>
      </c>
      <c r="K43" s="32" t="s">
        <v>196</v>
      </c>
      <c r="L43" s="15">
        <v>180</v>
      </c>
      <c r="M43" s="15">
        <v>1</v>
      </c>
      <c r="N43" s="18">
        <v>35</v>
      </c>
      <c r="O43" s="18">
        <f>L43*M43*N43</f>
        <v>6300</v>
      </c>
      <c r="P43" s="15"/>
      <c r="Q43" s="15">
        <v>5</v>
      </c>
      <c r="R43" s="15">
        <v>5</v>
      </c>
      <c r="S43" s="18" t="s">
        <v>234</v>
      </c>
      <c r="T43" s="15">
        <v>93</v>
      </c>
      <c r="U43" s="36" t="s">
        <v>65</v>
      </c>
      <c r="V43" s="34" t="s">
        <v>72</v>
      </c>
      <c r="W43" s="34"/>
      <c r="X43" s="19">
        <v>3</v>
      </c>
      <c r="Z43" s="7">
        <v>158</v>
      </c>
      <c r="AA43" s="36" t="s">
        <v>65</v>
      </c>
      <c r="AB43" s="34" t="s">
        <v>72</v>
      </c>
      <c r="AC43" s="34"/>
      <c r="AD43" s="7">
        <v>4</v>
      </c>
    </row>
    <row r="44" spans="1:30" x14ac:dyDescent="0.25">
      <c r="A44" s="15">
        <v>5240</v>
      </c>
      <c r="B44" s="15">
        <v>29379991</v>
      </c>
      <c r="C44" s="15" t="s">
        <v>235</v>
      </c>
      <c r="D44" s="15" t="s">
        <v>236</v>
      </c>
      <c r="E44" s="15" t="s">
        <v>237</v>
      </c>
      <c r="F44" s="15">
        <v>2018</v>
      </c>
      <c r="G44" s="15" t="s">
        <v>238</v>
      </c>
      <c r="H44" s="15">
        <v>1</v>
      </c>
      <c r="I44" s="15" t="s">
        <v>45</v>
      </c>
      <c r="J44" s="15" t="s">
        <v>33</v>
      </c>
      <c r="K44" s="32"/>
      <c r="L44" s="15">
        <v>240</v>
      </c>
      <c r="M44" s="15">
        <v>1</v>
      </c>
      <c r="N44" s="18">
        <v>42</v>
      </c>
      <c r="O44" s="18">
        <f>N44*L44</f>
        <v>10080</v>
      </c>
      <c r="P44" s="15"/>
      <c r="Q44" s="15">
        <v>5</v>
      </c>
      <c r="R44" s="15">
        <v>5</v>
      </c>
      <c r="S44" s="18" t="s">
        <v>71</v>
      </c>
      <c r="T44" s="35">
        <v>51.4</v>
      </c>
      <c r="U44" s="36" t="s">
        <v>65</v>
      </c>
      <c r="V44" s="34" t="s">
        <v>191</v>
      </c>
      <c r="W44" s="34"/>
      <c r="X44" s="35">
        <v>9.39</v>
      </c>
      <c r="Z44" s="7">
        <v>83.3</v>
      </c>
      <c r="AA44" s="13" t="s">
        <v>65</v>
      </c>
      <c r="AB44" s="12" t="s">
        <v>191</v>
      </c>
      <c r="AD44" s="11">
        <v>24.21</v>
      </c>
    </row>
    <row r="45" spans="1:30" x14ac:dyDescent="0.25">
      <c r="A45" s="15">
        <v>5329</v>
      </c>
      <c r="B45" s="15"/>
      <c r="C45" s="15" t="s">
        <v>239</v>
      </c>
      <c r="D45" s="15" t="s">
        <v>240</v>
      </c>
      <c r="E45" s="15" t="s">
        <v>241</v>
      </c>
      <c r="F45" s="15">
        <v>2024</v>
      </c>
      <c r="G45" s="15" t="s">
        <v>242</v>
      </c>
      <c r="H45" s="15">
        <v>1</v>
      </c>
      <c r="I45" s="15" t="s">
        <v>32</v>
      </c>
      <c r="J45" s="15" t="s">
        <v>33</v>
      </c>
      <c r="K45" s="32"/>
      <c r="L45" s="15">
        <v>120</v>
      </c>
      <c r="M45" s="15">
        <v>1</v>
      </c>
      <c r="N45" s="18">
        <v>10</v>
      </c>
      <c r="O45" s="18">
        <f>L45*M45*N45</f>
        <v>1200</v>
      </c>
      <c r="P45" s="15"/>
      <c r="Q45" s="15">
        <v>5</v>
      </c>
      <c r="R45" s="15">
        <v>5</v>
      </c>
      <c r="S45" s="33"/>
      <c r="T45" s="33"/>
      <c r="U45" s="33"/>
      <c r="V45" s="38"/>
      <c r="W45" s="38"/>
      <c r="X45" s="33"/>
      <c r="Z45" s="14"/>
      <c r="AA45" s="14"/>
      <c r="AB45" s="16"/>
      <c r="AC45" s="16"/>
      <c r="AD45" s="14"/>
    </row>
    <row r="46" spans="1:30" x14ac:dyDescent="0.25">
      <c r="A46" s="15">
        <v>5365</v>
      </c>
      <c r="B46" s="15">
        <v>27916420</v>
      </c>
      <c r="C46" s="15" t="s">
        <v>243</v>
      </c>
      <c r="D46" s="15" t="s">
        <v>244</v>
      </c>
      <c r="E46" s="15" t="s">
        <v>245</v>
      </c>
      <c r="F46" s="15">
        <v>2017</v>
      </c>
      <c r="G46" s="15" t="s">
        <v>246</v>
      </c>
      <c r="H46" s="15">
        <v>1</v>
      </c>
      <c r="I46" s="15" t="s">
        <v>45</v>
      </c>
      <c r="J46" s="15" t="s">
        <v>33</v>
      </c>
      <c r="K46" s="32"/>
      <c r="L46" s="15">
        <v>240</v>
      </c>
      <c r="M46" s="15">
        <v>1</v>
      </c>
      <c r="N46" s="18">
        <v>42</v>
      </c>
      <c r="O46" s="18">
        <f>N46*L46</f>
        <v>10080</v>
      </c>
      <c r="P46" s="15"/>
      <c r="Q46" s="33" t="s">
        <v>143</v>
      </c>
      <c r="R46" s="33"/>
      <c r="S46" s="18" t="s">
        <v>71</v>
      </c>
      <c r="T46" s="19">
        <v>52</v>
      </c>
      <c r="U46" s="19">
        <v>3</v>
      </c>
      <c r="V46" s="32">
        <v>12</v>
      </c>
      <c r="W46" s="32">
        <v>12</v>
      </c>
      <c r="X46" s="35">
        <f>U46*(SQRT(W46))</f>
        <v>10.392304845413264</v>
      </c>
      <c r="Y46"/>
      <c r="Z46" s="7">
        <v>83</v>
      </c>
      <c r="AA46" s="7">
        <v>7</v>
      </c>
      <c r="AB46" s="2">
        <v>12</v>
      </c>
      <c r="AC46" s="2">
        <v>12</v>
      </c>
      <c r="AD46" s="11">
        <f>AA46*(SQRT(AC46))</f>
        <v>24.248711305964282</v>
      </c>
    </row>
    <row r="47" spans="1:30" x14ac:dyDescent="0.25">
      <c r="A47" s="37">
        <v>5419</v>
      </c>
      <c r="B47" s="37">
        <v>36450831</v>
      </c>
      <c r="C47" s="37" t="s">
        <v>247</v>
      </c>
      <c r="D47" s="37" t="s">
        <v>248</v>
      </c>
      <c r="E47" s="37" t="s">
        <v>121</v>
      </c>
      <c r="F47" s="37">
        <v>2023</v>
      </c>
      <c r="G47" s="37" t="s">
        <v>249</v>
      </c>
      <c r="H47" s="37">
        <v>1</v>
      </c>
      <c r="I47" s="15" t="s">
        <v>32</v>
      </c>
      <c r="J47" s="37" t="s">
        <v>33</v>
      </c>
      <c r="K47" s="32" t="s">
        <v>40</v>
      </c>
      <c r="L47" s="15">
        <v>150</v>
      </c>
      <c r="M47" s="15">
        <v>1</v>
      </c>
      <c r="N47" s="18">
        <v>14</v>
      </c>
      <c r="O47" s="18">
        <f>N47*L47</f>
        <v>2100</v>
      </c>
      <c r="P47" s="15"/>
      <c r="Q47" s="15">
        <v>6</v>
      </c>
      <c r="R47" s="15">
        <v>6</v>
      </c>
      <c r="S47" s="33"/>
      <c r="T47" s="33"/>
      <c r="U47" s="33"/>
      <c r="V47" s="38"/>
      <c r="W47" s="38"/>
      <c r="X47" s="33"/>
      <c r="Z47" s="14"/>
      <c r="AA47" s="14"/>
      <c r="AB47" s="16"/>
      <c r="AC47" s="16"/>
      <c r="AD47" s="14"/>
    </row>
    <row r="48" spans="1:30" x14ac:dyDescent="0.25">
      <c r="A48" s="37">
        <v>5419</v>
      </c>
      <c r="B48" s="37">
        <v>36450831</v>
      </c>
      <c r="C48" s="37" t="s">
        <v>247</v>
      </c>
      <c r="D48" s="37" t="s">
        <v>248</v>
      </c>
      <c r="E48" s="37" t="s">
        <v>121</v>
      </c>
      <c r="F48" s="37">
        <v>2023</v>
      </c>
      <c r="G48" s="37" t="s">
        <v>249</v>
      </c>
      <c r="H48" s="37">
        <v>1</v>
      </c>
      <c r="I48" s="15" t="s">
        <v>32</v>
      </c>
      <c r="J48" s="37" t="s">
        <v>91</v>
      </c>
      <c r="K48" s="32" t="s">
        <v>40</v>
      </c>
      <c r="L48" s="15">
        <v>150</v>
      </c>
      <c r="M48" s="15">
        <v>1</v>
      </c>
      <c r="N48" s="18">
        <v>14</v>
      </c>
      <c r="O48" s="18">
        <f>N48*L48</f>
        <v>2100</v>
      </c>
      <c r="P48" s="15"/>
      <c r="Q48" s="15">
        <v>6</v>
      </c>
      <c r="R48" s="15">
        <v>6</v>
      </c>
      <c r="S48" s="33"/>
      <c r="T48" s="33"/>
      <c r="U48" s="33"/>
      <c r="V48" s="38"/>
      <c r="W48" s="38"/>
      <c r="X48" s="33"/>
      <c r="Z48" s="14"/>
      <c r="AA48" s="14"/>
      <c r="AB48" s="16"/>
      <c r="AC48" s="16"/>
      <c r="AD48" s="14"/>
    </row>
    <row r="49" spans="1:30" x14ac:dyDescent="0.25">
      <c r="A49" s="15">
        <v>5437</v>
      </c>
      <c r="B49" s="15">
        <v>40596094</v>
      </c>
      <c r="C49" s="15" t="s">
        <v>250</v>
      </c>
      <c r="D49" s="15" t="s">
        <v>251</v>
      </c>
      <c r="E49" s="15" t="s">
        <v>162</v>
      </c>
      <c r="F49" s="15">
        <v>2025</v>
      </c>
      <c r="G49" s="15" t="s">
        <v>252</v>
      </c>
      <c r="H49" s="15">
        <v>1</v>
      </c>
      <c r="I49" s="15" t="s">
        <v>32</v>
      </c>
      <c r="J49" s="15" t="s">
        <v>33</v>
      </c>
      <c r="K49" s="32" t="s">
        <v>253</v>
      </c>
      <c r="L49" s="15">
        <v>150</v>
      </c>
      <c r="M49" s="15">
        <v>1</v>
      </c>
      <c r="N49" s="18">
        <v>35</v>
      </c>
      <c r="O49" s="18">
        <f>L49*M49*N49</f>
        <v>5250</v>
      </c>
      <c r="P49" s="15" t="s">
        <v>254</v>
      </c>
      <c r="Q49" s="15">
        <v>5</v>
      </c>
      <c r="R49" s="15">
        <v>5</v>
      </c>
      <c r="S49" s="18" t="s">
        <v>53</v>
      </c>
      <c r="T49" s="15">
        <v>5.6</v>
      </c>
      <c r="U49" s="15">
        <v>1.3</v>
      </c>
      <c r="V49" s="34" t="s">
        <v>159</v>
      </c>
      <c r="W49" s="34" t="s">
        <v>159</v>
      </c>
      <c r="X49" s="35">
        <f>U49*(SQRT(W49))</f>
        <v>3.1843366656181313</v>
      </c>
      <c r="Z49" s="7">
        <v>18</v>
      </c>
      <c r="AA49" s="7">
        <v>2.4</v>
      </c>
      <c r="AB49" s="34" t="s">
        <v>159</v>
      </c>
      <c r="AC49" s="34" t="s">
        <v>159</v>
      </c>
      <c r="AD49" s="35">
        <f>AA49*(SQRT(AC49))</f>
        <v>5.8787753826796267</v>
      </c>
    </row>
    <row r="50" spans="1:30" x14ac:dyDescent="0.25">
      <c r="A50" s="15">
        <v>5446</v>
      </c>
      <c r="B50" s="15"/>
      <c r="C50" s="15" t="s">
        <v>255</v>
      </c>
      <c r="D50" s="15" t="s">
        <v>256</v>
      </c>
      <c r="E50" s="15" t="s">
        <v>257</v>
      </c>
      <c r="F50" s="15">
        <v>2022</v>
      </c>
      <c r="G50" s="15" t="s">
        <v>258</v>
      </c>
      <c r="H50" s="15">
        <v>1</v>
      </c>
      <c r="I50" s="15" t="s">
        <v>45</v>
      </c>
      <c r="J50" s="15" t="s">
        <v>33</v>
      </c>
      <c r="K50" s="32" t="s">
        <v>158</v>
      </c>
      <c r="L50" s="15">
        <v>360</v>
      </c>
      <c r="M50" s="15">
        <v>1</v>
      </c>
      <c r="N50" s="18">
        <v>28</v>
      </c>
      <c r="O50" s="18">
        <f>L50*M50*N50</f>
        <v>10080</v>
      </c>
      <c r="P50" s="15"/>
      <c r="Q50" s="15">
        <v>5</v>
      </c>
      <c r="R50" s="15">
        <v>5</v>
      </c>
      <c r="S50" s="18" t="s">
        <v>118</v>
      </c>
      <c r="T50" s="15">
        <v>50</v>
      </c>
      <c r="U50" s="36" t="s">
        <v>65</v>
      </c>
      <c r="V50" s="34" t="s">
        <v>259</v>
      </c>
      <c r="W50" s="34"/>
      <c r="X50" s="19">
        <v>21</v>
      </c>
      <c r="Z50" s="7">
        <v>132</v>
      </c>
      <c r="AA50" s="36" t="s">
        <v>65</v>
      </c>
      <c r="AB50" s="34" t="s">
        <v>259</v>
      </c>
      <c r="AD50" s="7">
        <v>28</v>
      </c>
    </row>
    <row r="51" spans="1:30" x14ac:dyDescent="0.25">
      <c r="A51" s="15">
        <v>5610</v>
      </c>
      <c r="B51" s="15"/>
      <c r="C51" s="40" t="s">
        <v>260</v>
      </c>
      <c r="D51" s="40" t="s">
        <v>261</v>
      </c>
      <c r="E51" s="40" t="s">
        <v>262</v>
      </c>
      <c r="F51" s="40">
        <v>2025</v>
      </c>
      <c r="G51" s="41" t="s">
        <v>263</v>
      </c>
      <c r="H51" s="15">
        <v>1</v>
      </c>
      <c r="I51" s="15" t="s">
        <v>45</v>
      </c>
      <c r="J51" s="15" t="s">
        <v>33</v>
      </c>
      <c r="K51" s="32"/>
      <c r="L51" s="15">
        <v>480</v>
      </c>
      <c r="M51" s="15">
        <v>1</v>
      </c>
      <c r="N51" s="18">
        <v>14</v>
      </c>
      <c r="O51" s="18">
        <f>L51*M51*N51</f>
        <v>6720</v>
      </c>
      <c r="P51" s="15"/>
      <c r="Q51" s="15">
        <v>6</v>
      </c>
      <c r="R51" s="15">
        <v>6</v>
      </c>
      <c r="S51" s="18" t="s">
        <v>264</v>
      </c>
      <c r="T51" s="15">
        <v>151</v>
      </c>
      <c r="U51" s="15">
        <v>11</v>
      </c>
      <c r="V51" s="34">
        <v>8</v>
      </c>
      <c r="W51" s="34">
        <v>8</v>
      </c>
      <c r="X51" s="35">
        <f>U51*(SQRT(W51))</f>
        <v>31.112698372208094</v>
      </c>
      <c r="Z51" s="7">
        <v>218</v>
      </c>
      <c r="AA51" s="7">
        <v>9</v>
      </c>
      <c r="AB51" s="34">
        <v>8</v>
      </c>
      <c r="AC51" s="34">
        <v>8</v>
      </c>
      <c r="AD51" s="35">
        <f>AA51*(SQRT(AC51))</f>
        <v>25.455844122715714</v>
      </c>
    </row>
    <row r="52" spans="1:30" x14ac:dyDescent="0.25">
      <c r="A52" s="15">
        <v>5623</v>
      </c>
      <c r="B52" s="15">
        <v>36100011</v>
      </c>
      <c r="C52" s="15" t="s">
        <v>265</v>
      </c>
      <c r="D52" s="15" t="s">
        <v>266</v>
      </c>
      <c r="E52" s="15" t="s">
        <v>267</v>
      </c>
      <c r="F52" s="15">
        <v>2023</v>
      </c>
      <c r="G52" s="15" t="s">
        <v>268</v>
      </c>
      <c r="H52" s="15">
        <v>1</v>
      </c>
      <c r="I52" s="15" t="s">
        <v>32</v>
      </c>
      <c r="J52" s="15" t="s">
        <v>33</v>
      </c>
      <c r="K52" s="32">
        <v>6</v>
      </c>
      <c r="L52" s="15">
        <v>360</v>
      </c>
      <c r="M52" s="15">
        <v>1</v>
      </c>
      <c r="N52" s="18">
        <v>21</v>
      </c>
      <c r="O52" s="18">
        <f>N52*L52</f>
        <v>7560</v>
      </c>
      <c r="P52" s="15"/>
      <c r="Q52" s="15">
        <v>6</v>
      </c>
      <c r="R52" s="15">
        <v>6</v>
      </c>
      <c r="S52" s="18" t="s">
        <v>269</v>
      </c>
      <c r="T52" s="19">
        <v>19</v>
      </c>
      <c r="U52" s="19">
        <v>5</v>
      </c>
      <c r="V52" s="34" t="s">
        <v>159</v>
      </c>
      <c r="W52" s="34" t="s">
        <v>159</v>
      </c>
      <c r="X52" s="35">
        <f>U52*(SQRT(W52))</f>
        <v>12.24744871391589</v>
      </c>
      <c r="Z52" s="7">
        <v>18</v>
      </c>
      <c r="AA52" s="7">
        <v>4</v>
      </c>
      <c r="AB52" s="12" t="s">
        <v>159</v>
      </c>
      <c r="AC52" s="12" t="s">
        <v>159</v>
      </c>
      <c r="AD52" s="11">
        <f>AA52*(SQRT(AC52))</f>
        <v>9.7979589711327115</v>
      </c>
    </row>
    <row r="53" spans="1:30" x14ac:dyDescent="0.25">
      <c r="A53" s="15">
        <v>5627</v>
      </c>
      <c r="B53" s="15"/>
      <c r="C53" s="15" t="s">
        <v>270</v>
      </c>
      <c r="D53" s="15" t="s">
        <v>271</v>
      </c>
      <c r="E53" s="15" t="s">
        <v>272</v>
      </c>
      <c r="F53" s="15">
        <v>2019</v>
      </c>
      <c r="G53" s="15" t="s">
        <v>273</v>
      </c>
      <c r="H53" s="15">
        <v>1</v>
      </c>
      <c r="I53" s="15" t="s">
        <v>45</v>
      </c>
      <c r="J53" s="15" t="s">
        <v>33</v>
      </c>
      <c r="K53" s="32" t="s">
        <v>40</v>
      </c>
      <c r="L53" s="15">
        <v>360</v>
      </c>
      <c r="M53" s="15">
        <v>1</v>
      </c>
      <c r="N53" s="18">
        <v>21</v>
      </c>
      <c r="O53" s="18">
        <f>L53*M53*N53</f>
        <v>7560</v>
      </c>
      <c r="P53" s="15"/>
      <c r="Q53" s="15">
        <v>20</v>
      </c>
      <c r="R53" s="15">
        <v>5</v>
      </c>
      <c r="S53" s="18" t="s">
        <v>274</v>
      </c>
      <c r="T53" s="15">
        <v>96</v>
      </c>
      <c r="U53" s="15">
        <v>11</v>
      </c>
      <c r="V53" s="12" t="s">
        <v>78</v>
      </c>
      <c r="W53" s="12" t="s">
        <v>78</v>
      </c>
      <c r="X53" s="35">
        <f>U53*(SQRT(W53))</f>
        <v>38.105117766515299</v>
      </c>
      <c r="Z53" s="7">
        <v>281</v>
      </c>
      <c r="AA53" s="7">
        <v>24</v>
      </c>
      <c r="AB53" s="12" t="s">
        <v>78</v>
      </c>
      <c r="AC53" s="12" t="s">
        <v>78</v>
      </c>
      <c r="AD53" s="35">
        <f>AA53*(SQRT(AC53))</f>
        <v>83.138438763306112</v>
      </c>
    </row>
    <row r="54" spans="1:30" x14ac:dyDescent="0.25">
      <c r="A54" s="15">
        <v>5687</v>
      </c>
      <c r="B54" s="15"/>
      <c r="C54" s="15" t="s">
        <v>275</v>
      </c>
      <c r="D54" s="15" t="s">
        <v>276</v>
      </c>
      <c r="E54" s="15" t="s">
        <v>277</v>
      </c>
      <c r="F54" s="15">
        <v>2022</v>
      </c>
      <c r="G54" s="15" t="s">
        <v>278</v>
      </c>
      <c r="H54" s="15">
        <v>1</v>
      </c>
      <c r="I54" s="15" t="s">
        <v>32</v>
      </c>
      <c r="J54" s="15" t="s">
        <v>91</v>
      </c>
      <c r="K54" s="32" t="s">
        <v>78</v>
      </c>
      <c r="L54" s="15">
        <v>450</v>
      </c>
      <c r="M54" s="15">
        <v>1</v>
      </c>
      <c r="N54" s="18">
        <v>21</v>
      </c>
      <c r="O54" s="18">
        <f>L54*M54*N54</f>
        <v>9450</v>
      </c>
      <c r="P54" s="15" t="s">
        <v>279</v>
      </c>
      <c r="Q54" s="15">
        <v>6</v>
      </c>
      <c r="R54" s="15">
        <v>4</v>
      </c>
      <c r="S54" s="18" t="s">
        <v>106</v>
      </c>
      <c r="T54" s="33"/>
      <c r="U54" s="33"/>
      <c r="V54" s="38"/>
      <c r="W54" s="38"/>
      <c r="X54" s="33"/>
      <c r="Z54" s="14"/>
      <c r="AA54" s="14"/>
      <c r="AB54" s="16"/>
      <c r="AC54" s="16"/>
      <c r="AD54" s="14"/>
    </row>
    <row r="55" spans="1:30" x14ac:dyDescent="0.25">
      <c r="A55" s="15">
        <v>5699</v>
      </c>
      <c r="B55" s="15">
        <v>29175030</v>
      </c>
      <c r="C55" s="15" t="s">
        <v>280</v>
      </c>
      <c r="D55" s="15" t="s">
        <v>281</v>
      </c>
      <c r="E55" s="15" t="s">
        <v>282</v>
      </c>
      <c r="F55" s="15">
        <v>2018</v>
      </c>
      <c r="G55" s="15" t="s">
        <v>283</v>
      </c>
      <c r="H55" s="15">
        <v>1</v>
      </c>
      <c r="I55" s="15" t="s">
        <v>45</v>
      </c>
      <c r="J55" s="15" t="s">
        <v>33</v>
      </c>
      <c r="K55" s="32"/>
      <c r="L55" s="15">
        <v>360</v>
      </c>
      <c r="M55" s="15">
        <v>1</v>
      </c>
      <c r="N55" s="18">
        <v>35</v>
      </c>
      <c r="O55" s="18">
        <f>N55*L55</f>
        <v>12600</v>
      </c>
      <c r="P55" s="15"/>
      <c r="Q55" s="15">
        <v>5</v>
      </c>
      <c r="R55" s="15">
        <v>5</v>
      </c>
      <c r="S55" s="18">
        <v>3</v>
      </c>
      <c r="T55" s="19">
        <v>56</v>
      </c>
      <c r="U55" s="36" t="s">
        <v>65</v>
      </c>
      <c r="V55" s="34" t="s">
        <v>40</v>
      </c>
      <c r="W55" s="34"/>
      <c r="X55" s="35">
        <v>12</v>
      </c>
      <c r="Y55" s="3"/>
      <c r="Z55" s="3">
        <v>136</v>
      </c>
      <c r="AA55" s="13" t="s">
        <v>65</v>
      </c>
      <c r="AB55" s="2">
        <v>8</v>
      </c>
      <c r="AC55" s="2"/>
      <c r="AD55" s="11">
        <v>30</v>
      </c>
    </row>
    <row r="56" spans="1:30" x14ac:dyDescent="0.25">
      <c r="A56" s="15">
        <v>5748</v>
      </c>
      <c r="B56" s="15"/>
      <c r="C56" s="15" t="s">
        <v>284</v>
      </c>
      <c r="D56" s="15" t="s">
        <v>285</v>
      </c>
      <c r="E56" s="15" t="s">
        <v>286</v>
      </c>
      <c r="F56" s="15">
        <v>2021</v>
      </c>
      <c r="G56" s="15" t="s">
        <v>287</v>
      </c>
      <c r="H56" s="15">
        <v>1</v>
      </c>
      <c r="I56" s="15" t="s">
        <v>45</v>
      </c>
      <c r="J56" s="15" t="s">
        <v>33</v>
      </c>
      <c r="K56" s="32"/>
      <c r="L56" s="15">
        <v>360</v>
      </c>
      <c r="M56" s="15">
        <v>1</v>
      </c>
      <c r="N56" s="18">
        <v>21</v>
      </c>
      <c r="O56" s="18">
        <f>L56*M56*N56</f>
        <v>7560</v>
      </c>
      <c r="P56" s="15"/>
      <c r="Q56" s="15">
        <v>5</v>
      </c>
      <c r="R56" s="15">
        <v>5</v>
      </c>
      <c r="S56" s="18" t="s">
        <v>288</v>
      </c>
      <c r="T56" s="15">
        <v>50</v>
      </c>
      <c r="U56" s="15">
        <v>7</v>
      </c>
      <c r="V56" s="34" t="s">
        <v>47</v>
      </c>
      <c r="W56" s="34" t="s">
        <v>47</v>
      </c>
      <c r="X56" s="35">
        <f>U56*(SQRT(W56))</f>
        <v>15.652475842498529</v>
      </c>
      <c r="Z56" s="7">
        <v>154</v>
      </c>
      <c r="AA56" s="7">
        <v>10</v>
      </c>
      <c r="AB56" s="34" t="s">
        <v>47</v>
      </c>
      <c r="AC56" s="34" t="s">
        <v>47</v>
      </c>
      <c r="AD56" s="35">
        <f>AA56*(SQRT(AC56))</f>
        <v>22.360679774997898</v>
      </c>
    </row>
    <row r="57" spans="1:30" x14ac:dyDescent="0.25">
      <c r="A57" s="15">
        <v>5898</v>
      </c>
      <c r="B57" s="15"/>
      <c r="C57" s="40" t="s">
        <v>289</v>
      </c>
      <c r="D57" s="40" t="s">
        <v>290</v>
      </c>
      <c r="E57" s="40" t="s">
        <v>291</v>
      </c>
      <c r="F57" s="40">
        <v>2018</v>
      </c>
      <c r="G57" s="41" t="s">
        <v>292</v>
      </c>
      <c r="H57" s="15">
        <v>1</v>
      </c>
      <c r="I57" s="15" t="s">
        <v>45</v>
      </c>
      <c r="J57" s="15" t="s">
        <v>33</v>
      </c>
      <c r="K57" s="32"/>
      <c r="L57" s="15">
        <v>240</v>
      </c>
      <c r="M57" s="15">
        <v>1</v>
      </c>
      <c r="N57" s="18">
        <v>42</v>
      </c>
      <c r="O57" s="18">
        <f>L57*M57*N57</f>
        <v>10080</v>
      </c>
      <c r="P57" s="15"/>
      <c r="Q57" s="15">
        <v>5</v>
      </c>
      <c r="R57" s="15">
        <v>5</v>
      </c>
      <c r="S57" s="18" t="s">
        <v>71</v>
      </c>
      <c r="T57" s="33"/>
      <c r="U57" s="33"/>
      <c r="V57" s="38"/>
      <c r="W57" s="38"/>
      <c r="X57" s="33"/>
      <c r="Z57" s="14"/>
      <c r="AA57" s="14"/>
      <c r="AB57" s="16"/>
      <c r="AC57" s="16"/>
      <c r="AD57" s="14"/>
    </row>
    <row r="58" spans="1:30" x14ac:dyDescent="0.25">
      <c r="A58" s="37">
        <v>5993</v>
      </c>
      <c r="B58" s="37">
        <v>41113223</v>
      </c>
      <c r="C58" s="37" t="s">
        <v>293</v>
      </c>
      <c r="D58" s="37" t="s">
        <v>294</v>
      </c>
      <c r="E58" s="37" t="s">
        <v>295</v>
      </c>
      <c r="F58" s="37">
        <v>2025</v>
      </c>
      <c r="G58" s="37" t="s">
        <v>296</v>
      </c>
      <c r="H58" s="37">
        <v>1</v>
      </c>
      <c r="I58" s="15" t="s">
        <v>45</v>
      </c>
      <c r="J58" s="15" t="s">
        <v>33</v>
      </c>
      <c r="K58" s="32" t="s">
        <v>55</v>
      </c>
      <c r="L58" s="15">
        <v>180</v>
      </c>
      <c r="M58" s="15">
        <v>1</v>
      </c>
      <c r="N58" s="51">
        <v>7</v>
      </c>
      <c r="O58" s="18">
        <f>L58*M58*N58</f>
        <v>1260</v>
      </c>
      <c r="P58" s="15"/>
      <c r="Q58" s="15">
        <v>5</v>
      </c>
      <c r="R58" s="15">
        <v>5</v>
      </c>
      <c r="S58" s="18">
        <v>3</v>
      </c>
      <c r="T58" s="15">
        <v>59</v>
      </c>
      <c r="U58" s="15">
        <v>14</v>
      </c>
      <c r="V58" s="34">
        <v>10</v>
      </c>
      <c r="W58" s="34">
        <v>10</v>
      </c>
      <c r="X58" s="35">
        <f>U58*(SQRT(W58))</f>
        <v>44.271887242357316</v>
      </c>
      <c r="Z58" s="7">
        <v>146</v>
      </c>
      <c r="AA58" s="7">
        <v>28</v>
      </c>
      <c r="AB58" s="34">
        <v>10</v>
      </c>
      <c r="AC58" s="34">
        <v>10</v>
      </c>
      <c r="AD58" s="35">
        <f>AA58*(SQRT(AC58))</f>
        <v>88.543774484714632</v>
      </c>
    </row>
    <row r="59" spans="1:30" x14ac:dyDescent="0.25">
      <c r="A59" s="37">
        <v>5993</v>
      </c>
      <c r="B59" s="37">
        <v>41113223</v>
      </c>
      <c r="C59" s="37" t="s">
        <v>293</v>
      </c>
      <c r="D59" s="37" t="s">
        <v>294</v>
      </c>
      <c r="E59" s="37" t="s">
        <v>295</v>
      </c>
      <c r="F59" s="37">
        <v>2025</v>
      </c>
      <c r="G59" s="37" t="s">
        <v>296</v>
      </c>
      <c r="H59" s="37">
        <v>1</v>
      </c>
      <c r="I59" s="15" t="s">
        <v>45</v>
      </c>
      <c r="J59" s="15" t="s">
        <v>33</v>
      </c>
      <c r="K59" s="32" t="s">
        <v>55</v>
      </c>
      <c r="L59" s="15">
        <v>180</v>
      </c>
      <c r="M59" s="15">
        <v>1</v>
      </c>
      <c r="N59" s="51">
        <v>14</v>
      </c>
      <c r="O59" s="18">
        <f>L59*M59*N59</f>
        <v>2520</v>
      </c>
      <c r="P59" s="15"/>
      <c r="Q59" s="15" t="s">
        <v>143</v>
      </c>
      <c r="R59" s="15"/>
      <c r="S59" s="18"/>
      <c r="T59" s="15">
        <v>59</v>
      </c>
      <c r="U59" s="15">
        <v>14</v>
      </c>
      <c r="V59" s="34">
        <v>10</v>
      </c>
      <c r="W59" s="34">
        <v>10</v>
      </c>
      <c r="X59" s="35">
        <f t="shared" ref="X59:X60" si="2">U59*(SQRT(W59))</f>
        <v>44.271887242357316</v>
      </c>
      <c r="Z59" s="7">
        <v>140</v>
      </c>
      <c r="AA59" s="7">
        <v>24</v>
      </c>
      <c r="AB59" s="34">
        <v>10</v>
      </c>
      <c r="AC59" s="34">
        <v>10</v>
      </c>
      <c r="AD59" s="35">
        <f t="shared" ref="AD59:AD60" si="3">AA59*(SQRT(AC59))</f>
        <v>75.894663844041105</v>
      </c>
    </row>
    <row r="60" spans="1:30" x14ac:dyDescent="0.25">
      <c r="A60" s="37">
        <v>5993</v>
      </c>
      <c r="B60" s="37">
        <v>41113223</v>
      </c>
      <c r="C60" s="37" t="s">
        <v>293</v>
      </c>
      <c r="D60" s="37" t="s">
        <v>294</v>
      </c>
      <c r="E60" s="37" t="s">
        <v>295</v>
      </c>
      <c r="F60" s="37">
        <v>2025</v>
      </c>
      <c r="G60" s="37" t="s">
        <v>296</v>
      </c>
      <c r="H60" s="37">
        <v>1</v>
      </c>
      <c r="I60" s="15" t="s">
        <v>45</v>
      </c>
      <c r="J60" s="15" t="s">
        <v>33</v>
      </c>
      <c r="K60" s="32" t="s">
        <v>55</v>
      </c>
      <c r="L60" s="15">
        <v>180</v>
      </c>
      <c r="M60" s="15">
        <v>1</v>
      </c>
      <c r="N60" s="51">
        <v>28</v>
      </c>
      <c r="O60" s="18">
        <f>L60*M60*N60</f>
        <v>5040</v>
      </c>
      <c r="P60" s="15"/>
      <c r="Q60" s="15" t="s">
        <v>143</v>
      </c>
      <c r="R60" s="15"/>
      <c r="S60" s="18"/>
      <c r="T60" s="15">
        <v>59</v>
      </c>
      <c r="U60" s="15">
        <v>14</v>
      </c>
      <c r="V60" s="34">
        <v>10</v>
      </c>
      <c r="W60" s="34">
        <v>10</v>
      </c>
      <c r="X60" s="35">
        <f t="shared" si="2"/>
        <v>44.271887242357316</v>
      </c>
      <c r="Z60" s="7">
        <v>193</v>
      </c>
      <c r="AA60" s="7">
        <v>26</v>
      </c>
      <c r="AB60" s="34">
        <v>10</v>
      </c>
      <c r="AC60" s="34">
        <v>10</v>
      </c>
      <c r="AD60" s="35">
        <f t="shared" si="3"/>
        <v>82.219219164377861</v>
      </c>
    </row>
    <row r="61" spans="1:30" x14ac:dyDescent="0.25">
      <c r="A61" s="15">
        <v>6013</v>
      </c>
      <c r="B61" s="15">
        <v>34052298</v>
      </c>
      <c r="C61" s="15" t="s">
        <v>297</v>
      </c>
      <c r="D61" s="15" t="s">
        <v>298</v>
      </c>
      <c r="E61" s="15" t="s">
        <v>299</v>
      </c>
      <c r="F61" s="15">
        <v>2021</v>
      </c>
      <c r="G61" s="15" t="s">
        <v>300</v>
      </c>
      <c r="H61" s="15">
        <v>1</v>
      </c>
      <c r="I61" s="15" t="s">
        <v>32</v>
      </c>
      <c r="J61" s="15" t="s">
        <v>33</v>
      </c>
      <c r="K61" s="32"/>
      <c r="L61" s="15">
        <v>360</v>
      </c>
      <c r="M61" s="15">
        <v>1</v>
      </c>
      <c r="N61" s="18">
        <v>21</v>
      </c>
      <c r="O61" s="18">
        <f>N61*L61</f>
        <v>7560</v>
      </c>
      <c r="P61" s="15"/>
      <c r="Q61" s="15">
        <v>20</v>
      </c>
      <c r="R61" s="15">
        <v>5</v>
      </c>
      <c r="S61" s="18">
        <v>7</v>
      </c>
      <c r="T61" s="19">
        <v>43</v>
      </c>
      <c r="U61" s="19">
        <v>11</v>
      </c>
      <c r="V61" s="34" t="s">
        <v>159</v>
      </c>
      <c r="W61" s="34" t="s">
        <v>159</v>
      </c>
      <c r="X61" s="35">
        <f>U61*(SQRT(W61))</f>
        <v>26.944387170614956</v>
      </c>
      <c r="Z61" s="7">
        <v>99</v>
      </c>
      <c r="AA61" s="7">
        <v>4</v>
      </c>
      <c r="AB61" s="12" t="s">
        <v>159</v>
      </c>
      <c r="AC61" s="12" t="s">
        <v>159</v>
      </c>
      <c r="AD61" s="11">
        <f>AA61*(SQRT(AC61))</f>
        <v>9.7979589711327115</v>
      </c>
    </row>
    <row r="62" spans="1:30" x14ac:dyDescent="0.25">
      <c r="A62" s="15">
        <v>6184</v>
      </c>
      <c r="B62" s="15">
        <v>35230663</v>
      </c>
      <c r="C62" s="15" t="s">
        <v>301</v>
      </c>
      <c r="D62" s="15" t="s">
        <v>302</v>
      </c>
      <c r="E62" s="15" t="s">
        <v>214</v>
      </c>
      <c r="F62" s="15">
        <v>2022</v>
      </c>
      <c r="G62" s="15" t="s">
        <v>303</v>
      </c>
      <c r="H62" s="15">
        <v>1</v>
      </c>
      <c r="I62" s="15" t="s">
        <v>32</v>
      </c>
      <c r="J62" s="15" t="s">
        <v>33</v>
      </c>
      <c r="K62" s="32"/>
      <c r="L62" s="15">
        <v>240</v>
      </c>
      <c r="M62" s="15">
        <v>1</v>
      </c>
      <c r="N62" s="18">
        <v>28</v>
      </c>
      <c r="O62" s="18">
        <f>N62*L62</f>
        <v>6720</v>
      </c>
      <c r="P62" s="15"/>
      <c r="Q62" s="15">
        <v>5</v>
      </c>
      <c r="R62" s="15">
        <v>5</v>
      </c>
      <c r="S62" s="34" t="s">
        <v>118</v>
      </c>
      <c r="T62" s="36">
        <v>50</v>
      </c>
      <c r="U62" s="36" t="s">
        <v>65</v>
      </c>
      <c r="V62" s="34" t="s">
        <v>304</v>
      </c>
      <c r="W62" s="34"/>
      <c r="X62" s="35">
        <v>4</v>
      </c>
      <c r="Z62" s="13">
        <v>68</v>
      </c>
      <c r="AA62" s="13" t="s">
        <v>65</v>
      </c>
      <c r="AB62" s="12" t="s">
        <v>304</v>
      </c>
      <c r="AD62" s="11">
        <v>5</v>
      </c>
    </row>
    <row r="63" spans="1:30" x14ac:dyDescent="0.25">
      <c r="A63" s="37">
        <v>6233</v>
      </c>
      <c r="B63" s="37"/>
      <c r="C63" s="43" t="s">
        <v>305</v>
      </c>
      <c r="D63" s="43" t="s">
        <v>306</v>
      </c>
      <c r="E63" s="43" t="s">
        <v>307</v>
      </c>
      <c r="F63" s="43">
        <v>2024</v>
      </c>
      <c r="G63" s="44" t="s">
        <v>308</v>
      </c>
      <c r="H63" s="37">
        <v>1</v>
      </c>
      <c r="I63" s="15" t="s">
        <v>45</v>
      </c>
      <c r="J63" s="37" t="s">
        <v>33</v>
      </c>
      <c r="K63" s="32" t="s">
        <v>159</v>
      </c>
      <c r="L63" s="15">
        <v>360</v>
      </c>
      <c r="M63" s="15">
        <v>1</v>
      </c>
      <c r="N63" s="18">
        <v>21</v>
      </c>
      <c r="O63" s="18">
        <f>L63*M63*N63</f>
        <v>7560</v>
      </c>
      <c r="P63" s="15"/>
      <c r="Q63" s="33" t="s">
        <v>143</v>
      </c>
      <c r="R63" s="33"/>
      <c r="S63" s="33"/>
      <c r="T63" s="33"/>
      <c r="U63" s="33"/>
      <c r="V63" s="33"/>
      <c r="W63" s="33"/>
      <c r="X63" s="33"/>
      <c r="Z63" s="33"/>
      <c r="AA63" s="33"/>
      <c r="AB63" s="33"/>
      <c r="AC63" s="33"/>
      <c r="AD63" s="33"/>
    </row>
    <row r="64" spans="1:30" x14ac:dyDescent="0.25">
      <c r="A64" s="37">
        <v>6233</v>
      </c>
      <c r="B64" s="37"/>
      <c r="C64" s="43" t="s">
        <v>305</v>
      </c>
      <c r="D64" s="43" t="s">
        <v>306</v>
      </c>
      <c r="E64" s="43" t="s">
        <v>307</v>
      </c>
      <c r="F64" s="43">
        <v>2024</v>
      </c>
      <c r="G64" s="44" t="s">
        <v>308</v>
      </c>
      <c r="H64" s="37">
        <v>1</v>
      </c>
      <c r="I64" s="15" t="s">
        <v>45</v>
      </c>
      <c r="J64" s="37" t="s">
        <v>91</v>
      </c>
      <c r="K64" s="32" t="s">
        <v>159</v>
      </c>
      <c r="L64" s="15">
        <v>360</v>
      </c>
      <c r="M64" s="15">
        <v>1</v>
      </c>
      <c r="N64" s="18">
        <v>21</v>
      </c>
      <c r="O64" s="18">
        <f>L64*M64*N64</f>
        <v>7560</v>
      </c>
      <c r="P64" s="15"/>
      <c r="Q64" s="33" t="s">
        <v>143</v>
      </c>
      <c r="R64" s="33"/>
      <c r="S64" s="33"/>
      <c r="T64" s="33"/>
      <c r="U64" s="33"/>
      <c r="V64" s="33"/>
      <c r="W64" s="33"/>
      <c r="X64" s="33"/>
      <c r="Z64" s="33"/>
      <c r="AA64" s="33"/>
      <c r="AB64" s="33"/>
      <c r="AC64" s="33"/>
      <c r="AD64" s="33"/>
    </row>
    <row r="65" spans="1:30" x14ac:dyDescent="0.25">
      <c r="A65" s="15">
        <v>6269</v>
      </c>
      <c r="B65" s="15">
        <v>37578355</v>
      </c>
      <c r="C65" s="15" t="s">
        <v>309</v>
      </c>
      <c r="D65" s="15" t="s">
        <v>310</v>
      </c>
      <c r="E65" s="15" t="s">
        <v>311</v>
      </c>
      <c r="F65" s="15">
        <v>2023</v>
      </c>
      <c r="G65" s="15" t="s">
        <v>312</v>
      </c>
      <c r="H65" s="15">
        <v>1</v>
      </c>
      <c r="I65" s="15" t="s">
        <v>45</v>
      </c>
      <c r="J65" s="15" t="s">
        <v>33</v>
      </c>
      <c r="K65" s="32">
        <v>7</v>
      </c>
      <c r="L65" s="15">
        <v>120</v>
      </c>
      <c r="M65" s="15">
        <v>1</v>
      </c>
      <c r="N65" s="18">
        <v>10</v>
      </c>
      <c r="O65" s="18">
        <f>N65*L65</f>
        <v>1200</v>
      </c>
      <c r="P65" s="15" t="s">
        <v>164</v>
      </c>
      <c r="Q65" s="15">
        <v>5</v>
      </c>
      <c r="R65" s="15">
        <v>5</v>
      </c>
      <c r="S65" s="18">
        <v>4</v>
      </c>
      <c r="T65" s="19">
        <v>147</v>
      </c>
      <c r="U65" s="19">
        <v>29</v>
      </c>
      <c r="V65" s="32" t="s">
        <v>73</v>
      </c>
      <c r="W65" s="32" t="s">
        <v>73</v>
      </c>
      <c r="X65" s="35">
        <f>U65*(SQRT(W65))</f>
        <v>87</v>
      </c>
      <c r="Z65" s="7">
        <v>234</v>
      </c>
      <c r="AA65" s="7">
        <v>9</v>
      </c>
      <c r="AB65" s="2" t="s">
        <v>73</v>
      </c>
      <c r="AC65" s="2" t="s">
        <v>73</v>
      </c>
      <c r="AD65" s="11">
        <f>AA65*(SQRT(AC65))</f>
        <v>27</v>
      </c>
    </row>
    <row r="66" spans="1:30" x14ac:dyDescent="0.25">
      <c r="A66" s="15">
        <v>6305</v>
      </c>
      <c r="B66" s="15">
        <v>26778944</v>
      </c>
      <c r="C66" s="15" t="s">
        <v>313</v>
      </c>
      <c r="D66" s="15" t="s">
        <v>314</v>
      </c>
      <c r="E66" s="15" t="s">
        <v>315</v>
      </c>
      <c r="F66" s="15">
        <v>2015</v>
      </c>
      <c r="G66" s="15" t="s">
        <v>316</v>
      </c>
      <c r="H66" s="15">
        <v>1</v>
      </c>
      <c r="I66" s="15" t="s">
        <v>32</v>
      </c>
      <c r="J66" s="15" t="s">
        <v>33</v>
      </c>
      <c r="K66" s="32" t="s">
        <v>40</v>
      </c>
      <c r="L66" s="15">
        <v>120</v>
      </c>
      <c r="M66" s="15">
        <v>1</v>
      </c>
      <c r="N66" s="18">
        <v>21</v>
      </c>
      <c r="O66" s="18">
        <f>N66*L66</f>
        <v>2520</v>
      </c>
      <c r="P66" s="15" t="s">
        <v>317</v>
      </c>
      <c r="Q66" s="15">
        <v>5</v>
      </c>
      <c r="R66" s="15">
        <v>5</v>
      </c>
      <c r="S66" s="18" t="s">
        <v>106</v>
      </c>
      <c r="T66" s="19">
        <v>23</v>
      </c>
      <c r="U66" s="19">
        <v>1</v>
      </c>
      <c r="V66" s="34">
        <v>10</v>
      </c>
      <c r="W66" s="34">
        <v>10</v>
      </c>
      <c r="X66" s="35">
        <f>U66*(SQRT(W66))</f>
        <v>3.1622776601683795</v>
      </c>
      <c r="Y66"/>
      <c r="Z66" s="7">
        <v>31</v>
      </c>
      <c r="AA66" s="7">
        <v>1</v>
      </c>
      <c r="AB66" s="12">
        <v>10</v>
      </c>
      <c r="AC66" s="12">
        <v>10</v>
      </c>
      <c r="AD66" s="11">
        <f>AA66*(SQRT(AC66))</f>
        <v>3.1622776601683795</v>
      </c>
    </row>
    <row r="67" spans="1:30" x14ac:dyDescent="0.25">
      <c r="A67" s="15">
        <v>6987</v>
      </c>
      <c r="B67" s="15">
        <v>33276022</v>
      </c>
      <c r="C67" s="15" t="s">
        <v>318</v>
      </c>
      <c r="D67" s="15" t="s">
        <v>319</v>
      </c>
      <c r="E67" s="15" t="s">
        <v>299</v>
      </c>
      <c r="F67" s="15">
        <v>2021</v>
      </c>
      <c r="G67" s="15" t="s">
        <v>320</v>
      </c>
      <c r="H67" s="15">
        <v>1</v>
      </c>
      <c r="I67" s="15" t="s">
        <v>32</v>
      </c>
      <c r="J67" s="15" t="s">
        <v>33</v>
      </c>
      <c r="K67" s="32">
        <v>12</v>
      </c>
      <c r="L67" s="15">
        <v>390</v>
      </c>
      <c r="M67" s="15">
        <v>1</v>
      </c>
      <c r="N67" s="18">
        <v>21</v>
      </c>
      <c r="O67" s="18">
        <f>N67*L67</f>
        <v>8190</v>
      </c>
      <c r="P67" s="15"/>
      <c r="Q67" s="15">
        <v>6</v>
      </c>
      <c r="R67" s="15">
        <v>5</v>
      </c>
      <c r="S67" s="18" t="s">
        <v>46</v>
      </c>
      <c r="T67" s="18">
        <v>14</v>
      </c>
      <c r="U67" s="18">
        <v>2.2000000000000002</v>
      </c>
      <c r="V67" s="34" t="s">
        <v>47</v>
      </c>
      <c r="W67" s="34" t="s">
        <v>47</v>
      </c>
      <c r="X67" s="35">
        <f>U67*(SQRT(W67))</f>
        <v>4.9193495504995379</v>
      </c>
      <c r="Z67" s="3">
        <v>21</v>
      </c>
      <c r="AA67" s="3">
        <v>2.2000000000000002</v>
      </c>
      <c r="AB67" s="12" t="s">
        <v>159</v>
      </c>
      <c r="AC67" s="12" t="s">
        <v>159</v>
      </c>
      <c r="AD67" s="11">
        <f>AA67*(SQRT(AC67))</f>
        <v>5.3888774341229917</v>
      </c>
    </row>
    <row r="68" spans="1:30" x14ac:dyDescent="0.25">
      <c r="A68" s="15">
        <v>6998</v>
      </c>
      <c r="B68" s="15"/>
      <c r="C68" s="40" t="s">
        <v>321</v>
      </c>
      <c r="D68" s="40" t="s">
        <v>322</v>
      </c>
      <c r="E68" s="40" t="s">
        <v>323</v>
      </c>
      <c r="F68" s="40">
        <v>2017</v>
      </c>
      <c r="G68" s="41" t="s">
        <v>324</v>
      </c>
      <c r="H68" s="15">
        <v>1</v>
      </c>
      <c r="I68" s="15" t="s">
        <v>32</v>
      </c>
      <c r="J68" s="15" t="s">
        <v>33</v>
      </c>
      <c r="K68" s="32"/>
      <c r="L68" s="15">
        <v>360</v>
      </c>
      <c r="M68" s="15">
        <v>1</v>
      </c>
      <c r="N68" s="18">
        <v>14</v>
      </c>
      <c r="O68" s="18">
        <f>L68*M68*N68</f>
        <v>5040</v>
      </c>
      <c r="P68" s="15"/>
      <c r="Q68" s="15">
        <v>5</v>
      </c>
      <c r="R68" s="15">
        <v>5</v>
      </c>
      <c r="S68" s="18">
        <v>3</v>
      </c>
      <c r="T68" s="33"/>
      <c r="U68" s="33"/>
      <c r="V68" s="38"/>
      <c r="W68" s="38"/>
      <c r="X68" s="33"/>
      <c r="Z68" s="14"/>
      <c r="AA68" s="14"/>
      <c r="AB68" s="16"/>
      <c r="AC68" s="16"/>
      <c r="AD68" s="14"/>
    </row>
    <row r="69" spans="1:30" x14ac:dyDescent="0.25">
      <c r="A69" s="15">
        <v>7021</v>
      </c>
      <c r="B69" s="15"/>
      <c r="C69" s="15" t="s">
        <v>325</v>
      </c>
      <c r="D69" s="15" t="s">
        <v>326</v>
      </c>
      <c r="E69" s="15" t="s">
        <v>327</v>
      </c>
      <c r="F69" s="15">
        <v>2025</v>
      </c>
      <c r="G69" s="15" t="s">
        <v>328</v>
      </c>
      <c r="H69" s="15">
        <v>1</v>
      </c>
      <c r="I69" s="15" t="s">
        <v>45</v>
      </c>
      <c r="J69" s="15" t="s">
        <v>91</v>
      </c>
      <c r="K69" s="32" t="s">
        <v>158</v>
      </c>
      <c r="L69" s="15">
        <v>300</v>
      </c>
      <c r="M69" s="15">
        <v>1</v>
      </c>
      <c r="N69" s="18">
        <v>14</v>
      </c>
      <c r="O69" s="18">
        <f>L69*M69*N69</f>
        <v>4200</v>
      </c>
      <c r="P69" s="15"/>
      <c r="Q69" s="15">
        <v>5</v>
      </c>
      <c r="R69" s="15">
        <v>5</v>
      </c>
      <c r="S69" s="33"/>
      <c r="T69" s="33"/>
      <c r="U69" s="33"/>
      <c r="V69" s="38"/>
      <c r="W69" s="38"/>
      <c r="X69" s="33"/>
      <c r="Z69" s="14"/>
      <c r="AA69" s="14"/>
      <c r="AB69" s="16"/>
      <c r="AC69" s="16"/>
      <c r="AD69" s="14"/>
    </row>
    <row r="70" spans="1:30" x14ac:dyDescent="0.25">
      <c r="A70" s="15">
        <v>7023</v>
      </c>
      <c r="B70" s="15">
        <v>26947756</v>
      </c>
      <c r="C70" s="15" t="s">
        <v>329</v>
      </c>
      <c r="D70" s="15" t="s">
        <v>330</v>
      </c>
      <c r="E70" s="15" t="s">
        <v>267</v>
      </c>
      <c r="F70" s="15">
        <v>2016</v>
      </c>
      <c r="G70" s="15" t="s">
        <v>331</v>
      </c>
      <c r="H70" s="15">
        <v>1</v>
      </c>
      <c r="I70" s="15" t="s">
        <v>32</v>
      </c>
      <c r="J70" s="15" t="s">
        <v>33</v>
      </c>
      <c r="K70" s="32"/>
      <c r="L70" s="15">
        <v>360</v>
      </c>
      <c r="M70" s="15">
        <v>1</v>
      </c>
      <c r="N70" s="18">
        <v>21</v>
      </c>
      <c r="O70" s="18">
        <f>N70*L70</f>
        <v>7560</v>
      </c>
      <c r="P70" s="15"/>
      <c r="Q70" s="15">
        <v>5</v>
      </c>
      <c r="R70" s="15">
        <v>5</v>
      </c>
      <c r="S70" s="18" t="s">
        <v>269</v>
      </c>
      <c r="T70" s="19">
        <v>96</v>
      </c>
      <c r="U70" s="19">
        <v>3</v>
      </c>
      <c r="V70" s="34">
        <v>8</v>
      </c>
      <c r="W70" s="34">
        <v>8</v>
      </c>
      <c r="X70" s="35">
        <f>U70*(SQRT(W70))</f>
        <v>8.4852813742385713</v>
      </c>
      <c r="Y70"/>
      <c r="Z70" s="7">
        <v>115</v>
      </c>
      <c r="AA70" s="7">
        <v>6</v>
      </c>
      <c r="AB70" s="12">
        <v>8</v>
      </c>
      <c r="AC70" s="12">
        <v>8</v>
      </c>
      <c r="AD70" s="11">
        <f>AA70*(SQRT(AC70))</f>
        <v>16.970562748477143</v>
      </c>
    </row>
    <row r="71" spans="1:30" x14ac:dyDescent="0.25">
      <c r="A71" s="15">
        <v>7286</v>
      </c>
      <c r="B71" s="15">
        <v>35528472</v>
      </c>
      <c r="C71" s="15" t="s">
        <v>332</v>
      </c>
      <c r="D71" s="15" t="s">
        <v>333</v>
      </c>
      <c r="E71" s="15" t="s">
        <v>334</v>
      </c>
      <c r="F71" s="15">
        <v>2021</v>
      </c>
      <c r="G71" s="15" t="s">
        <v>335</v>
      </c>
      <c r="H71" s="15">
        <v>1</v>
      </c>
      <c r="I71" s="15" t="s">
        <v>45</v>
      </c>
      <c r="J71" s="15" t="s">
        <v>33</v>
      </c>
      <c r="K71" s="32">
        <v>7</v>
      </c>
      <c r="L71" s="15">
        <v>360</v>
      </c>
      <c r="M71" s="15">
        <v>1</v>
      </c>
      <c r="N71" s="18">
        <v>21</v>
      </c>
      <c r="O71" s="18">
        <f>N71*L71</f>
        <v>7560</v>
      </c>
      <c r="P71" s="15"/>
      <c r="Q71" s="15">
        <v>5</v>
      </c>
      <c r="R71" s="15">
        <v>5</v>
      </c>
      <c r="S71" s="18" t="s">
        <v>288</v>
      </c>
      <c r="T71" s="19">
        <v>56</v>
      </c>
      <c r="U71" s="36" t="s">
        <v>65</v>
      </c>
      <c r="V71" s="32" t="s">
        <v>47</v>
      </c>
      <c r="W71" s="32" t="s">
        <v>47</v>
      </c>
      <c r="X71" s="35">
        <v>29</v>
      </c>
      <c r="Z71" s="7">
        <v>162</v>
      </c>
      <c r="AA71" s="13" t="s">
        <v>65</v>
      </c>
      <c r="AB71" s="2" t="s">
        <v>47</v>
      </c>
      <c r="AC71" s="2"/>
      <c r="AD71" s="11">
        <v>25</v>
      </c>
    </row>
    <row r="72" spans="1:30" x14ac:dyDescent="0.25">
      <c r="A72" s="15">
        <v>7339</v>
      </c>
      <c r="B72" s="15"/>
      <c r="C72" s="15" t="s">
        <v>336</v>
      </c>
      <c r="D72" s="15" t="s">
        <v>337</v>
      </c>
      <c r="E72" s="15" t="s">
        <v>338</v>
      </c>
      <c r="F72" s="15">
        <v>2022</v>
      </c>
      <c r="G72" s="15" t="s">
        <v>339</v>
      </c>
      <c r="H72" s="15">
        <v>1</v>
      </c>
      <c r="I72" s="15" t="s">
        <v>45</v>
      </c>
      <c r="J72" s="15" t="s">
        <v>33</v>
      </c>
      <c r="K72" s="32"/>
      <c r="L72" s="15">
        <v>120</v>
      </c>
      <c r="M72" s="15">
        <v>1</v>
      </c>
      <c r="N72" s="18">
        <v>14</v>
      </c>
      <c r="O72" s="18">
        <f>L72*M72*N72</f>
        <v>1680</v>
      </c>
      <c r="P72" s="15"/>
      <c r="Q72" s="15">
        <v>5</v>
      </c>
      <c r="R72" s="15">
        <v>5</v>
      </c>
      <c r="S72" s="18">
        <v>3</v>
      </c>
      <c r="T72" s="53"/>
      <c r="U72" s="53"/>
      <c r="V72" s="58"/>
      <c r="W72" s="58"/>
      <c r="X72" s="59"/>
      <c r="Z72" s="60"/>
      <c r="AA72" s="60"/>
      <c r="AB72" s="61"/>
      <c r="AC72" s="61"/>
      <c r="AD72" s="60"/>
    </row>
    <row r="73" spans="1:30" x14ac:dyDescent="0.25">
      <c r="A73" s="15">
        <v>7440</v>
      </c>
      <c r="B73" s="15">
        <v>37201894</v>
      </c>
      <c r="C73" s="15" t="s">
        <v>340</v>
      </c>
      <c r="D73" s="15" t="s">
        <v>341</v>
      </c>
      <c r="E73" s="15" t="s">
        <v>267</v>
      </c>
      <c r="F73" s="15">
        <v>2023</v>
      </c>
      <c r="G73" s="15" t="s">
        <v>342</v>
      </c>
      <c r="H73" s="15">
        <v>1</v>
      </c>
      <c r="I73" s="15" t="s">
        <v>32</v>
      </c>
      <c r="J73" s="15" t="s">
        <v>33</v>
      </c>
      <c r="K73" s="32" t="s">
        <v>196</v>
      </c>
      <c r="L73" s="15">
        <v>240</v>
      </c>
      <c r="M73" s="15">
        <v>1</v>
      </c>
      <c r="N73" s="18">
        <v>35</v>
      </c>
      <c r="O73" s="18">
        <f>N73*L73</f>
        <v>8400</v>
      </c>
      <c r="P73" s="15" t="s">
        <v>343</v>
      </c>
      <c r="Q73" s="15">
        <v>5</v>
      </c>
      <c r="R73" s="15">
        <v>5</v>
      </c>
      <c r="S73" s="34" t="s">
        <v>106</v>
      </c>
      <c r="T73" s="33"/>
      <c r="U73" s="33"/>
      <c r="V73" s="38"/>
      <c r="W73" s="38"/>
      <c r="X73" s="33"/>
      <c r="Z73" s="14"/>
      <c r="AA73" s="14"/>
      <c r="AB73" s="16"/>
      <c r="AC73" s="16"/>
      <c r="AD73" s="14"/>
    </row>
    <row r="74" spans="1:30" x14ac:dyDescent="0.25">
      <c r="A74" s="15">
        <v>7592</v>
      </c>
      <c r="B74" s="15">
        <v>33505499</v>
      </c>
      <c r="C74" s="15" t="s">
        <v>344</v>
      </c>
      <c r="D74" s="15" t="s">
        <v>345</v>
      </c>
      <c r="E74" s="15" t="s">
        <v>346</v>
      </c>
      <c r="F74" s="15">
        <v>2021</v>
      </c>
      <c r="G74" s="15" t="s">
        <v>347</v>
      </c>
      <c r="H74" s="15">
        <v>1</v>
      </c>
      <c r="I74" s="15" t="s">
        <v>32</v>
      </c>
      <c r="J74" s="15" t="s">
        <v>33</v>
      </c>
      <c r="K74" s="32"/>
      <c r="L74" s="15">
        <v>180</v>
      </c>
      <c r="M74" s="15">
        <v>1</v>
      </c>
      <c r="N74" s="18">
        <v>21</v>
      </c>
      <c r="O74" s="18">
        <f>N74*L74</f>
        <v>3780</v>
      </c>
      <c r="P74" s="15"/>
      <c r="Q74" s="15">
        <v>5</v>
      </c>
      <c r="R74" s="15">
        <v>5</v>
      </c>
      <c r="S74" s="18" t="s">
        <v>46</v>
      </c>
      <c r="T74" s="19">
        <v>106</v>
      </c>
      <c r="U74" s="36" t="s">
        <v>65</v>
      </c>
      <c r="V74" s="34" t="s">
        <v>40</v>
      </c>
      <c r="W74" s="34"/>
      <c r="X74" s="35">
        <v>1.6</v>
      </c>
      <c r="Z74" s="7">
        <v>208</v>
      </c>
      <c r="AA74" s="13" t="s">
        <v>65</v>
      </c>
      <c r="AB74" s="12" t="s">
        <v>40</v>
      </c>
      <c r="AD74" s="11">
        <v>2.2000000000000002</v>
      </c>
    </row>
    <row r="75" spans="1:30" x14ac:dyDescent="0.25">
      <c r="A75" s="15">
        <v>7660</v>
      </c>
      <c r="B75" s="15"/>
      <c r="C75" s="15" t="s">
        <v>348</v>
      </c>
      <c r="D75" s="15" t="s">
        <v>349</v>
      </c>
      <c r="E75" s="15" t="s">
        <v>68</v>
      </c>
      <c r="F75" s="15">
        <v>2024</v>
      </c>
      <c r="G75" s="15" t="s">
        <v>350</v>
      </c>
      <c r="H75" s="15">
        <v>1</v>
      </c>
      <c r="I75" s="15" t="s">
        <v>351</v>
      </c>
      <c r="J75" s="15" t="s">
        <v>351</v>
      </c>
      <c r="K75" s="15" t="s">
        <v>351</v>
      </c>
      <c r="L75" s="15">
        <v>360</v>
      </c>
      <c r="M75" s="15">
        <v>1</v>
      </c>
      <c r="N75" s="18">
        <v>21</v>
      </c>
      <c r="O75" s="18">
        <f>L75*M75*N75</f>
        <v>7560</v>
      </c>
      <c r="P75" s="15" t="s">
        <v>352</v>
      </c>
      <c r="Q75" s="15">
        <v>5</v>
      </c>
      <c r="R75" s="15">
        <v>5</v>
      </c>
      <c r="S75" s="18" t="s">
        <v>353</v>
      </c>
      <c r="T75" s="15">
        <v>131</v>
      </c>
      <c r="U75" s="36" t="s">
        <v>65</v>
      </c>
      <c r="V75" s="34">
        <v>8</v>
      </c>
      <c r="W75" s="34"/>
      <c r="X75" s="35">
        <v>4</v>
      </c>
      <c r="Z75" s="7">
        <v>117</v>
      </c>
      <c r="AA75" s="36" t="s">
        <v>65</v>
      </c>
      <c r="AB75" s="34">
        <v>8</v>
      </c>
      <c r="AC75" s="34"/>
      <c r="AD75" s="35">
        <v>24</v>
      </c>
    </row>
    <row r="76" spans="1:30" x14ac:dyDescent="0.25">
      <c r="A76" s="15">
        <v>7715</v>
      </c>
      <c r="B76" s="15">
        <v>27927737</v>
      </c>
      <c r="C76" s="15" t="s">
        <v>354</v>
      </c>
      <c r="D76" s="15" t="s">
        <v>355</v>
      </c>
      <c r="E76" s="15" t="s">
        <v>311</v>
      </c>
      <c r="F76" s="15">
        <v>2017</v>
      </c>
      <c r="G76" s="15" t="s">
        <v>356</v>
      </c>
      <c r="H76" s="15">
        <v>1</v>
      </c>
      <c r="I76" s="15" t="s">
        <v>32</v>
      </c>
      <c r="J76" s="15" t="s">
        <v>33</v>
      </c>
      <c r="K76" s="32"/>
      <c r="L76" s="15">
        <v>150</v>
      </c>
      <c r="M76" s="15">
        <v>1</v>
      </c>
      <c r="N76" s="18">
        <v>14</v>
      </c>
      <c r="O76" s="18">
        <f>N76*L76</f>
        <v>2100</v>
      </c>
      <c r="P76" s="15"/>
      <c r="Q76" s="15">
        <v>5</v>
      </c>
      <c r="R76" s="15">
        <v>5</v>
      </c>
      <c r="S76" s="18">
        <v>2</v>
      </c>
      <c r="T76" s="19">
        <v>111</v>
      </c>
      <c r="U76" s="19">
        <v>6</v>
      </c>
      <c r="V76" s="32">
        <v>7</v>
      </c>
      <c r="W76" s="32">
        <v>7</v>
      </c>
      <c r="X76" s="35">
        <f>U76*(SQRT(W76))</f>
        <v>15.874507866387544</v>
      </c>
      <c r="Y76"/>
      <c r="Z76" s="7">
        <v>172</v>
      </c>
      <c r="AA76" s="7">
        <v>3</v>
      </c>
      <c r="AB76" s="2">
        <v>7</v>
      </c>
      <c r="AC76" s="2">
        <v>7</v>
      </c>
      <c r="AD76" s="11">
        <f>AA76*(SQRT(AC76))</f>
        <v>7.9372539331937721</v>
      </c>
    </row>
    <row r="77" spans="1:30" x14ac:dyDescent="0.25">
      <c r="A77" s="15">
        <v>8156</v>
      </c>
      <c r="B77" s="15"/>
      <c r="C77" s="15" t="s">
        <v>357</v>
      </c>
      <c r="D77" s="15" t="s">
        <v>358</v>
      </c>
      <c r="E77" s="15" t="s">
        <v>37</v>
      </c>
      <c r="F77" s="15">
        <v>2019</v>
      </c>
      <c r="G77" s="15" t="s">
        <v>359</v>
      </c>
      <c r="H77" s="15">
        <v>1</v>
      </c>
      <c r="I77" s="15" t="s">
        <v>32</v>
      </c>
      <c r="J77" s="15" t="s">
        <v>33</v>
      </c>
      <c r="K77" s="32"/>
      <c r="L77" s="15">
        <v>360</v>
      </c>
      <c r="M77" s="15">
        <v>1</v>
      </c>
      <c r="N77" s="18">
        <v>28</v>
      </c>
      <c r="O77" s="18">
        <f>L77*M77*N77</f>
        <v>10080</v>
      </c>
      <c r="P77" s="15"/>
      <c r="Q77" s="15">
        <v>7</v>
      </c>
      <c r="R77" s="15">
        <v>5</v>
      </c>
      <c r="S77" s="18">
        <v>2</v>
      </c>
      <c r="T77" s="15">
        <v>80</v>
      </c>
      <c r="U77" s="15">
        <v>13</v>
      </c>
      <c r="V77" s="34" t="s">
        <v>159</v>
      </c>
      <c r="W77" s="34" t="s">
        <v>159</v>
      </c>
      <c r="X77" s="35">
        <f>U77*(SQRT(W77))</f>
        <v>31.843366656181313</v>
      </c>
      <c r="Z77" s="7">
        <v>134</v>
      </c>
      <c r="AA77" s="7">
        <v>8</v>
      </c>
      <c r="AB77" s="34" t="s">
        <v>159</v>
      </c>
      <c r="AC77" s="34" t="s">
        <v>159</v>
      </c>
      <c r="AD77" s="35">
        <f>AA77*(SQRT(AC77))</f>
        <v>19.595917942265423</v>
      </c>
    </row>
    <row r="78" spans="1:30" x14ac:dyDescent="0.25">
      <c r="A78" s="15">
        <v>8158</v>
      </c>
      <c r="B78" s="15">
        <v>27150225</v>
      </c>
      <c r="C78" s="15" t="s">
        <v>360</v>
      </c>
      <c r="D78" s="15" t="s">
        <v>361</v>
      </c>
      <c r="E78" s="15" t="s">
        <v>267</v>
      </c>
      <c r="F78" s="15">
        <v>2016</v>
      </c>
      <c r="G78" s="15" t="s">
        <v>362</v>
      </c>
      <c r="H78" s="15">
        <v>1</v>
      </c>
      <c r="I78" s="15" t="s">
        <v>45</v>
      </c>
      <c r="J78" s="15" t="s">
        <v>33</v>
      </c>
      <c r="K78" s="32"/>
      <c r="L78" s="15">
        <v>180</v>
      </c>
      <c r="M78" s="15">
        <v>1</v>
      </c>
      <c r="N78" s="18">
        <v>35</v>
      </c>
      <c r="O78" s="18">
        <f>N78*L78</f>
        <v>6300</v>
      </c>
      <c r="P78" s="15" t="s">
        <v>363</v>
      </c>
      <c r="Q78" s="15">
        <v>5</v>
      </c>
      <c r="R78" s="15">
        <v>5</v>
      </c>
      <c r="S78" s="18" t="s">
        <v>71</v>
      </c>
      <c r="T78" s="19">
        <v>269</v>
      </c>
      <c r="U78" s="19">
        <v>2</v>
      </c>
      <c r="V78" s="34">
        <v>8</v>
      </c>
      <c r="W78" s="34">
        <v>8</v>
      </c>
      <c r="X78" s="35">
        <f>U78*(SQRT(W78))</f>
        <v>5.6568542494923806</v>
      </c>
      <c r="Y78"/>
      <c r="Z78" s="7">
        <v>286</v>
      </c>
      <c r="AA78" s="7">
        <v>1</v>
      </c>
      <c r="AB78" s="12">
        <v>8</v>
      </c>
      <c r="AC78" s="12">
        <v>8</v>
      </c>
      <c r="AD78" s="11">
        <f>AA78*(SQRT(AC78))</f>
        <v>2.8284271247461903</v>
      </c>
    </row>
    <row r="79" spans="1:30" x14ac:dyDescent="0.25">
      <c r="A79" s="15">
        <v>8159</v>
      </c>
      <c r="B79" s="15">
        <v>25826421</v>
      </c>
      <c r="C79" s="15" t="s">
        <v>364</v>
      </c>
      <c r="D79" s="15" t="s">
        <v>365</v>
      </c>
      <c r="E79" s="15" t="s">
        <v>366</v>
      </c>
      <c r="F79" s="15">
        <v>2015</v>
      </c>
      <c r="G79" s="15" t="s">
        <v>367</v>
      </c>
      <c r="H79" s="15">
        <v>1</v>
      </c>
      <c r="I79" s="15" t="s">
        <v>45</v>
      </c>
      <c r="J79" s="15" t="s">
        <v>33</v>
      </c>
      <c r="K79" s="32"/>
      <c r="L79" s="15">
        <v>240</v>
      </c>
      <c r="M79" s="15">
        <v>1</v>
      </c>
      <c r="N79" s="18">
        <v>42</v>
      </c>
      <c r="O79" s="18">
        <f>N79*L79</f>
        <v>10080</v>
      </c>
      <c r="P79" s="15"/>
      <c r="Q79" s="15">
        <v>5</v>
      </c>
      <c r="R79" s="15">
        <v>5</v>
      </c>
      <c r="S79" s="18" t="s">
        <v>134</v>
      </c>
      <c r="T79" s="19">
        <v>53</v>
      </c>
      <c r="U79" s="19">
        <v>1.5</v>
      </c>
      <c r="V79" s="34" t="s">
        <v>368</v>
      </c>
      <c r="W79" s="34" t="s">
        <v>73</v>
      </c>
      <c r="X79" s="35">
        <f>U79*(SQRT(W79))</f>
        <v>4.5</v>
      </c>
      <c r="Y79"/>
      <c r="Z79" s="7">
        <v>76</v>
      </c>
      <c r="AA79" s="7">
        <v>2.2999999999999998</v>
      </c>
      <c r="AB79" s="12" t="s">
        <v>368</v>
      </c>
      <c r="AC79" s="12" t="s">
        <v>73</v>
      </c>
      <c r="AD79" s="11">
        <f>AA79*(SQRT(AC79))</f>
        <v>6.8999999999999995</v>
      </c>
    </row>
    <row r="80" spans="1:30" x14ac:dyDescent="0.25">
      <c r="A80" s="15">
        <v>8451</v>
      </c>
      <c r="B80" s="15"/>
      <c r="C80" s="15" t="s">
        <v>369</v>
      </c>
      <c r="D80" s="15" t="s">
        <v>370</v>
      </c>
      <c r="E80" s="15" t="s">
        <v>371</v>
      </c>
      <c r="F80" s="15">
        <v>2025</v>
      </c>
      <c r="G80" s="15" t="s">
        <v>372</v>
      </c>
      <c r="H80" s="15">
        <v>1</v>
      </c>
      <c r="I80" s="15" t="s">
        <v>32</v>
      </c>
      <c r="J80" s="15" t="s">
        <v>33</v>
      </c>
      <c r="K80" s="32"/>
      <c r="L80" s="15">
        <v>480</v>
      </c>
      <c r="M80" s="15">
        <v>1</v>
      </c>
      <c r="N80" s="18">
        <v>14</v>
      </c>
      <c r="O80" s="18">
        <f t="shared" ref="O80:O85" si="4">L80*M80*N80</f>
        <v>6720</v>
      </c>
      <c r="P80" s="15"/>
      <c r="Q80" s="15">
        <v>6</v>
      </c>
      <c r="R80" s="15">
        <v>4</v>
      </c>
      <c r="S80" s="18" t="s">
        <v>64</v>
      </c>
      <c r="T80" s="7">
        <v>53</v>
      </c>
      <c r="U80" s="36" t="s">
        <v>65</v>
      </c>
      <c r="V80" s="34" t="s">
        <v>55</v>
      </c>
      <c r="W80" s="34"/>
      <c r="X80" s="19">
        <v>14</v>
      </c>
      <c r="Z80" s="7">
        <v>101</v>
      </c>
      <c r="AA80" s="36" t="s">
        <v>65</v>
      </c>
      <c r="AB80" s="12" t="s">
        <v>78</v>
      </c>
      <c r="AD80" s="7">
        <v>13</v>
      </c>
    </row>
    <row r="81" spans="1:30" x14ac:dyDescent="0.25">
      <c r="A81" s="15">
        <v>8463</v>
      </c>
      <c r="B81" s="15"/>
      <c r="C81" s="15" t="s">
        <v>373</v>
      </c>
      <c r="D81" s="15" t="s">
        <v>374</v>
      </c>
      <c r="E81" s="15" t="s">
        <v>375</v>
      </c>
      <c r="F81" s="15">
        <v>2020</v>
      </c>
      <c r="G81" s="15" t="s">
        <v>376</v>
      </c>
      <c r="H81" s="15">
        <v>1</v>
      </c>
      <c r="I81" s="15" t="s">
        <v>32</v>
      </c>
      <c r="J81" s="15" t="s">
        <v>33</v>
      </c>
      <c r="K81" s="32" t="s">
        <v>78</v>
      </c>
      <c r="L81" s="15">
        <v>120</v>
      </c>
      <c r="M81" s="15">
        <v>1</v>
      </c>
      <c r="N81" s="18">
        <v>14</v>
      </c>
      <c r="O81" s="18">
        <f t="shared" si="4"/>
        <v>1680</v>
      </c>
      <c r="P81" s="15"/>
      <c r="Q81" s="15">
        <v>5</v>
      </c>
      <c r="R81" s="15">
        <v>5</v>
      </c>
      <c r="S81" s="18">
        <v>1</v>
      </c>
      <c r="T81" s="15">
        <v>131</v>
      </c>
      <c r="U81" s="15">
        <v>7</v>
      </c>
      <c r="V81" s="34" t="s">
        <v>377</v>
      </c>
      <c r="W81" s="34" t="s">
        <v>377</v>
      </c>
      <c r="X81" s="35">
        <f>U81*(SQRT(W81))</f>
        <v>34.292856398964489</v>
      </c>
      <c r="Z81" s="7">
        <v>173</v>
      </c>
      <c r="AA81" s="7">
        <v>12</v>
      </c>
      <c r="AB81" s="34" t="s">
        <v>377</v>
      </c>
      <c r="AC81" s="34" t="s">
        <v>377</v>
      </c>
      <c r="AD81" s="35">
        <f>AA81*(SQRT(AC81))</f>
        <v>58.787753826796269</v>
      </c>
    </row>
    <row r="82" spans="1:30" x14ac:dyDescent="0.25">
      <c r="A82" s="15">
        <v>8548</v>
      </c>
      <c r="B82" s="15"/>
      <c r="C82" s="15" t="s">
        <v>378</v>
      </c>
      <c r="D82" s="15" t="s">
        <v>379</v>
      </c>
      <c r="E82" s="15" t="s">
        <v>380</v>
      </c>
      <c r="F82" s="15">
        <v>2024</v>
      </c>
      <c r="G82" s="15" t="s">
        <v>381</v>
      </c>
      <c r="H82" s="15">
        <v>1</v>
      </c>
      <c r="I82" s="15" t="s">
        <v>382</v>
      </c>
      <c r="J82" s="15" t="s">
        <v>33</v>
      </c>
      <c r="K82" s="32"/>
      <c r="L82" s="15">
        <v>120</v>
      </c>
      <c r="M82" s="15">
        <v>1</v>
      </c>
      <c r="N82" s="18">
        <v>14</v>
      </c>
      <c r="O82" s="18">
        <f t="shared" si="4"/>
        <v>1680</v>
      </c>
      <c r="P82" s="15"/>
      <c r="Q82" s="15">
        <v>5</v>
      </c>
      <c r="R82" s="15">
        <v>5</v>
      </c>
      <c r="S82" s="18" t="s">
        <v>118</v>
      </c>
      <c r="T82" s="15">
        <v>4.5999999999999996</v>
      </c>
      <c r="U82" s="15">
        <v>0.7</v>
      </c>
      <c r="V82" s="34" t="s">
        <v>78</v>
      </c>
      <c r="W82" s="34" t="s">
        <v>78</v>
      </c>
      <c r="X82" s="35">
        <f>U82*(SQRT(W82))</f>
        <v>2.4248711305964279</v>
      </c>
      <c r="Z82" s="7">
        <v>7.1</v>
      </c>
      <c r="AA82" s="7">
        <v>0.7</v>
      </c>
      <c r="AB82" s="12" t="s">
        <v>78</v>
      </c>
      <c r="AC82" s="12" t="s">
        <v>78</v>
      </c>
      <c r="AD82" s="35">
        <f>AA82*(SQRT(AC82))</f>
        <v>2.4248711305964279</v>
      </c>
    </row>
    <row r="83" spans="1:30" x14ac:dyDescent="0.25">
      <c r="A83" s="15">
        <v>8614</v>
      </c>
      <c r="B83" s="15"/>
      <c r="C83" s="15" t="s">
        <v>383</v>
      </c>
      <c r="D83" s="15" t="s">
        <v>384</v>
      </c>
      <c r="E83" s="15" t="s">
        <v>385</v>
      </c>
      <c r="F83" s="15">
        <v>2015</v>
      </c>
      <c r="G83" s="15" t="s">
        <v>386</v>
      </c>
      <c r="H83" s="15">
        <v>1</v>
      </c>
      <c r="I83" s="15" t="s">
        <v>32</v>
      </c>
      <c r="J83" s="15" t="s">
        <v>33</v>
      </c>
      <c r="K83" s="32" t="s">
        <v>78</v>
      </c>
      <c r="L83" s="15">
        <v>360</v>
      </c>
      <c r="M83" s="15">
        <v>1</v>
      </c>
      <c r="N83" s="18">
        <v>7</v>
      </c>
      <c r="O83" s="18">
        <f t="shared" si="4"/>
        <v>2520</v>
      </c>
      <c r="P83" s="15" t="s">
        <v>387</v>
      </c>
      <c r="Q83" s="15">
        <v>10</v>
      </c>
      <c r="R83" s="15">
        <v>10</v>
      </c>
      <c r="S83" s="18" t="s">
        <v>388</v>
      </c>
      <c r="T83" s="33"/>
      <c r="U83" s="33"/>
      <c r="V83" s="33"/>
      <c r="W83" s="33"/>
      <c r="X83" s="33"/>
      <c r="Y83"/>
      <c r="Z83" s="14"/>
      <c r="AA83" s="14"/>
      <c r="AB83" s="14"/>
      <c r="AC83" s="14"/>
      <c r="AD83" s="14"/>
    </row>
    <row r="84" spans="1:30" x14ac:dyDescent="0.25">
      <c r="A84" s="15">
        <v>8637</v>
      </c>
      <c r="B84" s="15"/>
      <c r="C84" s="15" t="s">
        <v>389</v>
      </c>
      <c r="D84" s="15" t="s">
        <v>390</v>
      </c>
      <c r="E84" s="15" t="s">
        <v>68</v>
      </c>
      <c r="F84" s="15">
        <v>2025</v>
      </c>
      <c r="G84" s="15" t="s">
        <v>391</v>
      </c>
      <c r="H84" s="15">
        <v>1</v>
      </c>
      <c r="I84" s="15" t="s">
        <v>32</v>
      </c>
      <c r="J84" s="15" t="s">
        <v>392</v>
      </c>
      <c r="K84" s="32" t="s">
        <v>40</v>
      </c>
      <c r="L84" s="15">
        <v>45</v>
      </c>
      <c r="M84" s="15">
        <v>3</v>
      </c>
      <c r="N84" s="18">
        <v>7</v>
      </c>
      <c r="O84" s="18">
        <f t="shared" si="4"/>
        <v>945</v>
      </c>
      <c r="P84" s="15" t="s">
        <v>393</v>
      </c>
      <c r="Q84" s="15">
        <v>5</v>
      </c>
      <c r="R84" s="15">
        <v>5</v>
      </c>
      <c r="S84" s="18" t="s">
        <v>388</v>
      </c>
      <c r="T84" s="15">
        <v>21</v>
      </c>
      <c r="U84" s="36" t="s">
        <v>65</v>
      </c>
      <c r="V84" s="34" t="s">
        <v>40</v>
      </c>
      <c r="W84" s="34"/>
      <c r="X84" s="19">
        <v>5</v>
      </c>
      <c r="Z84" s="7">
        <v>35</v>
      </c>
      <c r="AA84" s="36" t="s">
        <v>65</v>
      </c>
      <c r="AB84" s="12" t="s">
        <v>123</v>
      </c>
      <c r="AD84" s="7">
        <v>9</v>
      </c>
    </row>
    <row r="85" spans="1:30" x14ac:dyDescent="0.25">
      <c r="A85" s="15">
        <v>8743</v>
      </c>
      <c r="B85" s="15"/>
      <c r="C85" s="40" t="s">
        <v>394</v>
      </c>
      <c r="D85" s="40" t="s">
        <v>395</v>
      </c>
      <c r="E85" s="40" t="s">
        <v>396</v>
      </c>
      <c r="F85" s="40">
        <v>2020</v>
      </c>
      <c r="G85" s="41" t="s">
        <v>397</v>
      </c>
      <c r="H85" s="15">
        <v>1</v>
      </c>
      <c r="I85" s="15" t="s">
        <v>32</v>
      </c>
      <c r="J85" s="15" t="s">
        <v>33</v>
      </c>
      <c r="K85" s="32"/>
      <c r="L85" s="15">
        <v>150</v>
      </c>
      <c r="M85" s="15">
        <v>1</v>
      </c>
      <c r="N85" s="18">
        <v>13</v>
      </c>
      <c r="O85" s="18">
        <f t="shared" si="4"/>
        <v>1950</v>
      </c>
      <c r="P85" s="15"/>
      <c r="Q85" s="15">
        <v>6</v>
      </c>
      <c r="R85" s="15">
        <v>6</v>
      </c>
      <c r="S85" s="18" t="s">
        <v>127</v>
      </c>
      <c r="T85" s="33"/>
      <c r="U85" s="33"/>
      <c r="V85" s="33"/>
      <c r="W85" s="33"/>
      <c r="X85" s="33"/>
      <c r="Y85"/>
      <c r="Z85" s="14"/>
      <c r="AA85" s="14"/>
      <c r="AB85" s="14"/>
      <c r="AC85" s="14"/>
      <c r="AD85" s="14"/>
    </row>
    <row r="86" spans="1:30" x14ac:dyDescent="0.25">
      <c r="A86" s="15">
        <v>8767</v>
      </c>
      <c r="B86" s="15">
        <v>25315361</v>
      </c>
      <c r="C86" s="15" t="s">
        <v>398</v>
      </c>
      <c r="D86" s="15" t="s">
        <v>399</v>
      </c>
      <c r="E86" s="15" t="s">
        <v>121</v>
      </c>
      <c r="F86" s="15">
        <v>2015</v>
      </c>
      <c r="G86" s="15" t="s">
        <v>400</v>
      </c>
      <c r="H86" s="15">
        <v>1</v>
      </c>
      <c r="I86" s="15" t="s">
        <v>45</v>
      </c>
      <c r="J86" s="15" t="s">
        <v>33</v>
      </c>
      <c r="K86" s="32"/>
      <c r="L86" s="15">
        <v>240</v>
      </c>
      <c r="M86" s="15">
        <v>1</v>
      </c>
      <c r="N86" s="18">
        <v>42</v>
      </c>
      <c r="O86" s="18">
        <f>N86*L86</f>
        <v>10080</v>
      </c>
      <c r="P86" s="15"/>
      <c r="Q86" s="15">
        <v>5</v>
      </c>
      <c r="R86" s="15">
        <v>5</v>
      </c>
      <c r="S86" s="18" t="s">
        <v>83</v>
      </c>
      <c r="T86" s="19">
        <v>61</v>
      </c>
      <c r="U86" s="19">
        <v>7</v>
      </c>
      <c r="V86" s="34" t="s">
        <v>88</v>
      </c>
      <c r="W86" s="34" t="s">
        <v>40</v>
      </c>
      <c r="X86" s="35">
        <f>U86*(SQRT(W86))</f>
        <v>19.798989873223331</v>
      </c>
      <c r="Y86"/>
      <c r="Z86" s="7">
        <v>152</v>
      </c>
      <c r="AA86" s="7">
        <v>7</v>
      </c>
      <c r="AB86" s="12" t="s">
        <v>88</v>
      </c>
      <c r="AC86" s="12" t="s">
        <v>40</v>
      </c>
      <c r="AD86" s="11">
        <f>AA86*(SQRT(AC86))</f>
        <v>19.798989873223331</v>
      </c>
    </row>
    <row r="87" spans="1:30" x14ac:dyDescent="0.25">
      <c r="A87" s="15">
        <v>8885</v>
      </c>
      <c r="B87" s="15">
        <v>33766670</v>
      </c>
      <c r="C87" s="15" t="s">
        <v>401</v>
      </c>
      <c r="D87" s="15" t="s">
        <v>402</v>
      </c>
      <c r="E87" s="15" t="s">
        <v>403</v>
      </c>
      <c r="F87" s="15">
        <v>2021</v>
      </c>
      <c r="G87" s="15" t="s">
        <v>404</v>
      </c>
      <c r="H87" s="15">
        <v>1</v>
      </c>
      <c r="I87" s="15" t="s">
        <v>45</v>
      </c>
      <c r="J87" s="15" t="s">
        <v>33</v>
      </c>
      <c r="K87" s="32"/>
      <c r="L87" s="15">
        <v>360</v>
      </c>
      <c r="M87" s="15">
        <v>1</v>
      </c>
      <c r="N87" s="18">
        <v>28</v>
      </c>
      <c r="O87" s="18">
        <f>N87*L87</f>
        <v>10080</v>
      </c>
      <c r="P87" s="15"/>
      <c r="Q87" s="15">
        <v>5</v>
      </c>
      <c r="R87" s="15">
        <v>5</v>
      </c>
      <c r="S87" s="18" t="s">
        <v>388</v>
      </c>
      <c r="T87" s="18">
        <v>102</v>
      </c>
      <c r="U87" s="18">
        <v>2.5</v>
      </c>
      <c r="V87" s="34" t="s">
        <v>40</v>
      </c>
      <c r="W87" s="34" t="s">
        <v>40</v>
      </c>
      <c r="X87" s="35">
        <f>U87*(SQRT(W87))</f>
        <v>7.0710678118654755</v>
      </c>
      <c r="Y87" s="3"/>
      <c r="Z87" s="3">
        <v>114</v>
      </c>
      <c r="AA87" s="3">
        <v>2.7</v>
      </c>
      <c r="AB87" s="12" t="s">
        <v>40</v>
      </c>
      <c r="AC87" s="12" t="s">
        <v>40</v>
      </c>
      <c r="AD87" s="11">
        <f>AA87*(SQRT(AC87))</f>
        <v>7.6367532368147142</v>
      </c>
    </row>
    <row r="88" spans="1:30" x14ac:dyDescent="0.25">
      <c r="A88" s="37">
        <v>8955</v>
      </c>
      <c r="B88" s="37">
        <v>26010004</v>
      </c>
      <c r="C88" s="37" t="s">
        <v>405</v>
      </c>
      <c r="D88" s="37" t="s">
        <v>406</v>
      </c>
      <c r="E88" s="37" t="s">
        <v>407</v>
      </c>
      <c r="F88" s="37">
        <v>2015</v>
      </c>
      <c r="G88" s="37" t="s">
        <v>408</v>
      </c>
      <c r="H88" s="37">
        <v>1</v>
      </c>
      <c r="I88" s="15" t="s">
        <v>32</v>
      </c>
      <c r="J88" s="15" t="s">
        <v>33</v>
      </c>
      <c r="K88" s="32"/>
      <c r="L88" s="18">
        <v>150</v>
      </c>
      <c r="M88" s="15">
        <v>1</v>
      </c>
      <c r="N88" s="37">
        <v>7</v>
      </c>
      <c r="O88" s="18">
        <f>N88*L88</f>
        <v>1050</v>
      </c>
      <c r="P88" s="15"/>
      <c r="Q88" s="15">
        <v>5</v>
      </c>
      <c r="R88" s="15">
        <v>5</v>
      </c>
      <c r="S88" s="18" t="s">
        <v>409</v>
      </c>
      <c r="T88" s="57"/>
      <c r="U88" s="57"/>
      <c r="V88" s="57"/>
      <c r="W88" s="57"/>
      <c r="X88" s="57"/>
      <c r="Z88" s="57"/>
      <c r="AA88" s="57"/>
      <c r="AB88" s="57"/>
      <c r="AC88" s="57"/>
      <c r="AD88" s="57"/>
    </row>
    <row r="89" spans="1:30" x14ac:dyDescent="0.25">
      <c r="A89" s="37">
        <v>8955</v>
      </c>
      <c r="B89" s="37">
        <v>26010004</v>
      </c>
      <c r="C89" s="37" t="s">
        <v>405</v>
      </c>
      <c r="D89" s="37" t="s">
        <v>406</v>
      </c>
      <c r="E89" s="37" t="s">
        <v>407</v>
      </c>
      <c r="F89" s="37">
        <v>2015</v>
      </c>
      <c r="G89" s="37" t="s">
        <v>408</v>
      </c>
      <c r="H89" s="37">
        <v>1</v>
      </c>
      <c r="I89" s="15" t="s">
        <v>32</v>
      </c>
      <c r="J89" s="15" t="s">
        <v>33</v>
      </c>
      <c r="K89" s="32"/>
      <c r="L89" s="18">
        <v>150</v>
      </c>
      <c r="M89" s="15">
        <v>1</v>
      </c>
      <c r="N89" s="37">
        <v>14</v>
      </c>
      <c r="O89" s="18">
        <f>N89*L89</f>
        <v>2100</v>
      </c>
      <c r="P89" s="15"/>
      <c r="Q89" s="15">
        <v>5</v>
      </c>
      <c r="R89" s="15">
        <v>5</v>
      </c>
      <c r="S89" s="18" t="s">
        <v>409</v>
      </c>
      <c r="T89" s="57"/>
      <c r="U89" s="57"/>
      <c r="V89" s="57"/>
      <c r="W89" s="57"/>
      <c r="X89" s="57"/>
      <c r="Z89" s="57"/>
      <c r="AA89" s="57"/>
      <c r="AB89" s="57"/>
      <c r="AC89" s="57"/>
      <c r="AD89" s="57"/>
    </row>
    <row r="90" spans="1:30" x14ac:dyDescent="0.25">
      <c r="A90" s="37">
        <v>8964</v>
      </c>
      <c r="B90" s="37"/>
      <c r="C90" s="43" t="s">
        <v>410</v>
      </c>
      <c r="D90" s="43" t="s">
        <v>411</v>
      </c>
      <c r="E90" s="43" t="s">
        <v>412</v>
      </c>
      <c r="F90" s="43">
        <v>2024</v>
      </c>
      <c r="G90" s="44" t="s">
        <v>413</v>
      </c>
      <c r="H90" s="37">
        <v>1</v>
      </c>
      <c r="I90" s="15" t="s">
        <v>32</v>
      </c>
      <c r="J90" s="15" t="s">
        <v>33</v>
      </c>
      <c r="K90" s="32"/>
      <c r="L90" s="15">
        <v>360</v>
      </c>
      <c r="M90" s="15">
        <v>1</v>
      </c>
      <c r="N90" s="51">
        <v>14</v>
      </c>
      <c r="O90" s="18">
        <f>L90*M90*N90</f>
        <v>5040</v>
      </c>
      <c r="P90" s="15"/>
      <c r="Q90" s="15">
        <v>6</v>
      </c>
      <c r="R90" s="15">
        <v>5</v>
      </c>
      <c r="S90" s="18" t="s">
        <v>388</v>
      </c>
      <c r="T90" s="7">
        <v>18</v>
      </c>
      <c r="U90" s="7">
        <v>2.2000000000000002</v>
      </c>
      <c r="V90" s="34">
        <v>10</v>
      </c>
      <c r="W90" s="34">
        <v>10</v>
      </c>
      <c r="X90" s="35">
        <f t="shared" ref="X90:X93" si="5">U90*(SQRT(W90))</f>
        <v>6.9570108523704359</v>
      </c>
      <c r="Z90" s="7">
        <v>32</v>
      </c>
      <c r="AA90" s="7">
        <v>1.2</v>
      </c>
      <c r="AB90" s="34">
        <v>10</v>
      </c>
      <c r="AC90" s="34">
        <v>10</v>
      </c>
      <c r="AD90" s="35">
        <f t="shared" ref="AD90:AD93" si="6">AA90*(SQRT(AC90))</f>
        <v>3.7947331922020551</v>
      </c>
    </row>
    <row r="91" spans="1:30" x14ac:dyDescent="0.25">
      <c r="A91" s="37">
        <v>8964</v>
      </c>
      <c r="B91" s="37"/>
      <c r="C91" s="43" t="s">
        <v>410</v>
      </c>
      <c r="D91" s="43" t="s">
        <v>411</v>
      </c>
      <c r="E91" s="43" t="s">
        <v>412</v>
      </c>
      <c r="F91" s="43">
        <v>2024</v>
      </c>
      <c r="G91" s="44" t="s">
        <v>413</v>
      </c>
      <c r="H91" s="37">
        <v>1</v>
      </c>
      <c r="I91" s="15" t="s">
        <v>32</v>
      </c>
      <c r="J91" s="15" t="s">
        <v>33</v>
      </c>
      <c r="K91" s="32"/>
      <c r="L91" s="15">
        <v>360</v>
      </c>
      <c r="M91" s="15">
        <v>1</v>
      </c>
      <c r="N91" s="51">
        <v>28</v>
      </c>
      <c r="O91" s="18">
        <f t="shared" ref="O91:O93" si="7">L91*M91*N91</f>
        <v>10080</v>
      </c>
      <c r="P91" s="15"/>
      <c r="Q91" s="15">
        <v>6</v>
      </c>
      <c r="R91" s="15">
        <v>5</v>
      </c>
      <c r="S91" s="18" t="s">
        <v>388</v>
      </c>
      <c r="T91" s="7">
        <v>18</v>
      </c>
      <c r="U91" s="7">
        <v>2.2000000000000002</v>
      </c>
      <c r="V91" s="34">
        <v>10</v>
      </c>
      <c r="W91" s="34">
        <v>10</v>
      </c>
      <c r="X91" s="35">
        <f t="shared" si="5"/>
        <v>6.9570108523704359</v>
      </c>
      <c r="Z91" s="7">
        <v>30</v>
      </c>
      <c r="AA91" s="7">
        <v>2.2000000000000002</v>
      </c>
      <c r="AB91" s="34">
        <v>10</v>
      </c>
      <c r="AC91" s="34">
        <v>10</v>
      </c>
      <c r="AD91" s="35">
        <f t="shared" si="6"/>
        <v>6.9570108523704359</v>
      </c>
    </row>
    <row r="92" spans="1:30" x14ac:dyDescent="0.25">
      <c r="A92" s="37">
        <v>8964</v>
      </c>
      <c r="B92" s="37"/>
      <c r="C92" s="43" t="s">
        <v>410</v>
      </c>
      <c r="D92" s="43" t="s">
        <v>411</v>
      </c>
      <c r="E92" s="43" t="s">
        <v>412</v>
      </c>
      <c r="F92" s="43">
        <v>2024</v>
      </c>
      <c r="G92" s="44" t="s">
        <v>413</v>
      </c>
      <c r="H92" s="37">
        <v>1</v>
      </c>
      <c r="I92" s="15" t="s">
        <v>32</v>
      </c>
      <c r="J92" s="15" t="s">
        <v>33</v>
      </c>
      <c r="K92" s="32"/>
      <c r="L92" s="15">
        <v>360</v>
      </c>
      <c r="M92" s="15">
        <v>1</v>
      </c>
      <c r="N92" s="51">
        <v>42</v>
      </c>
      <c r="O92" s="18">
        <f t="shared" si="7"/>
        <v>15120</v>
      </c>
      <c r="P92" s="15"/>
      <c r="Q92" s="15">
        <v>6</v>
      </c>
      <c r="R92" s="15">
        <v>5</v>
      </c>
      <c r="S92" s="18" t="s">
        <v>388</v>
      </c>
      <c r="T92" s="7">
        <v>18</v>
      </c>
      <c r="U92" s="7">
        <v>2.2000000000000002</v>
      </c>
      <c r="V92" s="34">
        <v>10</v>
      </c>
      <c r="W92" s="34">
        <v>10</v>
      </c>
      <c r="X92" s="35">
        <f t="shared" si="5"/>
        <v>6.9570108523704359</v>
      </c>
      <c r="Z92" s="7">
        <v>28</v>
      </c>
      <c r="AA92" s="7">
        <v>1.5</v>
      </c>
      <c r="AB92" s="34">
        <v>10</v>
      </c>
      <c r="AC92" s="34">
        <v>10</v>
      </c>
      <c r="AD92" s="35">
        <f t="shared" si="6"/>
        <v>4.7434164902525691</v>
      </c>
    </row>
    <row r="93" spans="1:30" x14ac:dyDescent="0.25">
      <c r="A93" s="37">
        <v>8964</v>
      </c>
      <c r="B93" s="37"/>
      <c r="C93" s="43" t="s">
        <v>410</v>
      </c>
      <c r="D93" s="43" t="s">
        <v>411</v>
      </c>
      <c r="E93" s="43" t="s">
        <v>412</v>
      </c>
      <c r="F93" s="43">
        <v>2024</v>
      </c>
      <c r="G93" s="44" t="s">
        <v>413</v>
      </c>
      <c r="H93" s="37">
        <v>1</v>
      </c>
      <c r="I93" s="15" t="s">
        <v>32</v>
      </c>
      <c r="J93" s="15" t="s">
        <v>33</v>
      </c>
      <c r="K93" s="32"/>
      <c r="L93" s="15">
        <v>360</v>
      </c>
      <c r="M93" s="15">
        <v>1</v>
      </c>
      <c r="N93" s="51">
        <v>56</v>
      </c>
      <c r="O93" s="18">
        <f t="shared" si="7"/>
        <v>20160</v>
      </c>
      <c r="P93" s="15"/>
      <c r="Q93" s="15">
        <v>6</v>
      </c>
      <c r="R93" s="15">
        <v>5</v>
      </c>
      <c r="S93" s="18" t="s">
        <v>388</v>
      </c>
      <c r="T93" s="7">
        <v>18</v>
      </c>
      <c r="U93" s="7">
        <v>2.2000000000000002</v>
      </c>
      <c r="V93" s="34">
        <v>10</v>
      </c>
      <c r="W93" s="34">
        <v>10</v>
      </c>
      <c r="X93" s="35">
        <f t="shared" si="5"/>
        <v>6.9570108523704359</v>
      </c>
      <c r="Z93" s="7">
        <v>30</v>
      </c>
      <c r="AA93" s="7">
        <v>2.1</v>
      </c>
      <c r="AB93" s="34">
        <v>10</v>
      </c>
      <c r="AC93" s="34">
        <v>10</v>
      </c>
      <c r="AD93" s="35">
        <f t="shared" si="6"/>
        <v>6.640783086353597</v>
      </c>
    </row>
    <row r="94" spans="1:30" x14ac:dyDescent="0.25">
      <c r="A94" s="15">
        <v>8989</v>
      </c>
      <c r="B94" s="15"/>
      <c r="C94" s="40" t="s">
        <v>414</v>
      </c>
      <c r="D94" s="40" t="s">
        <v>415</v>
      </c>
      <c r="E94" s="40" t="s">
        <v>416</v>
      </c>
      <c r="F94" s="40">
        <v>2023</v>
      </c>
      <c r="G94" s="41" t="s">
        <v>417</v>
      </c>
      <c r="H94" s="15">
        <v>1</v>
      </c>
      <c r="I94" s="15" t="s">
        <v>45</v>
      </c>
      <c r="J94" s="15" t="s">
        <v>33</v>
      </c>
      <c r="K94" s="32"/>
      <c r="L94" s="15">
        <v>360</v>
      </c>
      <c r="M94" s="15">
        <v>1</v>
      </c>
      <c r="N94" s="18">
        <v>21</v>
      </c>
      <c r="O94" s="18">
        <f>L94*M94*N94</f>
        <v>7560</v>
      </c>
      <c r="P94" s="15"/>
      <c r="Q94" s="15">
        <v>5</v>
      </c>
      <c r="R94" s="15">
        <v>5</v>
      </c>
      <c r="S94" s="18" t="s">
        <v>388</v>
      </c>
      <c r="T94" s="15">
        <v>1.4</v>
      </c>
      <c r="U94" s="36" t="s">
        <v>65</v>
      </c>
      <c r="V94" s="34" t="s">
        <v>159</v>
      </c>
      <c r="W94" s="34"/>
      <c r="X94" s="19">
        <v>0.37</v>
      </c>
      <c r="Z94" s="7">
        <v>3.4</v>
      </c>
      <c r="AA94" s="36" t="s">
        <v>65</v>
      </c>
      <c r="AB94" s="34" t="s">
        <v>159</v>
      </c>
      <c r="AD94" s="7">
        <v>0.28000000000000003</v>
      </c>
    </row>
    <row r="95" spans="1:30" x14ac:dyDescent="0.25">
      <c r="A95" s="37">
        <v>9029</v>
      </c>
      <c r="B95" s="37">
        <v>27023176</v>
      </c>
      <c r="C95" s="37" t="s">
        <v>418</v>
      </c>
      <c r="D95" s="37" t="s">
        <v>419</v>
      </c>
      <c r="E95" s="37" t="s">
        <v>183</v>
      </c>
      <c r="F95" s="37">
        <v>2016</v>
      </c>
      <c r="G95" s="37" t="s">
        <v>420</v>
      </c>
      <c r="H95" s="37">
        <v>1</v>
      </c>
      <c r="I95" s="37" t="s">
        <v>421</v>
      </c>
      <c r="J95" s="15" t="s">
        <v>33</v>
      </c>
      <c r="K95" s="32" t="s">
        <v>422</v>
      </c>
      <c r="L95" s="15">
        <v>120</v>
      </c>
      <c r="M95" s="15">
        <v>1</v>
      </c>
      <c r="N95" s="18">
        <v>14</v>
      </c>
      <c r="O95" s="18">
        <f>N95*L95</f>
        <v>1680</v>
      </c>
      <c r="P95" s="15" t="s">
        <v>423</v>
      </c>
      <c r="Q95" s="15">
        <v>5</v>
      </c>
      <c r="R95" s="15">
        <v>5</v>
      </c>
      <c r="S95" s="18" t="s">
        <v>134</v>
      </c>
      <c r="T95" s="19">
        <v>25</v>
      </c>
      <c r="U95" s="19">
        <v>5</v>
      </c>
      <c r="V95" s="34">
        <v>10</v>
      </c>
      <c r="W95" s="34">
        <v>10</v>
      </c>
      <c r="X95" s="35">
        <f>U95*(SQRT(W95))</f>
        <v>15.811388300841898</v>
      </c>
      <c r="Y95"/>
      <c r="Z95" s="7">
        <v>17</v>
      </c>
      <c r="AA95" s="7">
        <v>3</v>
      </c>
      <c r="AB95" s="12">
        <v>10</v>
      </c>
      <c r="AC95" s="12">
        <v>10</v>
      </c>
      <c r="AD95" s="11">
        <f>AA95*(SQRT(AC95))</f>
        <v>9.4868329805051381</v>
      </c>
    </row>
    <row r="96" spans="1:30" x14ac:dyDescent="0.25">
      <c r="A96" s="37">
        <v>9029</v>
      </c>
      <c r="B96" s="37">
        <v>27023176</v>
      </c>
      <c r="C96" s="37" t="s">
        <v>418</v>
      </c>
      <c r="D96" s="37" t="s">
        <v>419</v>
      </c>
      <c r="E96" s="37" t="s">
        <v>183</v>
      </c>
      <c r="F96" s="37">
        <v>2016</v>
      </c>
      <c r="G96" s="37" t="s">
        <v>420</v>
      </c>
      <c r="H96" s="37">
        <v>1</v>
      </c>
      <c r="I96" s="37" t="s">
        <v>424</v>
      </c>
      <c r="J96" s="15" t="s">
        <v>33</v>
      </c>
      <c r="K96" s="32" t="s">
        <v>422</v>
      </c>
      <c r="L96" s="15">
        <v>120</v>
      </c>
      <c r="M96" s="15">
        <v>1</v>
      </c>
      <c r="N96" s="18">
        <v>14</v>
      </c>
      <c r="O96" s="18">
        <f>N96*L96</f>
        <v>1680</v>
      </c>
      <c r="P96" s="15" t="s">
        <v>423</v>
      </c>
      <c r="Q96" s="15">
        <v>5</v>
      </c>
      <c r="R96" s="15">
        <v>5</v>
      </c>
      <c r="S96" s="18" t="s">
        <v>134</v>
      </c>
      <c r="T96" s="19">
        <v>2.5</v>
      </c>
      <c r="U96" s="19">
        <v>0.5</v>
      </c>
      <c r="V96" s="34">
        <v>10</v>
      </c>
      <c r="W96" s="34">
        <v>10</v>
      </c>
      <c r="X96" s="35">
        <f>U96*(SQRT(W96))</f>
        <v>1.5811388300841898</v>
      </c>
      <c r="Y96"/>
      <c r="Z96" s="7">
        <v>7</v>
      </c>
      <c r="AA96" s="7">
        <v>1.2</v>
      </c>
      <c r="AB96" s="12">
        <v>10</v>
      </c>
      <c r="AC96" s="12">
        <v>10</v>
      </c>
      <c r="AD96" s="11">
        <f>AA96*(SQRT(AC96))</f>
        <v>3.7947331922020551</v>
      </c>
    </row>
    <row r="97" spans="1:30" x14ac:dyDescent="0.25">
      <c r="A97" s="15">
        <v>9120</v>
      </c>
      <c r="B97" s="15"/>
      <c r="C97" s="40" t="s">
        <v>425</v>
      </c>
      <c r="D97" s="40" t="s">
        <v>426</v>
      </c>
      <c r="E97" s="40" t="s">
        <v>427</v>
      </c>
      <c r="F97" s="40">
        <v>2023</v>
      </c>
      <c r="G97" s="41" t="s">
        <v>428</v>
      </c>
      <c r="H97" s="15">
        <v>1</v>
      </c>
      <c r="I97" s="15" t="s">
        <v>429</v>
      </c>
      <c r="J97" s="15" t="s">
        <v>33</v>
      </c>
      <c r="K97" s="32" t="s">
        <v>159</v>
      </c>
      <c r="L97" s="15">
        <v>30</v>
      </c>
      <c r="M97" s="15">
        <v>1</v>
      </c>
      <c r="N97" s="18">
        <v>10</v>
      </c>
      <c r="O97" s="18">
        <f>L97*M97*N97</f>
        <v>300</v>
      </c>
      <c r="P97" s="15"/>
      <c r="Q97" s="15">
        <v>5</v>
      </c>
      <c r="R97" s="15">
        <v>5</v>
      </c>
      <c r="S97" s="33"/>
      <c r="T97" s="33"/>
      <c r="U97" s="33"/>
      <c r="V97" s="38"/>
      <c r="W97" s="38"/>
      <c r="X97" s="33"/>
      <c r="Z97" s="14"/>
      <c r="AA97" s="14"/>
      <c r="AB97" s="16"/>
      <c r="AC97" s="16"/>
      <c r="AD97" s="14"/>
    </row>
    <row r="98" spans="1:30" x14ac:dyDescent="0.25">
      <c r="A98" s="15">
        <v>9424</v>
      </c>
      <c r="B98" s="15">
        <v>30656862</v>
      </c>
      <c r="C98" s="15" t="s">
        <v>430</v>
      </c>
      <c r="D98" s="15" t="s">
        <v>431</v>
      </c>
      <c r="E98" s="15" t="s">
        <v>432</v>
      </c>
      <c r="F98" s="15">
        <v>2019</v>
      </c>
      <c r="G98" s="15" t="s">
        <v>433</v>
      </c>
      <c r="H98" s="15">
        <v>1</v>
      </c>
      <c r="I98" s="15" t="s">
        <v>45</v>
      </c>
      <c r="J98" s="15" t="s">
        <v>33</v>
      </c>
      <c r="K98" s="32" t="s">
        <v>196</v>
      </c>
      <c r="L98" s="15">
        <v>360</v>
      </c>
      <c r="M98" s="15">
        <v>1</v>
      </c>
      <c r="N98" s="18">
        <v>21</v>
      </c>
      <c r="O98" s="18">
        <f>N98*L98</f>
        <v>7560</v>
      </c>
      <c r="P98" s="15"/>
      <c r="Q98" s="15">
        <v>5</v>
      </c>
      <c r="R98" s="15">
        <v>5</v>
      </c>
      <c r="S98" s="33"/>
      <c r="T98" s="33"/>
      <c r="U98" s="33"/>
      <c r="V98" s="38"/>
      <c r="W98" s="38"/>
      <c r="X98" s="33"/>
      <c r="Z98" s="14"/>
      <c r="AA98" s="14"/>
      <c r="AB98" s="16"/>
      <c r="AC98" s="16"/>
      <c r="AD98" s="14"/>
    </row>
    <row r="99" spans="1:30" x14ac:dyDescent="0.25">
      <c r="A99" s="15">
        <v>9442</v>
      </c>
      <c r="B99" s="15">
        <v>34704719</v>
      </c>
      <c r="C99" s="15" t="s">
        <v>434</v>
      </c>
      <c r="D99" s="15" t="s">
        <v>435</v>
      </c>
      <c r="E99" s="15" t="s">
        <v>436</v>
      </c>
      <c r="F99" s="15">
        <v>2021</v>
      </c>
      <c r="G99" s="15" t="s">
        <v>437</v>
      </c>
      <c r="H99" s="15">
        <v>1</v>
      </c>
      <c r="I99" s="15" t="s">
        <v>32</v>
      </c>
      <c r="J99" s="15" t="s">
        <v>33</v>
      </c>
      <c r="K99" s="32"/>
      <c r="L99" s="15">
        <v>360</v>
      </c>
      <c r="M99" s="15">
        <v>1</v>
      </c>
      <c r="N99" s="18">
        <v>21</v>
      </c>
      <c r="O99" s="18">
        <f>N99*L99</f>
        <v>7560</v>
      </c>
      <c r="P99" s="15"/>
      <c r="Q99" s="15">
        <v>6</v>
      </c>
      <c r="R99" s="15">
        <v>4</v>
      </c>
      <c r="S99" s="18" t="s">
        <v>234</v>
      </c>
      <c r="T99" s="19">
        <v>136</v>
      </c>
      <c r="U99" s="36" t="s">
        <v>65</v>
      </c>
      <c r="V99" s="32" t="s">
        <v>72</v>
      </c>
      <c r="W99" s="32"/>
      <c r="X99" s="35">
        <v>37</v>
      </c>
      <c r="Z99" s="7">
        <v>166</v>
      </c>
      <c r="AA99" s="13" t="s">
        <v>65</v>
      </c>
      <c r="AB99" s="2" t="s">
        <v>72</v>
      </c>
      <c r="AC99" s="2"/>
      <c r="AD99" s="11">
        <v>23</v>
      </c>
    </row>
    <row r="100" spans="1:30" x14ac:dyDescent="0.25">
      <c r="A100" s="37">
        <v>9542</v>
      </c>
      <c r="B100" s="37"/>
      <c r="C100" s="37" t="s">
        <v>438</v>
      </c>
      <c r="D100" s="37" t="s">
        <v>439</v>
      </c>
      <c r="E100" s="37" t="s">
        <v>50</v>
      </c>
      <c r="F100" s="37">
        <v>2025</v>
      </c>
      <c r="G100" s="37" t="s">
        <v>440</v>
      </c>
      <c r="H100" s="37">
        <v>1</v>
      </c>
      <c r="I100" s="15" t="s">
        <v>45</v>
      </c>
      <c r="J100" s="15" t="s">
        <v>33</v>
      </c>
      <c r="K100" s="32" t="s">
        <v>88</v>
      </c>
      <c r="L100" s="15">
        <v>360</v>
      </c>
      <c r="M100" s="15">
        <v>1</v>
      </c>
      <c r="N100" s="51">
        <v>15</v>
      </c>
      <c r="O100" s="18">
        <f t="shared" ref="O100:O106" si="8">L100*M100*N100</f>
        <v>5400</v>
      </c>
      <c r="P100" s="15"/>
      <c r="Q100" s="15">
        <v>6</v>
      </c>
      <c r="R100" s="15">
        <v>4</v>
      </c>
      <c r="S100" s="18" t="s">
        <v>175</v>
      </c>
      <c r="T100" s="15">
        <v>92</v>
      </c>
      <c r="U100" s="15">
        <v>4</v>
      </c>
      <c r="V100" s="34" t="s">
        <v>55</v>
      </c>
      <c r="W100" s="34" t="s">
        <v>55</v>
      </c>
      <c r="X100" s="35">
        <f t="shared" ref="X100" si="9">U100*(SQRT(W100))</f>
        <v>10.583005244258363</v>
      </c>
      <c r="Z100" s="7">
        <v>191</v>
      </c>
      <c r="AA100" s="7">
        <v>3</v>
      </c>
      <c r="AB100" s="34" t="s">
        <v>55</v>
      </c>
      <c r="AC100" s="34" t="s">
        <v>55</v>
      </c>
      <c r="AD100" s="35">
        <f t="shared" ref="AD100" si="10">AA100*(SQRT(AC100))</f>
        <v>7.9372539331937721</v>
      </c>
    </row>
    <row r="101" spans="1:30" x14ac:dyDescent="0.25">
      <c r="A101" s="37">
        <v>9542</v>
      </c>
      <c r="B101" s="37"/>
      <c r="C101" s="37" t="s">
        <v>438</v>
      </c>
      <c r="D101" s="37" t="s">
        <v>439</v>
      </c>
      <c r="E101" s="37" t="s">
        <v>50</v>
      </c>
      <c r="F101" s="37">
        <v>2025</v>
      </c>
      <c r="G101" s="37" t="s">
        <v>440</v>
      </c>
      <c r="H101" s="37">
        <v>1</v>
      </c>
      <c r="I101" s="15" t="s">
        <v>45</v>
      </c>
      <c r="J101" s="15" t="s">
        <v>33</v>
      </c>
      <c r="K101" s="32" t="s">
        <v>88</v>
      </c>
      <c r="L101" s="15">
        <v>360</v>
      </c>
      <c r="M101" s="15">
        <v>1</v>
      </c>
      <c r="N101" s="51">
        <v>30</v>
      </c>
      <c r="O101" s="18">
        <f t="shared" si="8"/>
        <v>10800</v>
      </c>
      <c r="P101" s="15"/>
      <c r="Q101" s="15">
        <v>6</v>
      </c>
      <c r="R101" s="15">
        <v>4</v>
      </c>
      <c r="S101" s="18" t="s">
        <v>175</v>
      </c>
      <c r="T101" s="33"/>
      <c r="U101" s="33"/>
      <c r="V101" s="38"/>
      <c r="W101" s="38"/>
      <c r="X101" s="33"/>
      <c r="Z101" s="14"/>
      <c r="AA101" s="14"/>
      <c r="AB101" s="16"/>
      <c r="AC101" s="16"/>
      <c r="AD101" s="14"/>
    </row>
    <row r="102" spans="1:30" x14ac:dyDescent="0.25">
      <c r="A102" s="15">
        <v>9582</v>
      </c>
      <c r="B102" s="15"/>
      <c r="C102" s="15" t="s">
        <v>441</v>
      </c>
      <c r="D102" s="15" t="s">
        <v>442</v>
      </c>
      <c r="E102" s="15" t="s">
        <v>443</v>
      </c>
      <c r="F102" s="15">
        <v>2016</v>
      </c>
      <c r="G102" s="15" t="s">
        <v>444</v>
      </c>
      <c r="H102" s="15">
        <v>1</v>
      </c>
      <c r="I102" s="15" t="s">
        <v>32</v>
      </c>
      <c r="J102" s="15" t="s">
        <v>33</v>
      </c>
      <c r="K102" s="32"/>
      <c r="L102" s="15">
        <v>20</v>
      </c>
      <c r="M102" s="15">
        <v>1</v>
      </c>
      <c r="N102" s="18">
        <v>14</v>
      </c>
      <c r="O102" s="18">
        <f t="shared" si="8"/>
        <v>280</v>
      </c>
      <c r="P102" s="15"/>
      <c r="Q102" s="15">
        <v>5</v>
      </c>
      <c r="R102" s="15">
        <v>5</v>
      </c>
      <c r="S102" s="18" t="s">
        <v>64</v>
      </c>
      <c r="T102" s="33"/>
      <c r="U102" s="33"/>
      <c r="V102" s="38"/>
      <c r="W102" s="38"/>
      <c r="X102" s="33"/>
      <c r="Z102" s="14"/>
      <c r="AA102" s="14"/>
      <c r="AB102" s="16"/>
      <c r="AC102" s="16"/>
      <c r="AD102" s="14"/>
    </row>
    <row r="103" spans="1:30" x14ac:dyDescent="0.25">
      <c r="A103" s="15">
        <v>9638</v>
      </c>
      <c r="B103" s="15"/>
      <c r="C103" s="40" t="s">
        <v>445</v>
      </c>
      <c r="D103" s="40" t="s">
        <v>446</v>
      </c>
      <c r="E103" s="40" t="s">
        <v>447</v>
      </c>
      <c r="F103" s="40">
        <v>2021</v>
      </c>
      <c r="G103" s="41" t="s">
        <v>448</v>
      </c>
      <c r="H103" s="15">
        <v>1</v>
      </c>
      <c r="I103" s="15" t="s">
        <v>45</v>
      </c>
      <c r="J103" s="15" t="s">
        <v>33</v>
      </c>
      <c r="K103" s="32" t="s">
        <v>159</v>
      </c>
      <c r="L103" s="15">
        <v>360</v>
      </c>
      <c r="M103" s="15">
        <v>1</v>
      </c>
      <c r="N103" s="18">
        <v>21</v>
      </c>
      <c r="O103" s="18">
        <f t="shared" si="8"/>
        <v>7560</v>
      </c>
      <c r="P103" s="15" t="s">
        <v>449</v>
      </c>
      <c r="Q103" s="15">
        <v>20</v>
      </c>
      <c r="R103" s="15">
        <v>5</v>
      </c>
      <c r="S103" s="18" t="s">
        <v>288</v>
      </c>
      <c r="T103" s="15">
        <v>100</v>
      </c>
      <c r="U103" s="15">
        <v>11</v>
      </c>
      <c r="V103" s="34" t="s">
        <v>40</v>
      </c>
      <c r="W103" s="34" t="s">
        <v>40</v>
      </c>
      <c r="X103" s="35">
        <f>U103*(SQRT(W103))</f>
        <v>31.112698372208094</v>
      </c>
      <c r="Z103" s="7">
        <v>252</v>
      </c>
      <c r="AA103" s="7">
        <v>11</v>
      </c>
      <c r="AB103" s="34" t="s">
        <v>40</v>
      </c>
      <c r="AC103" s="34" t="s">
        <v>40</v>
      </c>
      <c r="AD103" s="35">
        <f>AA103*(SQRT(AC103))</f>
        <v>31.112698372208094</v>
      </c>
    </row>
    <row r="104" spans="1:30" x14ac:dyDescent="0.25">
      <c r="A104" s="15">
        <v>9643</v>
      </c>
      <c r="B104" s="15"/>
      <c r="C104" s="15" t="s">
        <v>450</v>
      </c>
      <c r="D104" s="15" t="s">
        <v>451</v>
      </c>
      <c r="E104" s="15" t="s">
        <v>452</v>
      </c>
      <c r="F104" s="15">
        <v>2019</v>
      </c>
      <c r="G104" s="15" t="s">
        <v>453</v>
      </c>
      <c r="H104" s="15">
        <v>1</v>
      </c>
      <c r="I104" s="15" t="s">
        <v>32</v>
      </c>
      <c r="J104" s="15" t="s">
        <v>33</v>
      </c>
      <c r="K104" s="32"/>
      <c r="L104" s="15">
        <v>180</v>
      </c>
      <c r="M104" s="15">
        <v>1</v>
      </c>
      <c r="N104" s="18">
        <v>21</v>
      </c>
      <c r="O104" s="18">
        <f t="shared" si="8"/>
        <v>3780</v>
      </c>
      <c r="P104" s="15"/>
      <c r="Q104" s="15">
        <v>5</v>
      </c>
      <c r="R104" s="15">
        <v>5</v>
      </c>
      <c r="S104" s="18" t="s">
        <v>83</v>
      </c>
      <c r="T104" s="15">
        <v>125</v>
      </c>
      <c r="U104" s="15">
        <v>7</v>
      </c>
      <c r="V104" s="34" t="s">
        <v>454</v>
      </c>
      <c r="W104" s="34" t="s">
        <v>73</v>
      </c>
      <c r="X104" s="35">
        <f>U104*(SQRT(W104))</f>
        <v>21</v>
      </c>
      <c r="Z104" s="7">
        <v>227</v>
      </c>
      <c r="AA104" s="7">
        <v>15</v>
      </c>
      <c r="AB104" s="34" t="s">
        <v>454</v>
      </c>
      <c r="AC104" s="34" t="s">
        <v>73</v>
      </c>
      <c r="AD104" s="35">
        <f>AA104*(SQRT(AC104))</f>
        <v>45</v>
      </c>
    </row>
    <row r="105" spans="1:30" x14ac:dyDescent="0.25">
      <c r="A105" s="37">
        <v>9663</v>
      </c>
      <c r="B105" s="37"/>
      <c r="C105" s="37" t="s">
        <v>455</v>
      </c>
      <c r="D105" s="37" t="s">
        <v>456</v>
      </c>
      <c r="E105" s="37" t="s">
        <v>457</v>
      </c>
      <c r="F105" s="37">
        <v>2015</v>
      </c>
      <c r="G105" s="37" t="s">
        <v>458</v>
      </c>
      <c r="H105" s="37">
        <v>1</v>
      </c>
      <c r="I105" s="15" t="s">
        <v>32</v>
      </c>
      <c r="J105" s="15" t="s">
        <v>33</v>
      </c>
      <c r="K105" s="32"/>
      <c r="L105" s="15">
        <v>120</v>
      </c>
      <c r="M105" s="15">
        <v>1</v>
      </c>
      <c r="N105" s="18">
        <v>10</v>
      </c>
      <c r="O105" s="18">
        <f t="shared" si="8"/>
        <v>1200</v>
      </c>
      <c r="P105" s="37" t="s">
        <v>459</v>
      </c>
      <c r="Q105" s="15">
        <v>5</v>
      </c>
      <c r="R105" s="15">
        <v>5</v>
      </c>
      <c r="S105" s="18" t="s">
        <v>64</v>
      </c>
      <c r="T105" s="15">
        <v>108</v>
      </c>
      <c r="U105" s="15">
        <v>17</v>
      </c>
      <c r="V105" s="34" t="s">
        <v>460</v>
      </c>
      <c r="W105" s="34" t="s">
        <v>461</v>
      </c>
      <c r="X105" s="35">
        <f>U105*(SQRT(W105))</f>
        <v>56.382621436041795</v>
      </c>
      <c r="Y105"/>
      <c r="Z105" s="7">
        <v>162</v>
      </c>
      <c r="AA105" s="7">
        <v>14</v>
      </c>
      <c r="AB105" s="34" t="s">
        <v>460</v>
      </c>
      <c r="AC105" s="34" t="s">
        <v>461</v>
      </c>
      <c r="AD105" s="35">
        <f>AA105*(SQRT(AC105))</f>
        <v>46.432747064975601</v>
      </c>
    </row>
    <row r="106" spans="1:30" x14ac:dyDescent="0.25">
      <c r="A106" s="37">
        <v>9663</v>
      </c>
      <c r="B106" s="37"/>
      <c r="C106" s="37" t="s">
        <v>455</v>
      </c>
      <c r="D106" s="37" t="s">
        <v>456</v>
      </c>
      <c r="E106" s="37" t="s">
        <v>457</v>
      </c>
      <c r="F106" s="37">
        <v>2015</v>
      </c>
      <c r="G106" s="37" t="s">
        <v>458</v>
      </c>
      <c r="H106" s="37">
        <v>1</v>
      </c>
      <c r="I106" s="15" t="s">
        <v>32</v>
      </c>
      <c r="J106" s="15" t="s">
        <v>33</v>
      </c>
      <c r="K106" s="32"/>
      <c r="L106" s="15">
        <v>120</v>
      </c>
      <c r="M106" s="15">
        <v>1</v>
      </c>
      <c r="N106" s="18">
        <v>10</v>
      </c>
      <c r="O106" s="18">
        <f t="shared" si="8"/>
        <v>1200</v>
      </c>
      <c r="P106" s="37" t="s">
        <v>462</v>
      </c>
      <c r="Q106" s="15">
        <v>5</v>
      </c>
      <c r="R106" s="15">
        <v>5</v>
      </c>
      <c r="S106" s="18" t="s">
        <v>64</v>
      </c>
      <c r="T106" s="15">
        <v>108</v>
      </c>
      <c r="U106" s="15">
        <v>17</v>
      </c>
      <c r="V106" s="34" t="s">
        <v>460</v>
      </c>
      <c r="W106" s="34" t="s">
        <v>461</v>
      </c>
      <c r="X106" s="35">
        <f>U106*(SQRT(W106))</f>
        <v>56.382621436041795</v>
      </c>
      <c r="Y106"/>
      <c r="Z106" s="7">
        <v>178</v>
      </c>
      <c r="AA106" s="7">
        <v>6</v>
      </c>
      <c r="AB106" s="34" t="s">
        <v>460</v>
      </c>
      <c r="AC106" s="34" t="s">
        <v>461</v>
      </c>
      <c r="AD106" s="35">
        <f>AA106*(SQRT(AC106))</f>
        <v>19.899748742132399</v>
      </c>
    </row>
    <row r="107" spans="1:30" x14ac:dyDescent="0.25">
      <c r="A107" s="15">
        <v>9825</v>
      </c>
      <c r="B107" s="15">
        <v>28866053</v>
      </c>
      <c r="C107" s="15" t="s">
        <v>463</v>
      </c>
      <c r="D107" s="15" t="s">
        <v>464</v>
      </c>
      <c r="E107" s="15" t="s">
        <v>282</v>
      </c>
      <c r="F107" s="15">
        <v>2017</v>
      </c>
      <c r="G107" s="15" t="s">
        <v>465</v>
      </c>
      <c r="H107" s="15">
        <v>1</v>
      </c>
      <c r="I107" s="15" t="s">
        <v>45</v>
      </c>
      <c r="J107" s="15" t="s">
        <v>34</v>
      </c>
      <c r="K107" s="32"/>
      <c r="L107" s="15">
        <v>120</v>
      </c>
      <c r="M107" s="15">
        <v>1</v>
      </c>
      <c r="N107" s="18">
        <v>21</v>
      </c>
      <c r="O107" s="18">
        <f>N107*L107</f>
        <v>2520</v>
      </c>
      <c r="P107" s="15"/>
      <c r="Q107" s="15">
        <v>6</v>
      </c>
      <c r="R107" s="15">
        <v>6</v>
      </c>
      <c r="S107" s="18" t="s">
        <v>388</v>
      </c>
      <c r="T107" s="19">
        <v>189</v>
      </c>
      <c r="U107" s="19">
        <v>29</v>
      </c>
      <c r="V107" s="34" t="s">
        <v>40</v>
      </c>
      <c r="W107" s="34" t="s">
        <v>40</v>
      </c>
      <c r="X107" s="35">
        <f>U107*(SQRT(W107))</f>
        <v>82.024386617639522</v>
      </c>
      <c r="Z107" s="7">
        <v>343</v>
      </c>
      <c r="AA107" s="7">
        <v>25</v>
      </c>
      <c r="AB107" s="12" t="s">
        <v>40</v>
      </c>
      <c r="AC107" s="12" t="s">
        <v>40</v>
      </c>
      <c r="AD107" s="11">
        <f>AA107*(SQRT(AC107))</f>
        <v>70.710678118654755</v>
      </c>
    </row>
    <row r="108" spans="1:30" x14ac:dyDescent="0.25">
      <c r="A108" s="15">
        <v>9900</v>
      </c>
      <c r="B108" s="15">
        <v>27346276</v>
      </c>
      <c r="C108" s="15" t="s">
        <v>466</v>
      </c>
      <c r="D108" s="15" t="s">
        <v>467</v>
      </c>
      <c r="E108" s="15" t="s">
        <v>151</v>
      </c>
      <c r="F108" s="15">
        <v>2016</v>
      </c>
      <c r="G108" s="15" t="s">
        <v>468</v>
      </c>
      <c r="H108" s="15">
        <v>1</v>
      </c>
      <c r="I108" s="15" t="s">
        <v>45</v>
      </c>
      <c r="J108" s="15" t="s">
        <v>33</v>
      </c>
      <c r="K108" s="32"/>
      <c r="L108" s="15">
        <v>360</v>
      </c>
      <c r="M108" s="15">
        <v>1</v>
      </c>
      <c r="N108" s="18">
        <v>21</v>
      </c>
      <c r="O108" s="18">
        <f>N108*L108</f>
        <v>7560</v>
      </c>
      <c r="P108" s="15"/>
      <c r="Q108" s="15">
        <v>5</v>
      </c>
      <c r="R108" s="15">
        <v>5</v>
      </c>
      <c r="S108" s="18" t="s">
        <v>269</v>
      </c>
      <c r="T108" s="19">
        <v>83</v>
      </c>
      <c r="U108" s="36" t="s">
        <v>65</v>
      </c>
      <c r="V108" s="34">
        <v>10</v>
      </c>
      <c r="W108" s="34"/>
      <c r="X108" s="35">
        <v>20</v>
      </c>
      <c r="Y108"/>
      <c r="Z108" s="7">
        <v>123</v>
      </c>
      <c r="AA108" s="13" t="s">
        <v>65</v>
      </c>
      <c r="AB108" s="12">
        <v>10</v>
      </c>
      <c r="AD108" s="11">
        <v>29</v>
      </c>
    </row>
  </sheetData>
  <sortState xmlns:xlrd2="http://schemas.microsoft.com/office/spreadsheetml/2017/richdata2" ref="A4:AF108">
    <sortCondition ref="A4:A108"/>
  </sortState>
  <hyperlinks>
    <hyperlink ref="G13" r:id="rId1" xr:uid="{5D7007BD-7ADE-46E5-9AB9-41EBE4F5EBB5}"/>
    <hyperlink ref="G51" r:id="rId2" xr:uid="{4085DF9F-C04D-4BEE-B112-EDE527FB5785}"/>
    <hyperlink ref="G25" r:id="rId3" xr:uid="{1E8FC485-2079-48A5-A4D4-9A99EA751969}"/>
    <hyperlink ref="G90" r:id="rId4" xr:uid="{ADEE5117-165A-4DD8-B243-ACB9F7326F64}"/>
    <hyperlink ref="G63" r:id="rId5" xr:uid="{5774EE3B-E684-4362-9222-317DFAB358FC}"/>
    <hyperlink ref="G97" r:id="rId6" xr:uid="{FEA698F2-E3BF-4381-BFD8-A243DA1DBB7D}"/>
    <hyperlink ref="G94" r:id="rId7" xr:uid="{1E66A63B-E59F-46AD-997E-7849D74CFD97}"/>
    <hyperlink ref="G39" r:id="rId8" xr:uid="{6749B3DB-C2DF-4AAC-86BB-0D82331B36B4}"/>
    <hyperlink ref="G103" r:id="rId9" xr:uid="{E093859C-960A-4825-A7C6-929F45A09DC5}"/>
    <hyperlink ref="G24" r:id="rId10" xr:uid="{A51CE859-731A-4735-B64A-CE3FD238C184}"/>
    <hyperlink ref="G85" r:id="rId11" xr:uid="{45A8CCD0-20D5-49A4-8771-9CA5D4F7A9B5}"/>
    <hyperlink ref="G57" r:id="rId12" xr:uid="{C3F5F626-117C-4F7C-8AC6-141D64262720}"/>
    <hyperlink ref="G68" r:id="rId13" xr:uid="{D6C4350E-4CF5-435B-A953-4B6C296474D4}"/>
    <hyperlink ref="G64" r:id="rId14" xr:uid="{6F77D3BE-26F4-4954-B302-E26972BB3380}"/>
    <hyperlink ref="G14" r:id="rId15" xr:uid="{C3E6B79D-CB8D-421B-8B1A-0DC567F73341}"/>
    <hyperlink ref="G91" r:id="rId16" xr:uid="{ED5EB61B-2045-44A1-A05E-B900C51D8D17}"/>
    <hyperlink ref="G92" r:id="rId17" xr:uid="{3E0F8F8C-2555-442E-89B1-AE96365894EC}"/>
    <hyperlink ref="G93" r:id="rId18" xr:uid="{B86F82E7-80B9-495C-A603-8DF3308C89D6}"/>
  </hyperlinks>
  <pageMargins left="0.7" right="0.7" top="0.75" bottom="0.75" header="0.3" footer="0.3"/>
  <pageSetup paperSize="9"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AD40-6FF8-4396-8936-41479A444A60}">
  <dimension ref="A1:AH109"/>
  <sheetViews>
    <sheetView zoomScaleNormal="100" workbookViewId="0">
      <pane ySplit="2" topLeftCell="A3" activePane="bottomLeft" state="frozen"/>
      <selection activeCell="F1" sqref="F1"/>
      <selection pane="bottomLeft"/>
    </sheetView>
  </sheetViews>
  <sheetFormatPr defaultRowHeight="15" x14ac:dyDescent="0.25"/>
  <cols>
    <col min="1" max="1" width="10.85546875" style="15" customWidth="1"/>
    <col min="2" max="2" width="11.42578125" style="15" customWidth="1"/>
    <col min="3" max="3" width="33" style="15" customWidth="1"/>
    <col min="4" max="4" width="12.140625" style="15" customWidth="1"/>
    <col min="5" max="5" width="15.5703125" style="15" customWidth="1"/>
    <col min="6" max="6" width="9.140625" style="15"/>
    <col min="7" max="7" width="29.140625" style="15" customWidth="1"/>
    <col min="8" max="8" width="4.7109375" style="15" customWidth="1"/>
    <col min="9" max="9" width="20.5703125" style="15" bestFit="1" customWidth="1"/>
    <col min="10" max="10" width="11.7109375" style="15" bestFit="1" customWidth="1"/>
    <col min="11" max="11" width="17.5703125" style="32" bestFit="1" customWidth="1"/>
    <col min="12" max="12" width="12.5703125" style="15" bestFit="1" customWidth="1"/>
    <col min="13" max="13" width="13.42578125" style="15" bestFit="1" customWidth="1"/>
    <col min="14" max="14" width="19.7109375" style="18" bestFit="1" customWidth="1"/>
    <col min="15" max="15" width="19" style="18" bestFit="1" customWidth="1"/>
    <col min="16" max="16" width="7.28515625" style="15" customWidth="1"/>
    <col min="17" max="20" width="19" style="15" customWidth="1"/>
    <col min="21" max="21" width="10.7109375" style="52" customWidth="1"/>
    <col min="22" max="22" width="14" style="19" customWidth="1"/>
    <col min="23" max="23" width="11.85546875" style="19" bestFit="1" customWidth="1"/>
    <col min="24" max="25" width="8.85546875" style="34" customWidth="1"/>
    <col min="26" max="26" width="18.85546875" style="19" customWidth="1"/>
    <col min="27" max="27" width="2.7109375" style="19" customWidth="1"/>
    <col min="28" max="28" width="14.140625" style="19" customWidth="1"/>
    <col min="29" max="29" width="11.85546875" style="19" bestFit="1" customWidth="1"/>
    <col min="30" max="30" width="8.5703125" style="34" bestFit="1" customWidth="1"/>
    <col min="31" max="31" width="8.5703125" style="34" customWidth="1"/>
    <col min="32" max="32" width="18.85546875" style="19" customWidth="1"/>
    <col min="33" max="33" width="3.7109375" style="18" customWidth="1"/>
    <col min="34" max="16384" width="9.140625" style="15"/>
  </cols>
  <sheetData>
    <row r="1" spans="1:33" x14ac:dyDescent="0.25">
      <c r="V1" s="23" t="s">
        <v>469</v>
      </c>
      <c r="W1" s="24"/>
      <c r="X1" s="25"/>
      <c r="Y1" s="25"/>
      <c r="Z1" s="24"/>
      <c r="AA1" s="22"/>
      <c r="AB1" s="45" t="s">
        <v>470</v>
      </c>
      <c r="AC1" s="46"/>
      <c r="AD1" s="47"/>
      <c r="AE1" s="47"/>
      <c r="AF1" s="46"/>
    </row>
    <row r="2" spans="1:33" x14ac:dyDescent="0.25">
      <c r="A2" s="21" t="s">
        <v>2</v>
      </c>
      <c r="B2" s="21" t="s">
        <v>3</v>
      </c>
      <c r="C2" s="21" t="s">
        <v>4</v>
      </c>
      <c r="D2" s="21" t="s">
        <v>5</v>
      </c>
      <c r="E2" s="21" t="s">
        <v>6</v>
      </c>
      <c r="F2" s="21" t="s">
        <v>7</v>
      </c>
      <c r="G2" s="21" t="s">
        <v>8</v>
      </c>
      <c r="H2" s="21" t="s">
        <v>471</v>
      </c>
      <c r="I2" s="21" t="s">
        <v>10</v>
      </c>
      <c r="J2" s="21" t="s">
        <v>11</v>
      </c>
      <c r="K2" s="26" t="s">
        <v>12</v>
      </c>
      <c r="L2" s="21" t="s">
        <v>13</v>
      </c>
      <c r="M2" s="21" t="s">
        <v>14</v>
      </c>
      <c r="N2" s="27" t="s">
        <v>15</v>
      </c>
      <c r="O2" s="27" t="s">
        <v>16</v>
      </c>
      <c r="P2" s="21" t="s">
        <v>17</v>
      </c>
      <c r="Q2" s="21" t="s">
        <v>472</v>
      </c>
      <c r="R2" s="21" t="s">
        <v>473</v>
      </c>
      <c r="S2" s="21" t="s">
        <v>474</v>
      </c>
      <c r="T2" s="21" t="s">
        <v>475</v>
      </c>
      <c r="U2" s="28" t="s">
        <v>20</v>
      </c>
      <c r="V2" s="29" t="s">
        <v>21</v>
      </c>
      <c r="W2" s="30" t="s">
        <v>22</v>
      </c>
      <c r="X2" s="31" t="s">
        <v>23</v>
      </c>
      <c r="Y2" s="31" t="s">
        <v>24</v>
      </c>
      <c r="Z2" s="30" t="s">
        <v>25</v>
      </c>
      <c r="AB2" s="48" t="s">
        <v>26</v>
      </c>
      <c r="AC2" s="49" t="s">
        <v>27</v>
      </c>
      <c r="AD2" s="50" t="s">
        <v>23</v>
      </c>
      <c r="AE2" s="50" t="s">
        <v>24</v>
      </c>
      <c r="AF2" s="49" t="s">
        <v>25</v>
      </c>
    </row>
    <row r="3" spans="1:33" customFormat="1" x14ac:dyDescent="0.25">
      <c r="A3">
        <v>1016</v>
      </c>
      <c r="B3" s="15"/>
      <c r="C3" s="15" t="s">
        <v>903</v>
      </c>
      <c r="D3" s="15" t="s">
        <v>904</v>
      </c>
      <c r="E3" s="15" t="s">
        <v>905</v>
      </c>
      <c r="F3" s="15">
        <v>2022</v>
      </c>
      <c r="G3" s="15" t="s">
        <v>906</v>
      </c>
      <c r="H3">
        <v>1</v>
      </c>
      <c r="I3" t="s">
        <v>32</v>
      </c>
      <c r="J3" t="s">
        <v>33</v>
      </c>
      <c r="K3" s="2" t="s">
        <v>158</v>
      </c>
      <c r="L3">
        <v>360</v>
      </c>
      <c r="M3">
        <v>1</v>
      </c>
      <c r="N3" s="3">
        <v>28</v>
      </c>
      <c r="O3" s="18">
        <f>N3*L3</f>
        <v>10080</v>
      </c>
      <c r="Q3">
        <v>10</v>
      </c>
      <c r="R3" s="15"/>
      <c r="S3" s="15">
        <v>24</v>
      </c>
      <c r="T3" s="15">
        <v>24</v>
      </c>
      <c r="U3" s="2" t="s">
        <v>118</v>
      </c>
      <c r="V3">
        <v>76</v>
      </c>
      <c r="W3" s="12" t="s">
        <v>52</v>
      </c>
      <c r="X3" s="34" t="s">
        <v>40</v>
      </c>
      <c r="Y3" s="34" t="s">
        <v>40</v>
      </c>
      <c r="Z3" s="35">
        <f>W3*(SQRT(Y3))</f>
        <v>11.313708498984761</v>
      </c>
      <c r="AA3" s="7"/>
      <c r="AB3" s="12" t="s">
        <v>907</v>
      </c>
      <c r="AC3" s="12" t="s">
        <v>908</v>
      </c>
      <c r="AD3" s="34" t="s">
        <v>40</v>
      </c>
      <c r="AE3" s="34" t="s">
        <v>40</v>
      </c>
      <c r="AF3" s="35">
        <f>AC3*(SQRT(AE3))</f>
        <v>15.273506473629428</v>
      </c>
    </row>
    <row r="4" spans="1:33" x14ac:dyDescent="0.25">
      <c r="A4" s="15">
        <v>1129</v>
      </c>
      <c r="C4" s="40" t="s">
        <v>476</v>
      </c>
      <c r="D4" s="40" t="s">
        <v>477</v>
      </c>
      <c r="E4" s="40" t="s">
        <v>478</v>
      </c>
      <c r="F4" s="40">
        <v>2015</v>
      </c>
      <c r="G4" s="41" t="s">
        <v>479</v>
      </c>
      <c r="H4" s="15">
        <v>1</v>
      </c>
      <c r="I4" s="15" t="s">
        <v>32</v>
      </c>
      <c r="J4" s="15" t="s">
        <v>33</v>
      </c>
      <c r="L4" s="15">
        <v>360</v>
      </c>
      <c r="M4" s="15">
        <v>1</v>
      </c>
      <c r="N4" s="18">
        <v>21</v>
      </c>
      <c r="O4" s="18">
        <f>L4*M4*N4</f>
        <v>7560</v>
      </c>
      <c r="Q4" s="15">
        <v>1</v>
      </c>
      <c r="R4" s="15">
        <v>1</v>
      </c>
      <c r="S4" s="15">
        <v>6</v>
      </c>
      <c r="T4" s="15">
        <v>6</v>
      </c>
      <c r="U4" s="15">
        <v>2</v>
      </c>
      <c r="V4" s="15">
        <v>92</v>
      </c>
      <c r="W4" s="15">
        <v>1.4</v>
      </c>
      <c r="X4" s="15">
        <v>8</v>
      </c>
      <c r="Y4" s="15">
        <v>8</v>
      </c>
      <c r="Z4" s="35">
        <f>W4*(SQRT(Y4))</f>
        <v>3.9597979746446663</v>
      </c>
      <c r="AA4" s="15"/>
      <c r="AB4" s="15">
        <v>76</v>
      </c>
      <c r="AC4" s="15">
        <v>4.5999999999999996</v>
      </c>
      <c r="AD4" s="15">
        <v>8</v>
      </c>
      <c r="AE4" s="15">
        <v>8</v>
      </c>
      <c r="AF4" s="35">
        <f>AC4*(SQRT(AE4))</f>
        <v>13.010764773832474</v>
      </c>
      <c r="AG4" s="15"/>
    </row>
    <row r="5" spans="1:33" s="21" customFormat="1" x14ac:dyDescent="0.25">
      <c r="A5" s="15">
        <v>1287</v>
      </c>
      <c r="B5" s="15"/>
      <c r="C5" s="15" t="s">
        <v>28</v>
      </c>
      <c r="D5" s="15" t="s">
        <v>29</v>
      </c>
      <c r="E5" s="15" t="s">
        <v>30</v>
      </c>
      <c r="F5" s="15">
        <v>2024</v>
      </c>
      <c r="G5" s="15" t="s">
        <v>31</v>
      </c>
      <c r="H5" s="15">
        <v>1</v>
      </c>
      <c r="I5" s="15" t="s">
        <v>32</v>
      </c>
      <c r="J5" s="15" t="s">
        <v>33</v>
      </c>
      <c r="K5" s="32" t="s">
        <v>34</v>
      </c>
      <c r="L5" s="15">
        <v>300</v>
      </c>
      <c r="M5" s="15">
        <v>1</v>
      </c>
      <c r="N5" s="18">
        <v>21</v>
      </c>
      <c r="O5" s="18">
        <f>L5*M5*N5</f>
        <v>6300</v>
      </c>
      <c r="P5" s="15"/>
      <c r="Q5" s="15">
        <v>1</v>
      </c>
      <c r="R5" s="15">
        <v>2</v>
      </c>
      <c r="S5" s="53"/>
      <c r="T5" s="53"/>
      <c r="U5" s="15">
        <v>2</v>
      </c>
      <c r="V5" s="15">
        <v>93</v>
      </c>
      <c r="W5" s="15">
        <v>5</v>
      </c>
      <c r="X5" s="15">
        <v>8</v>
      </c>
      <c r="Y5" s="15">
        <v>8</v>
      </c>
      <c r="Z5" s="35">
        <f>W5*(SQRT(Y5))</f>
        <v>14.142135623730951</v>
      </c>
      <c r="AA5" s="15"/>
      <c r="AB5" s="15">
        <v>59</v>
      </c>
      <c r="AC5" s="15">
        <v>16</v>
      </c>
      <c r="AD5" s="15">
        <v>8</v>
      </c>
      <c r="AE5" s="15">
        <v>8</v>
      </c>
      <c r="AF5" s="35">
        <f>AC5*(SQRT(AE5))</f>
        <v>45.254833995939045</v>
      </c>
      <c r="AG5" s="15"/>
    </row>
    <row r="6" spans="1:33" x14ac:dyDescent="0.25">
      <c r="A6" s="15">
        <v>1422</v>
      </c>
      <c r="B6" s="15">
        <v>35727683</v>
      </c>
      <c r="C6" s="15" t="s">
        <v>480</v>
      </c>
      <c r="D6" s="15" t="s">
        <v>481</v>
      </c>
      <c r="E6" s="15" t="s">
        <v>482</v>
      </c>
      <c r="F6" s="15">
        <v>2022</v>
      </c>
      <c r="G6" s="15" t="s">
        <v>483</v>
      </c>
      <c r="H6" s="15">
        <v>1</v>
      </c>
      <c r="I6" s="15" t="s">
        <v>32</v>
      </c>
      <c r="J6" s="15" t="s">
        <v>33</v>
      </c>
      <c r="L6" s="15">
        <v>360</v>
      </c>
      <c r="M6" s="15">
        <v>1</v>
      </c>
      <c r="N6" s="18" t="s">
        <v>34</v>
      </c>
      <c r="Q6" s="15">
        <v>1</v>
      </c>
      <c r="R6" s="15">
        <v>1</v>
      </c>
      <c r="S6" s="15">
        <v>24</v>
      </c>
      <c r="T6" s="15">
        <v>24</v>
      </c>
      <c r="U6" s="52" t="s">
        <v>53</v>
      </c>
      <c r="V6" s="15">
        <v>72</v>
      </c>
      <c r="W6" s="15" t="s">
        <v>65</v>
      </c>
      <c r="X6" s="15">
        <v>10</v>
      </c>
      <c r="Y6" s="15"/>
      <c r="Z6" s="15">
        <v>1.5</v>
      </c>
      <c r="AA6" s="15"/>
      <c r="AB6" s="15">
        <v>46</v>
      </c>
      <c r="AC6" s="15" t="s">
        <v>65</v>
      </c>
      <c r="AD6" s="15">
        <v>10</v>
      </c>
      <c r="AE6" s="15"/>
      <c r="AF6" s="15">
        <v>2.5</v>
      </c>
    </row>
    <row r="7" spans="1:33" x14ac:dyDescent="0.25">
      <c r="A7" s="15">
        <v>1764</v>
      </c>
      <c r="B7" s="15">
        <v>30740068</v>
      </c>
      <c r="C7" s="15" t="s">
        <v>56</v>
      </c>
      <c r="D7" s="15" t="s">
        <v>57</v>
      </c>
      <c r="E7" s="15" t="s">
        <v>58</v>
      </c>
      <c r="F7" s="15">
        <v>2019</v>
      </c>
      <c r="G7" s="15" t="s">
        <v>59</v>
      </c>
      <c r="H7" s="15">
        <v>1</v>
      </c>
      <c r="I7" s="15" t="s">
        <v>32</v>
      </c>
      <c r="J7" s="15" t="s">
        <v>33</v>
      </c>
      <c r="K7" s="32" t="s">
        <v>40</v>
      </c>
      <c r="L7" s="15">
        <v>240</v>
      </c>
      <c r="M7" s="15">
        <v>1</v>
      </c>
      <c r="N7" s="18">
        <v>21</v>
      </c>
      <c r="O7" s="18">
        <f>N7*L7</f>
        <v>5040</v>
      </c>
      <c r="Q7" s="15">
        <v>48</v>
      </c>
      <c r="R7" s="15">
        <v>1</v>
      </c>
      <c r="S7" s="53"/>
      <c r="T7" s="53"/>
      <c r="U7" s="52" t="s">
        <v>207</v>
      </c>
      <c r="V7" s="15">
        <v>76</v>
      </c>
      <c r="W7" s="15">
        <v>3.9</v>
      </c>
      <c r="X7" s="32" t="s">
        <v>72</v>
      </c>
      <c r="Y7" s="15">
        <v>10</v>
      </c>
      <c r="Z7" s="35">
        <f>W7*(SQRT(Y7))</f>
        <v>12.332882874656679</v>
      </c>
      <c r="AA7" s="15"/>
      <c r="AB7" s="15">
        <v>57</v>
      </c>
      <c r="AC7" s="15">
        <v>4.5</v>
      </c>
      <c r="AD7" s="32" t="s">
        <v>72</v>
      </c>
      <c r="AE7" s="15">
        <v>10</v>
      </c>
      <c r="AF7" s="35">
        <f>AC7*(SQRT(AE7))</f>
        <v>14.230249470757707</v>
      </c>
    </row>
    <row r="8" spans="1:33" x14ac:dyDescent="0.25">
      <c r="A8" s="15">
        <v>1796</v>
      </c>
      <c r="B8" s="15">
        <v>25446675</v>
      </c>
      <c r="C8" s="15" t="s">
        <v>60</v>
      </c>
      <c r="D8" s="15" t="s">
        <v>61</v>
      </c>
      <c r="E8" s="15" t="s">
        <v>62</v>
      </c>
      <c r="F8" s="15">
        <v>2015</v>
      </c>
      <c r="G8" s="15" t="s">
        <v>63</v>
      </c>
      <c r="H8" s="15">
        <v>1</v>
      </c>
      <c r="I8" s="15" t="s">
        <v>32</v>
      </c>
      <c r="J8" s="15" t="s">
        <v>33</v>
      </c>
      <c r="K8" s="32" t="s">
        <v>40</v>
      </c>
      <c r="L8" s="15">
        <v>240</v>
      </c>
      <c r="M8" s="15">
        <v>1</v>
      </c>
      <c r="N8" s="18">
        <v>10</v>
      </c>
      <c r="O8" s="18">
        <f>N8*L8</f>
        <v>2400</v>
      </c>
      <c r="Q8" s="15">
        <v>4</v>
      </c>
      <c r="R8" s="15">
        <v>1</v>
      </c>
      <c r="S8" s="53"/>
      <c r="T8" s="53"/>
      <c r="U8" s="52" t="s">
        <v>388</v>
      </c>
      <c r="V8" s="15">
        <v>87</v>
      </c>
      <c r="W8" s="15" t="s">
        <v>65</v>
      </c>
      <c r="X8" s="15">
        <v>7</v>
      </c>
      <c r="Z8" s="15">
        <v>3.8</v>
      </c>
      <c r="AA8" s="15"/>
      <c r="AB8" s="15">
        <v>66</v>
      </c>
      <c r="AC8" s="15" t="s">
        <v>65</v>
      </c>
      <c r="AD8" s="15">
        <v>7</v>
      </c>
      <c r="AE8" s="15"/>
      <c r="AF8" s="15">
        <v>6</v>
      </c>
    </row>
    <row r="9" spans="1:33" x14ac:dyDescent="0.25">
      <c r="A9" s="15">
        <v>2075</v>
      </c>
      <c r="B9" s="15">
        <v>35814204</v>
      </c>
      <c r="C9" s="15" t="s">
        <v>74</v>
      </c>
      <c r="D9" s="15" t="s">
        <v>75</v>
      </c>
      <c r="E9" s="15" t="s">
        <v>76</v>
      </c>
      <c r="F9" s="15">
        <v>2022</v>
      </c>
      <c r="G9" s="15" t="s">
        <v>77</v>
      </c>
      <c r="H9" s="15">
        <v>1</v>
      </c>
      <c r="I9" s="15" t="s">
        <v>32</v>
      </c>
      <c r="J9" s="15" t="s">
        <v>33</v>
      </c>
      <c r="K9" s="32" t="s">
        <v>40</v>
      </c>
      <c r="L9" s="15">
        <v>180</v>
      </c>
      <c r="M9" s="15">
        <v>1</v>
      </c>
      <c r="N9" s="18">
        <v>21</v>
      </c>
      <c r="O9" s="18">
        <f>N9*L9</f>
        <v>3780</v>
      </c>
      <c r="Q9" s="15">
        <v>1</v>
      </c>
      <c r="R9" s="15">
        <v>1</v>
      </c>
      <c r="S9" s="15">
        <v>24</v>
      </c>
      <c r="T9" s="15">
        <v>24</v>
      </c>
      <c r="U9" s="52" t="s">
        <v>484</v>
      </c>
      <c r="V9" s="15">
        <v>75</v>
      </c>
      <c r="W9" s="15">
        <v>2</v>
      </c>
      <c r="X9" s="15">
        <v>12</v>
      </c>
      <c r="Y9" s="15">
        <v>12</v>
      </c>
      <c r="Z9" s="35">
        <f>W9*(SQRT(Y9))</f>
        <v>6.9282032302755088</v>
      </c>
      <c r="AA9" s="15"/>
      <c r="AB9" s="15">
        <v>51</v>
      </c>
      <c r="AC9" s="15">
        <v>3</v>
      </c>
      <c r="AD9" s="15">
        <v>12</v>
      </c>
      <c r="AE9" s="15">
        <v>12</v>
      </c>
      <c r="AF9" s="35">
        <f>AC9*(SQRT(AE9))</f>
        <v>10.392304845413264</v>
      </c>
    </row>
    <row r="10" spans="1:33" x14ac:dyDescent="0.25">
      <c r="A10" s="15">
        <v>2165</v>
      </c>
      <c r="C10" s="15" t="s">
        <v>485</v>
      </c>
      <c r="D10" s="15" t="s">
        <v>486</v>
      </c>
      <c r="E10" s="15" t="s">
        <v>487</v>
      </c>
      <c r="F10" s="15">
        <v>2020</v>
      </c>
      <c r="G10" s="15" t="s">
        <v>488</v>
      </c>
      <c r="H10" s="15">
        <v>1</v>
      </c>
      <c r="I10" s="15" t="s">
        <v>32</v>
      </c>
      <c r="J10" s="15" t="s">
        <v>33</v>
      </c>
      <c r="K10" s="32" t="s">
        <v>73</v>
      </c>
      <c r="L10" s="15">
        <v>360</v>
      </c>
      <c r="M10" s="15">
        <v>1</v>
      </c>
      <c r="N10" s="18">
        <v>21</v>
      </c>
      <c r="O10" s="18">
        <f>L10*M10*N10</f>
        <v>7560</v>
      </c>
      <c r="Q10" s="15">
        <v>1</v>
      </c>
      <c r="R10" s="15">
        <v>1</v>
      </c>
      <c r="S10" s="15">
        <v>24</v>
      </c>
      <c r="T10" s="15">
        <v>24</v>
      </c>
      <c r="U10" s="15">
        <v>2</v>
      </c>
      <c r="V10" s="15">
        <v>82</v>
      </c>
      <c r="W10" s="15" t="s">
        <v>65</v>
      </c>
      <c r="X10" s="15">
        <v>10</v>
      </c>
      <c r="Y10" s="15"/>
      <c r="Z10" s="15">
        <v>8</v>
      </c>
      <c r="AA10" s="15"/>
      <c r="AB10" s="15">
        <v>60</v>
      </c>
      <c r="AC10" s="15" t="s">
        <v>65</v>
      </c>
      <c r="AD10" s="15">
        <v>10</v>
      </c>
      <c r="AE10" s="15"/>
      <c r="AF10" s="15">
        <v>10</v>
      </c>
      <c r="AG10" s="15"/>
    </row>
    <row r="11" spans="1:33" x14ac:dyDescent="0.25">
      <c r="A11">
        <v>2186</v>
      </c>
      <c r="B11" s="15">
        <v>39295891</v>
      </c>
      <c r="C11" s="15" t="s">
        <v>489</v>
      </c>
      <c r="D11" s="15" t="s">
        <v>490</v>
      </c>
      <c r="E11" s="15" t="s">
        <v>346</v>
      </c>
      <c r="F11" s="15">
        <v>2020</v>
      </c>
      <c r="G11" s="15" t="s">
        <v>491</v>
      </c>
      <c r="H11" s="15">
        <v>1</v>
      </c>
      <c r="I11" s="15" t="s">
        <v>45</v>
      </c>
      <c r="J11" s="15" t="s">
        <v>33</v>
      </c>
      <c r="K11" s="32">
        <v>9</v>
      </c>
      <c r="L11" s="15">
        <v>180</v>
      </c>
      <c r="M11" s="15">
        <v>1</v>
      </c>
      <c r="N11" s="18">
        <v>28</v>
      </c>
      <c r="O11" s="18">
        <f t="shared" ref="O11:O17" si="0">N11*L11</f>
        <v>5040</v>
      </c>
      <c r="Q11" s="15">
        <v>1</v>
      </c>
      <c r="R11" s="15">
        <v>1</v>
      </c>
      <c r="S11" s="15">
        <v>24</v>
      </c>
      <c r="T11" s="15">
        <v>24</v>
      </c>
      <c r="U11" s="52" t="s">
        <v>118</v>
      </c>
      <c r="V11" s="15">
        <v>52</v>
      </c>
      <c r="W11" s="15" t="s">
        <v>65</v>
      </c>
      <c r="X11" s="15">
        <v>10</v>
      </c>
      <c r="Y11" s="15"/>
      <c r="Z11" s="15">
        <v>21</v>
      </c>
      <c r="AA11" s="15"/>
      <c r="AB11" s="15">
        <v>30</v>
      </c>
      <c r="AC11" s="15" t="s">
        <v>65</v>
      </c>
      <c r="AD11" s="15">
        <v>10</v>
      </c>
      <c r="AF11" s="15">
        <v>17</v>
      </c>
    </row>
    <row r="12" spans="1:33" x14ac:dyDescent="0.25">
      <c r="A12" s="37">
        <v>2300</v>
      </c>
      <c r="B12" s="37">
        <v>29561292</v>
      </c>
      <c r="C12" s="37" t="s">
        <v>79</v>
      </c>
      <c r="D12" s="37" t="s">
        <v>80</v>
      </c>
      <c r="E12" s="37" t="s">
        <v>81</v>
      </c>
      <c r="F12" s="37">
        <v>2018</v>
      </c>
      <c r="G12" s="37" t="s">
        <v>82</v>
      </c>
      <c r="H12" s="37">
        <v>1</v>
      </c>
      <c r="I12" s="15" t="s">
        <v>45</v>
      </c>
      <c r="J12" s="15" t="s">
        <v>33</v>
      </c>
      <c r="L12" s="15">
        <v>360</v>
      </c>
      <c r="M12" s="15">
        <v>1</v>
      </c>
      <c r="N12" s="51">
        <v>7</v>
      </c>
      <c r="O12" s="18">
        <f t="shared" si="0"/>
        <v>2520</v>
      </c>
      <c r="Q12" s="15">
        <v>24</v>
      </c>
      <c r="R12" s="15">
        <v>1</v>
      </c>
      <c r="S12" s="15">
        <v>0</v>
      </c>
      <c r="T12" s="15">
        <v>0</v>
      </c>
      <c r="U12" s="52">
        <v>2</v>
      </c>
      <c r="V12" s="15">
        <v>90</v>
      </c>
      <c r="W12" s="15">
        <v>2.6</v>
      </c>
      <c r="X12" s="15">
        <v>8</v>
      </c>
      <c r="Y12" s="15">
        <v>8</v>
      </c>
      <c r="Z12" s="35">
        <f>W12*(SQRT(Y12))</f>
        <v>7.3539105243400948</v>
      </c>
      <c r="AA12" s="15"/>
      <c r="AB12" s="15">
        <v>78</v>
      </c>
      <c r="AC12" s="15">
        <v>6.2</v>
      </c>
      <c r="AD12" s="15">
        <v>8</v>
      </c>
      <c r="AE12" s="15">
        <v>8</v>
      </c>
      <c r="AF12" s="35">
        <f>AC12*(SQRT(AE12))</f>
        <v>17.53624817342638</v>
      </c>
    </row>
    <row r="13" spans="1:33" x14ac:dyDescent="0.25">
      <c r="A13" s="37">
        <v>2300</v>
      </c>
      <c r="B13" s="37">
        <v>29561292</v>
      </c>
      <c r="C13" s="37" t="s">
        <v>79</v>
      </c>
      <c r="D13" s="37" t="s">
        <v>80</v>
      </c>
      <c r="E13" s="37" t="s">
        <v>81</v>
      </c>
      <c r="F13" s="37">
        <v>2018</v>
      </c>
      <c r="G13" s="37" t="s">
        <v>82</v>
      </c>
      <c r="H13" s="37">
        <v>1</v>
      </c>
      <c r="I13" s="15" t="s">
        <v>45</v>
      </c>
      <c r="J13" s="15" t="s">
        <v>33</v>
      </c>
      <c r="L13" s="15">
        <v>360</v>
      </c>
      <c r="M13" s="15">
        <v>1</v>
      </c>
      <c r="N13" s="51">
        <v>14</v>
      </c>
      <c r="O13" s="18">
        <f t="shared" si="0"/>
        <v>5040</v>
      </c>
      <c r="Q13" s="15">
        <v>24</v>
      </c>
      <c r="R13" s="15">
        <v>1</v>
      </c>
      <c r="S13" s="15">
        <v>0</v>
      </c>
      <c r="T13" s="15">
        <v>0</v>
      </c>
      <c r="U13" s="52">
        <v>2</v>
      </c>
      <c r="V13" s="15">
        <v>90</v>
      </c>
      <c r="W13" s="15">
        <v>2.6</v>
      </c>
      <c r="X13" s="15">
        <v>8</v>
      </c>
      <c r="Y13" s="15">
        <v>8</v>
      </c>
      <c r="Z13" s="35">
        <f>W13*(SQRT(Y13))</f>
        <v>7.3539105243400948</v>
      </c>
      <c r="AA13" s="15"/>
      <c r="AB13" s="15">
        <v>61</v>
      </c>
      <c r="AC13" s="15">
        <v>6.2</v>
      </c>
      <c r="AD13" s="15">
        <v>8</v>
      </c>
      <c r="AE13" s="15">
        <v>8</v>
      </c>
      <c r="AF13" s="35">
        <f>AC13*(SQRT(AE13))</f>
        <v>17.53624817342638</v>
      </c>
    </row>
    <row r="14" spans="1:33" x14ac:dyDescent="0.25">
      <c r="A14" s="37">
        <v>2300</v>
      </c>
      <c r="B14" s="37">
        <v>29561292</v>
      </c>
      <c r="C14" s="37" t="s">
        <v>79</v>
      </c>
      <c r="D14" s="37" t="s">
        <v>80</v>
      </c>
      <c r="E14" s="37" t="s">
        <v>81</v>
      </c>
      <c r="F14" s="37">
        <v>2018</v>
      </c>
      <c r="G14" s="37" t="s">
        <v>82</v>
      </c>
      <c r="H14" s="37">
        <v>1</v>
      </c>
      <c r="I14" s="15" t="s">
        <v>45</v>
      </c>
      <c r="J14" s="15" t="s">
        <v>33</v>
      </c>
      <c r="L14" s="15">
        <v>360</v>
      </c>
      <c r="M14" s="15">
        <v>1</v>
      </c>
      <c r="N14" s="51">
        <v>21</v>
      </c>
      <c r="O14" s="18">
        <f t="shared" si="0"/>
        <v>7560</v>
      </c>
      <c r="Q14" s="15">
        <v>24</v>
      </c>
      <c r="R14" s="15">
        <v>1</v>
      </c>
      <c r="S14" s="15">
        <v>0</v>
      </c>
      <c r="T14" s="15">
        <v>0</v>
      </c>
      <c r="U14" s="52">
        <v>2</v>
      </c>
      <c r="V14" s="15">
        <v>90</v>
      </c>
      <c r="W14" s="15">
        <v>2.6</v>
      </c>
      <c r="X14" s="15">
        <v>8</v>
      </c>
      <c r="Y14" s="15">
        <v>8</v>
      </c>
      <c r="Z14" s="35">
        <f>W14*(SQRT(Y14))</f>
        <v>7.3539105243400948</v>
      </c>
      <c r="AA14" s="15"/>
      <c r="AB14" s="15">
        <v>63</v>
      </c>
      <c r="AC14" s="15">
        <v>6.5</v>
      </c>
      <c r="AD14" s="15">
        <v>8</v>
      </c>
      <c r="AE14" s="15">
        <v>8</v>
      </c>
      <c r="AF14" s="35">
        <f>AC14*(SQRT(AE14))</f>
        <v>18.384776310850238</v>
      </c>
    </row>
    <row r="15" spans="1:33" ht="15" customHeight="1" x14ac:dyDescent="0.25">
      <c r="A15" s="37">
        <v>2300</v>
      </c>
      <c r="B15" s="37">
        <v>29561292</v>
      </c>
      <c r="C15" s="37" t="s">
        <v>79</v>
      </c>
      <c r="D15" s="37" t="s">
        <v>80</v>
      </c>
      <c r="E15" s="37" t="s">
        <v>81</v>
      </c>
      <c r="F15" s="37">
        <v>2018</v>
      </c>
      <c r="G15" s="37" t="s">
        <v>82</v>
      </c>
      <c r="H15" s="37">
        <v>1</v>
      </c>
      <c r="I15" s="15" t="s">
        <v>45</v>
      </c>
      <c r="J15" s="15" t="s">
        <v>33</v>
      </c>
      <c r="L15" s="15">
        <v>360</v>
      </c>
      <c r="M15" s="15">
        <v>1</v>
      </c>
      <c r="N15" s="51">
        <v>28</v>
      </c>
      <c r="O15" s="18">
        <f t="shared" si="0"/>
        <v>10080</v>
      </c>
      <c r="Q15" s="15">
        <v>24</v>
      </c>
      <c r="R15" s="15">
        <v>1</v>
      </c>
      <c r="S15" s="15">
        <v>0</v>
      </c>
      <c r="T15" s="15">
        <v>0</v>
      </c>
      <c r="U15" s="52">
        <v>2</v>
      </c>
      <c r="V15" s="15">
        <v>90</v>
      </c>
      <c r="W15" s="15">
        <v>2.6</v>
      </c>
      <c r="X15" s="15">
        <v>8</v>
      </c>
      <c r="Y15" s="15">
        <v>8</v>
      </c>
      <c r="Z15" s="35">
        <f>W15*(SQRT(Y15))</f>
        <v>7.3539105243400948</v>
      </c>
      <c r="AA15" s="15"/>
      <c r="AB15" s="15">
        <v>61</v>
      </c>
      <c r="AC15" s="15">
        <v>4.3</v>
      </c>
      <c r="AD15" s="15">
        <v>8</v>
      </c>
      <c r="AE15" s="15">
        <v>8</v>
      </c>
      <c r="AF15" s="35">
        <f>AC15*(SQRT(AE15))</f>
        <v>12.162236636408618</v>
      </c>
    </row>
    <row r="16" spans="1:33" x14ac:dyDescent="0.25">
      <c r="A16" s="15">
        <v>2504</v>
      </c>
      <c r="B16" s="15">
        <v>36162616</v>
      </c>
      <c r="C16" s="15" t="s">
        <v>93</v>
      </c>
      <c r="D16" s="15" t="s">
        <v>94</v>
      </c>
      <c r="E16" s="15" t="s">
        <v>95</v>
      </c>
      <c r="F16" s="15">
        <v>2022</v>
      </c>
      <c r="G16" s="15" t="s">
        <v>96</v>
      </c>
      <c r="H16" s="15">
        <v>1</v>
      </c>
      <c r="I16" s="15" t="s">
        <v>45</v>
      </c>
      <c r="J16" s="15" t="s">
        <v>33</v>
      </c>
      <c r="L16" s="15">
        <v>360</v>
      </c>
      <c r="M16" s="15">
        <v>1</v>
      </c>
      <c r="N16" s="18">
        <v>21</v>
      </c>
      <c r="O16" s="18">
        <f t="shared" si="0"/>
        <v>7560</v>
      </c>
      <c r="Q16" s="15">
        <v>12</v>
      </c>
      <c r="R16" s="15">
        <v>1</v>
      </c>
      <c r="S16" s="15">
        <v>12</v>
      </c>
      <c r="T16" s="15">
        <v>12</v>
      </c>
      <c r="U16" s="52" t="s">
        <v>484</v>
      </c>
      <c r="V16" s="15">
        <v>80</v>
      </c>
      <c r="W16" s="15" t="s">
        <v>65</v>
      </c>
      <c r="X16" s="15">
        <v>12</v>
      </c>
      <c r="Y16" s="15"/>
      <c r="Z16" s="15">
        <v>8</v>
      </c>
      <c r="AA16" s="15"/>
      <c r="AB16" s="15">
        <v>55</v>
      </c>
      <c r="AC16" s="15" t="s">
        <v>65</v>
      </c>
      <c r="AD16" s="15">
        <v>12</v>
      </c>
      <c r="AE16" s="15"/>
      <c r="AF16" s="15">
        <v>8</v>
      </c>
    </row>
    <row r="17" spans="1:33" x14ac:dyDescent="0.25">
      <c r="A17" s="15">
        <v>2714</v>
      </c>
      <c r="B17" s="15">
        <v>36746244</v>
      </c>
      <c r="C17" s="15" t="s">
        <v>102</v>
      </c>
      <c r="D17" s="15" t="s">
        <v>103</v>
      </c>
      <c r="E17" s="15" t="s">
        <v>104</v>
      </c>
      <c r="F17" s="15">
        <v>2023</v>
      </c>
      <c r="G17" s="15" t="s">
        <v>105</v>
      </c>
      <c r="H17" s="15">
        <v>1</v>
      </c>
      <c r="I17" s="15" t="s">
        <v>32</v>
      </c>
      <c r="J17" s="15" t="s">
        <v>34</v>
      </c>
      <c r="L17" s="15">
        <v>360</v>
      </c>
      <c r="M17" s="15">
        <v>1</v>
      </c>
      <c r="N17" s="18">
        <v>28</v>
      </c>
      <c r="O17" s="18">
        <f t="shared" si="0"/>
        <v>10080</v>
      </c>
      <c r="Q17" s="15">
        <v>1</v>
      </c>
      <c r="R17" s="15">
        <v>1</v>
      </c>
      <c r="S17" s="15">
        <v>23</v>
      </c>
      <c r="T17" s="15">
        <v>23</v>
      </c>
      <c r="U17" s="52" t="s">
        <v>492</v>
      </c>
      <c r="V17" s="15">
        <v>79</v>
      </c>
      <c r="W17" s="15">
        <v>4</v>
      </c>
      <c r="X17" s="15">
        <v>10</v>
      </c>
      <c r="Y17" s="15">
        <v>10</v>
      </c>
      <c r="Z17" s="35">
        <f>W17*(SQRT(Y17))</f>
        <v>12.649110640673518</v>
      </c>
      <c r="AA17" s="15"/>
      <c r="AB17" s="15">
        <v>67</v>
      </c>
      <c r="AC17" s="15">
        <v>2.7</v>
      </c>
      <c r="AD17" s="15">
        <v>10</v>
      </c>
      <c r="AE17" s="15">
        <v>10</v>
      </c>
      <c r="AF17" s="35">
        <f>AC17*(SQRT(AE17))</f>
        <v>8.538149682454625</v>
      </c>
    </row>
    <row r="18" spans="1:33" x14ac:dyDescent="0.25">
      <c r="A18" s="15">
        <v>2744</v>
      </c>
      <c r="B18" s="15">
        <v>37259443</v>
      </c>
      <c r="C18" s="15" t="s">
        <v>107</v>
      </c>
      <c r="D18" s="15" t="s">
        <v>108</v>
      </c>
      <c r="E18" s="15" t="s">
        <v>109</v>
      </c>
      <c r="F18" s="15">
        <v>2023</v>
      </c>
      <c r="G18" s="15" t="s">
        <v>110</v>
      </c>
      <c r="H18" s="15">
        <v>1</v>
      </c>
      <c r="I18" s="15" t="s">
        <v>45</v>
      </c>
      <c r="J18" s="15" t="s">
        <v>33</v>
      </c>
      <c r="L18" s="15">
        <v>360</v>
      </c>
      <c r="M18" s="15">
        <v>1</v>
      </c>
      <c r="N18" s="18">
        <v>21</v>
      </c>
      <c r="O18" s="18">
        <f>N18*L18</f>
        <v>7560</v>
      </c>
      <c r="Q18" s="53"/>
      <c r="R18" s="15">
        <v>1</v>
      </c>
      <c r="S18" s="15">
        <v>16</v>
      </c>
      <c r="T18" s="53"/>
      <c r="U18" s="52" t="s">
        <v>234</v>
      </c>
      <c r="V18" s="15">
        <v>81</v>
      </c>
      <c r="W18" s="15" t="s">
        <v>65</v>
      </c>
      <c r="X18" s="15">
        <v>10</v>
      </c>
      <c r="Y18" s="15"/>
      <c r="Z18" s="15">
        <v>6</v>
      </c>
      <c r="AA18" s="15"/>
      <c r="AB18" s="15">
        <v>45</v>
      </c>
      <c r="AC18" s="15" t="s">
        <v>65</v>
      </c>
      <c r="AD18" s="15">
        <v>10</v>
      </c>
      <c r="AE18" s="15"/>
      <c r="AF18" s="15">
        <v>9</v>
      </c>
    </row>
    <row r="19" spans="1:33" x14ac:dyDescent="0.25">
      <c r="A19" s="15">
        <v>2795</v>
      </c>
      <c r="C19" s="15" t="s">
        <v>113</v>
      </c>
      <c r="D19" s="15" t="s">
        <v>114</v>
      </c>
      <c r="E19" s="15" t="s">
        <v>115</v>
      </c>
      <c r="F19" s="15">
        <v>2022</v>
      </c>
      <c r="G19" s="15" t="s">
        <v>116</v>
      </c>
      <c r="H19" s="15">
        <v>1</v>
      </c>
      <c r="I19" s="15" t="s">
        <v>117</v>
      </c>
      <c r="J19" s="15" t="s">
        <v>33</v>
      </c>
      <c r="L19" s="15">
        <v>360</v>
      </c>
      <c r="M19" s="15">
        <v>1</v>
      </c>
      <c r="N19" s="18">
        <v>28</v>
      </c>
      <c r="O19" s="18">
        <f>L19*M19*N19</f>
        <v>10080</v>
      </c>
      <c r="Q19" s="15">
        <v>1</v>
      </c>
      <c r="R19" s="15">
        <v>24</v>
      </c>
      <c r="S19" s="53"/>
      <c r="T19" s="53"/>
      <c r="U19" s="15" t="s">
        <v>388</v>
      </c>
      <c r="V19" s="15">
        <v>94</v>
      </c>
      <c r="W19" s="15">
        <v>5</v>
      </c>
      <c r="X19" s="15">
        <v>8</v>
      </c>
      <c r="Y19" s="15">
        <v>8</v>
      </c>
      <c r="Z19" s="35">
        <f>W19*(SQRT(Y19))</f>
        <v>14.142135623730951</v>
      </c>
      <c r="AA19" s="15"/>
      <c r="AB19" s="15">
        <v>74</v>
      </c>
      <c r="AC19" s="15">
        <v>9</v>
      </c>
      <c r="AD19" s="15">
        <v>10</v>
      </c>
      <c r="AE19" s="15">
        <v>10</v>
      </c>
      <c r="AF19" s="35">
        <f>AC19*(SQRT(AE19))</f>
        <v>28.460498941515414</v>
      </c>
      <c r="AG19" s="15"/>
    </row>
    <row r="20" spans="1:33" x14ac:dyDescent="0.25">
      <c r="A20" s="15">
        <v>3077</v>
      </c>
      <c r="B20" s="15">
        <v>28763303</v>
      </c>
      <c r="C20" s="15" t="s">
        <v>124</v>
      </c>
      <c r="D20" s="15" t="s">
        <v>125</v>
      </c>
      <c r="E20" s="15" t="s">
        <v>81</v>
      </c>
      <c r="F20" s="15">
        <v>2018</v>
      </c>
      <c r="G20" s="15" t="s">
        <v>126</v>
      </c>
      <c r="H20" s="15">
        <v>1</v>
      </c>
      <c r="I20" s="15" t="s">
        <v>45</v>
      </c>
      <c r="J20" s="15" t="s">
        <v>33</v>
      </c>
      <c r="L20" s="15">
        <v>360</v>
      </c>
      <c r="M20" s="15">
        <v>1</v>
      </c>
      <c r="N20" s="18">
        <v>28</v>
      </c>
      <c r="O20" s="18">
        <f>N20*L20</f>
        <v>10080</v>
      </c>
      <c r="Q20" s="15">
        <v>2</v>
      </c>
      <c r="R20" s="15">
        <v>1</v>
      </c>
      <c r="S20" s="15">
        <v>24</v>
      </c>
      <c r="T20" s="15">
        <v>24</v>
      </c>
      <c r="U20" s="52">
        <v>2</v>
      </c>
      <c r="V20" s="15">
        <v>77</v>
      </c>
      <c r="W20" s="19">
        <v>3.8</v>
      </c>
      <c r="X20" s="15">
        <v>12</v>
      </c>
      <c r="Y20" s="15">
        <v>12</v>
      </c>
      <c r="Z20" s="35">
        <f>W20*(SQRT(Y20))</f>
        <v>13.163586137523467</v>
      </c>
      <c r="AA20" s="15"/>
      <c r="AB20" s="15">
        <v>54</v>
      </c>
      <c r="AC20" s="15">
        <v>2.2999999999999998</v>
      </c>
      <c r="AD20" s="15">
        <v>12</v>
      </c>
      <c r="AE20" s="15">
        <v>12</v>
      </c>
      <c r="AF20" s="35">
        <f>AC20*(SQRT(AE20))</f>
        <v>7.9674337148168348</v>
      </c>
    </row>
    <row r="21" spans="1:33" x14ac:dyDescent="0.25">
      <c r="A21" s="15">
        <v>3482</v>
      </c>
      <c r="C21" s="15" t="s">
        <v>493</v>
      </c>
      <c r="D21" s="15" t="s">
        <v>494</v>
      </c>
      <c r="E21" s="15" t="s">
        <v>495</v>
      </c>
      <c r="F21" s="15">
        <v>2024</v>
      </c>
      <c r="G21" s="15" t="s">
        <v>496</v>
      </c>
      <c r="H21" s="15">
        <v>1</v>
      </c>
      <c r="I21" s="15" t="s">
        <v>32</v>
      </c>
      <c r="J21" s="15" t="s">
        <v>33</v>
      </c>
      <c r="L21" s="15">
        <v>120</v>
      </c>
      <c r="M21" s="15">
        <v>1</v>
      </c>
      <c r="N21" s="18">
        <v>14</v>
      </c>
      <c r="O21" s="18">
        <f>L21*M21*N21</f>
        <v>1680</v>
      </c>
      <c r="Q21" s="15">
        <v>1</v>
      </c>
      <c r="R21" s="15">
        <v>1</v>
      </c>
      <c r="S21" s="15">
        <v>12</v>
      </c>
      <c r="T21" s="53"/>
      <c r="U21" s="15" t="s">
        <v>118</v>
      </c>
      <c r="V21" s="53"/>
      <c r="W21" s="53"/>
      <c r="X21" s="53"/>
      <c r="Y21" s="53"/>
      <c r="Z21" s="53"/>
      <c r="AA21" s="15"/>
      <c r="AB21" s="53"/>
      <c r="AC21" s="53"/>
      <c r="AD21" s="53"/>
      <c r="AE21" s="53"/>
      <c r="AF21" s="53"/>
      <c r="AG21" s="15"/>
    </row>
    <row r="22" spans="1:33" x14ac:dyDescent="0.25">
      <c r="A22" s="15">
        <v>3670</v>
      </c>
      <c r="C22" s="15" t="s">
        <v>144</v>
      </c>
      <c r="D22" s="15" t="s">
        <v>145</v>
      </c>
      <c r="E22" s="15" t="s">
        <v>146</v>
      </c>
      <c r="F22" s="15">
        <v>2021</v>
      </c>
      <c r="G22" s="15" t="s">
        <v>147</v>
      </c>
      <c r="H22" s="15">
        <v>1</v>
      </c>
      <c r="I22" s="15" t="s">
        <v>45</v>
      </c>
      <c r="J22" s="15" t="s">
        <v>33</v>
      </c>
      <c r="K22" s="32" t="s">
        <v>40</v>
      </c>
      <c r="L22" s="15">
        <v>360</v>
      </c>
      <c r="M22" s="15">
        <v>1</v>
      </c>
      <c r="N22" s="18">
        <v>28</v>
      </c>
      <c r="O22" s="18">
        <f>L22*M22*N22</f>
        <v>10080</v>
      </c>
      <c r="Q22" s="15">
        <v>1</v>
      </c>
      <c r="R22" s="15">
        <v>1</v>
      </c>
      <c r="S22" s="15">
        <v>23</v>
      </c>
      <c r="T22" s="15">
        <v>23</v>
      </c>
      <c r="U22" s="15" t="s">
        <v>497</v>
      </c>
      <c r="V22" s="15">
        <v>71</v>
      </c>
      <c r="W22" s="15">
        <v>5</v>
      </c>
      <c r="X22" s="32" t="s">
        <v>148</v>
      </c>
      <c r="Y22" s="15">
        <v>8</v>
      </c>
      <c r="Z22" s="35">
        <f>W22*(SQRT(Y22))</f>
        <v>14.142135623730951</v>
      </c>
      <c r="AA22" s="15"/>
      <c r="AB22" s="15">
        <v>74</v>
      </c>
      <c r="AC22" s="15">
        <v>8</v>
      </c>
      <c r="AD22" s="32" t="s">
        <v>148</v>
      </c>
      <c r="AE22" s="15">
        <v>8</v>
      </c>
      <c r="AF22" s="35">
        <f>AC22*(SQRT(AE22))</f>
        <v>22.627416997969522</v>
      </c>
      <c r="AG22" s="15"/>
    </row>
    <row r="23" spans="1:33" x14ac:dyDescent="0.25">
      <c r="A23">
        <v>3676</v>
      </c>
      <c r="B23" s="15">
        <v>38992775</v>
      </c>
      <c r="C23" s="15" t="s">
        <v>149</v>
      </c>
      <c r="D23" s="15" t="s">
        <v>150</v>
      </c>
      <c r="E23" s="15" t="s">
        <v>151</v>
      </c>
      <c r="F23" s="15">
        <v>2024</v>
      </c>
      <c r="G23" s="15" t="s">
        <v>152</v>
      </c>
      <c r="H23" s="15">
        <v>1</v>
      </c>
      <c r="I23" s="15" t="s">
        <v>32</v>
      </c>
      <c r="J23" s="15" t="s">
        <v>33</v>
      </c>
      <c r="K23" s="32">
        <v>4</v>
      </c>
      <c r="L23" s="15">
        <v>120</v>
      </c>
      <c r="M23" s="15">
        <v>1</v>
      </c>
      <c r="N23" s="18">
        <v>14</v>
      </c>
      <c r="O23" s="18">
        <f>N23*L23</f>
        <v>1680</v>
      </c>
      <c r="Q23" s="15">
        <v>6</v>
      </c>
      <c r="R23" s="55" t="s">
        <v>498</v>
      </c>
      <c r="S23" s="15">
        <v>12</v>
      </c>
      <c r="T23" s="15">
        <v>12</v>
      </c>
      <c r="U23" s="52" t="s">
        <v>499</v>
      </c>
      <c r="V23" s="15">
        <v>73</v>
      </c>
      <c r="W23" s="15">
        <v>3.1</v>
      </c>
      <c r="X23" s="15">
        <v>10</v>
      </c>
      <c r="Y23" s="15">
        <v>10</v>
      </c>
      <c r="Z23" s="35">
        <f>W23*(SQRT(Y23))</f>
        <v>9.803060746521977</v>
      </c>
      <c r="AA23" s="15"/>
      <c r="AB23" s="15">
        <v>51</v>
      </c>
      <c r="AC23" s="15">
        <v>3.8</v>
      </c>
      <c r="AD23" s="15">
        <v>10</v>
      </c>
      <c r="AE23" s="15">
        <v>10</v>
      </c>
      <c r="AF23" s="35">
        <f>AC23*(SQRT(AE23))</f>
        <v>12.016655108639842</v>
      </c>
    </row>
    <row r="24" spans="1:33" x14ac:dyDescent="0.25">
      <c r="A24" s="37">
        <v>3926</v>
      </c>
      <c r="B24" s="37"/>
      <c r="C24" s="37" t="s">
        <v>154</v>
      </c>
      <c r="D24" s="37" t="s">
        <v>155</v>
      </c>
      <c r="E24" s="37" t="s">
        <v>156</v>
      </c>
      <c r="F24" s="37">
        <v>2023</v>
      </c>
      <c r="G24" s="37" t="s">
        <v>157</v>
      </c>
      <c r="H24" s="37">
        <v>1</v>
      </c>
      <c r="I24" s="15" t="s">
        <v>32</v>
      </c>
      <c r="J24" s="37" t="s">
        <v>33</v>
      </c>
      <c r="K24" s="32" t="s">
        <v>158</v>
      </c>
      <c r="L24" s="15">
        <v>240</v>
      </c>
      <c r="M24" s="15">
        <v>1</v>
      </c>
      <c r="N24" s="18">
        <v>21</v>
      </c>
      <c r="O24" s="18">
        <f>L24*M24*N24</f>
        <v>5040</v>
      </c>
      <c r="Q24" s="15">
        <v>2</v>
      </c>
      <c r="R24" s="15">
        <v>1</v>
      </c>
      <c r="S24" s="15">
        <v>24</v>
      </c>
      <c r="T24" s="53"/>
      <c r="U24" s="15" t="s">
        <v>106</v>
      </c>
      <c r="V24" s="15">
        <v>78</v>
      </c>
      <c r="W24" s="15">
        <v>5</v>
      </c>
      <c r="X24" s="15">
        <v>6</v>
      </c>
      <c r="Y24" s="15">
        <v>6</v>
      </c>
      <c r="Z24" s="35">
        <f>W24*(SQRT(Y24))</f>
        <v>12.24744871391589</v>
      </c>
      <c r="AA24" s="15"/>
      <c r="AB24" s="15">
        <v>66</v>
      </c>
      <c r="AC24" s="15">
        <v>9</v>
      </c>
      <c r="AD24" s="15">
        <v>6</v>
      </c>
      <c r="AE24" s="15">
        <v>6</v>
      </c>
      <c r="AF24" s="35">
        <f>AC24*(SQRT(AE24))</f>
        <v>22.045407685048602</v>
      </c>
      <c r="AG24" s="15"/>
    </row>
    <row r="25" spans="1:33" x14ac:dyDescent="0.25">
      <c r="A25" s="37">
        <v>3926</v>
      </c>
      <c r="B25" s="37"/>
      <c r="C25" s="37" t="s">
        <v>154</v>
      </c>
      <c r="D25" s="37" t="s">
        <v>155</v>
      </c>
      <c r="E25" s="37" t="s">
        <v>156</v>
      </c>
      <c r="F25" s="37">
        <v>2023</v>
      </c>
      <c r="G25" s="37" t="s">
        <v>157</v>
      </c>
      <c r="H25" s="37">
        <v>1</v>
      </c>
      <c r="I25" s="15" t="s">
        <v>32</v>
      </c>
      <c r="J25" s="37" t="s">
        <v>91</v>
      </c>
      <c r="K25" s="32" t="s">
        <v>158</v>
      </c>
      <c r="L25" s="15">
        <v>240</v>
      </c>
      <c r="M25" s="15">
        <v>1</v>
      </c>
      <c r="N25" s="18">
        <v>21</v>
      </c>
      <c r="O25" s="18">
        <f>L25*M25*N25</f>
        <v>5040</v>
      </c>
      <c r="Q25" s="15" t="s">
        <v>143</v>
      </c>
      <c r="U25" s="57"/>
      <c r="V25" s="57"/>
      <c r="W25" s="57"/>
      <c r="X25" s="57"/>
      <c r="Y25" s="57"/>
      <c r="Z25" s="57"/>
      <c r="AA25" s="15"/>
      <c r="AB25" s="57"/>
      <c r="AC25" s="57"/>
      <c r="AD25" s="57"/>
      <c r="AE25" s="57"/>
      <c r="AF25" s="57"/>
      <c r="AG25" s="15"/>
    </row>
    <row r="26" spans="1:33" x14ac:dyDescent="0.25">
      <c r="A26" s="15">
        <v>4002</v>
      </c>
      <c r="B26" s="15">
        <v>28420875</v>
      </c>
      <c r="C26" s="15" t="s">
        <v>160</v>
      </c>
      <c r="D26" s="15" t="s">
        <v>161</v>
      </c>
      <c r="E26" s="15" t="s">
        <v>162</v>
      </c>
      <c r="F26" s="15">
        <v>2017</v>
      </c>
      <c r="G26" s="15" t="s">
        <v>163</v>
      </c>
      <c r="H26" s="15">
        <v>1</v>
      </c>
      <c r="I26" s="15" t="s">
        <v>32</v>
      </c>
      <c r="J26" s="15" t="s">
        <v>33</v>
      </c>
      <c r="L26" s="15">
        <v>120</v>
      </c>
      <c r="M26" s="15">
        <v>1</v>
      </c>
      <c r="N26" s="18">
        <v>14</v>
      </c>
      <c r="O26" s="18">
        <f t="shared" ref="O26:O34" si="1">N26*L26</f>
        <v>1680</v>
      </c>
      <c r="P26" s="15" t="s">
        <v>500</v>
      </c>
      <c r="Q26" s="15">
        <v>1</v>
      </c>
      <c r="R26" s="15">
        <v>1</v>
      </c>
      <c r="S26" s="15">
        <v>12</v>
      </c>
      <c r="T26" s="15">
        <v>12</v>
      </c>
      <c r="U26" s="52" t="s">
        <v>501</v>
      </c>
      <c r="V26" s="15">
        <v>85</v>
      </c>
      <c r="W26" s="15">
        <v>2.4</v>
      </c>
      <c r="X26" s="15">
        <v>20</v>
      </c>
      <c r="Y26" s="15">
        <v>20</v>
      </c>
      <c r="Z26" s="35">
        <f>W26*(SQRT(Y26))</f>
        <v>10.733126291998991</v>
      </c>
      <c r="AA26" s="15"/>
      <c r="AB26" s="15">
        <v>62</v>
      </c>
      <c r="AC26" s="15">
        <v>6</v>
      </c>
      <c r="AD26" s="15">
        <v>20</v>
      </c>
      <c r="AE26" s="15">
        <v>20</v>
      </c>
      <c r="AF26" s="35">
        <f>AC26*(SQRT(AE26))</f>
        <v>26.832815729997478</v>
      </c>
    </row>
    <row r="27" spans="1:33" x14ac:dyDescent="0.25">
      <c r="A27" s="15">
        <v>4025</v>
      </c>
      <c r="B27" s="15">
        <v>33291797</v>
      </c>
      <c r="C27" s="15" t="s">
        <v>166</v>
      </c>
      <c r="D27" s="15" t="s">
        <v>167</v>
      </c>
      <c r="E27" s="15" t="s">
        <v>168</v>
      </c>
      <c r="F27" s="15">
        <v>2020</v>
      </c>
      <c r="G27" s="15" t="s">
        <v>169</v>
      </c>
      <c r="H27" s="15">
        <v>1</v>
      </c>
      <c r="I27" s="15" t="s">
        <v>32</v>
      </c>
      <c r="J27" s="15" t="s">
        <v>33</v>
      </c>
      <c r="K27" s="32">
        <v>6</v>
      </c>
      <c r="L27" s="15">
        <v>120</v>
      </c>
      <c r="M27" s="15">
        <v>1</v>
      </c>
      <c r="N27" s="18">
        <v>21</v>
      </c>
      <c r="O27" s="18">
        <f t="shared" si="1"/>
        <v>2520</v>
      </c>
      <c r="Q27" s="15">
        <v>24</v>
      </c>
      <c r="R27" s="15">
        <v>1</v>
      </c>
      <c r="S27" s="53"/>
      <c r="T27" s="53"/>
      <c r="U27" s="52" t="s">
        <v>388</v>
      </c>
      <c r="V27" s="15">
        <v>90</v>
      </c>
      <c r="W27" s="15">
        <v>0.3</v>
      </c>
      <c r="X27" s="18" t="s">
        <v>502</v>
      </c>
      <c r="Y27" s="15">
        <v>9</v>
      </c>
      <c r="Z27" s="35">
        <f>W27*(SQRT(Y27))</f>
        <v>0.89999999999999991</v>
      </c>
      <c r="AA27" s="15"/>
      <c r="AB27" s="15">
        <v>70</v>
      </c>
      <c r="AC27" s="19">
        <v>1.9</v>
      </c>
      <c r="AD27" s="18" t="s">
        <v>502</v>
      </c>
      <c r="AE27" s="15">
        <v>9</v>
      </c>
      <c r="AF27" s="35">
        <f>AC27*(SQRT(AE27))</f>
        <v>5.6999999999999993</v>
      </c>
    </row>
    <row r="28" spans="1:33" ht="15" customHeight="1" x14ac:dyDescent="0.25">
      <c r="A28" s="15">
        <v>4070</v>
      </c>
      <c r="B28" s="15">
        <v>29317595</v>
      </c>
      <c r="C28" s="15" t="s">
        <v>181</v>
      </c>
      <c r="D28" s="15" t="s">
        <v>182</v>
      </c>
      <c r="E28" s="15" t="s">
        <v>183</v>
      </c>
      <c r="F28" s="15">
        <v>2018</v>
      </c>
      <c r="G28" s="15" t="s">
        <v>184</v>
      </c>
      <c r="H28" s="15">
        <v>1</v>
      </c>
      <c r="I28" s="15" t="s">
        <v>32</v>
      </c>
      <c r="J28" s="15" t="s">
        <v>33</v>
      </c>
      <c r="L28" s="15">
        <v>360</v>
      </c>
      <c r="M28" s="15">
        <v>1</v>
      </c>
      <c r="N28" s="18">
        <v>21</v>
      </c>
      <c r="O28" s="18">
        <f t="shared" si="1"/>
        <v>7560</v>
      </c>
      <c r="Q28" s="15">
        <v>1</v>
      </c>
      <c r="R28" s="53"/>
      <c r="S28" s="53"/>
      <c r="T28" s="53"/>
      <c r="U28" s="52" t="s">
        <v>503</v>
      </c>
      <c r="V28" s="15"/>
      <c r="W28" s="15"/>
      <c r="X28" s="53"/>
      <c r="Y28" s="53"/>
      <c r="Z28" s="35"/>
      <c r="AA28" s="15"/>
      <c r="AB28" s="15"/>
      <c r="AC28" s="15"/>
      <c r="AD28" s="53"/>
      <c r="AE28" s="53"/>
      <c r="AF28" s="35"/>
    </row>
    <row r="29" spans="1:33" x14ac:dyDescent="0.25">
      <c r="A29" s="15">
        <v>4745</v>
      </c>
      <c r="B29" s="15">
        <v>28388904</v>
      </c>
      <c r="C29" s="15" t="s">
        <v>504</v>
      </c>
      <c r="D29" s="15" t="s">
        <v>505</v>
      </c>
      <c r="E29" s="15" t="s">
        <v>506</v>
      </c>
      <c r="F29" s="15">
        <v>2017</v>
      </c>
      <c r="G29" s="15" t="s">
        <v>507</v>
      </c>
      <c r="H29" s="15">
        <v>1</v>
      </c>
      <c r="I29" s="15" t="s">
        <v>32</v>
      </c>
      <c r="J29" s="15" t="s">
        <v>33</v>
      </c>
      <c r="L29" s="15">
        <v>360</v>
      </c>
      <c r="M29" s="15">
        <v>1</v>
      </c>
      <c r="N29" s="18">
        <v>63</v>
      </c>
      <c r="O29" s="18">
        <f t="shared" si="1"/>
        <v>22680</v>
      </c>
      <c r="Q29" s="15">
        <v>1</v>
      </c>
      <c r="R29" s="15">
        <v>1</v>
      </c>
      <c r="S29" s="15">
        <v>24</v>
      </c>
      <c r="T29" s="15">
        <v>24</v>
      </c>
      <c r="U29" s="52" t="s">
        <v>112</v>
      </c>
      <c r="V29" s="15">
        <v>78</v>
      </c>
      <c r="W29" s="15" t="s">
        <v>65</v>
      </c>
      <c r="X29" s="15">
        <v>10</v>
      </c>
      <c r="Y29" s="15"/>
      <c r="Z29" s="15">
        <v>9</v>
      </c>
      <c r="AA29" s="15"/>
      <c r="AB29" s="15">
        <v>49</v>
      </c>
      <c r="AC29" s="15" t="s">
        <v>65</v>
      </c>
      <c r="AD29" s="15">
        <v>10</v>
      </c>
      <c r="AE29" s="15"/>
      <c r="AF29" s="15">
        <v>17</v>
      </c>
    </row>
    <row r="30" spans="1:33" x14ac:dyDescent="0.25">
      <c r="A30" s="15">
        <v>4794</v>
      </c>
      <c r="B30" s="15">
        <v>35780963</v>
      </c>
      <c r="C30" s="15" t="s">
        <v>508</v>
      </c>
      <c r="D30" s="15" t="s">
        <v>509</v>
      </c>
      <c r="E30" s="15" t="s">
        <v>104</v>
      </c>
      <c r="F30" s="15">
        <v>2022</v>
      </c>
      <c r="G30" s="15" t="s">
        <v>510</v>
      </c>
      <c r="H30" s="15">
        <v>1</v>
      </c>
      <c r="I30" s="15" t="s">
        <v>32</v>
      </c>
      <c r="J30" s="15" t="s">
        <v>33</v>
      </c>
      <c r="L30" s="15">
        <v>360</v>
      </c>
      <c r="M30" s="15">
        <v>1</v>
      </c>
      <c r="N30" s="18">
        <v>21</v>
      </c>
      <c r="O30" s="18">
        <f t="shared" si="1"/>
        <v>7560</v>
      </c>
      <c r="Q30" s="15">
        <v>48</v>
      </c>
      <c r="R30" s="15">
        <v>1</v>
      </c>
      <c r="S30" s="15">
        <v>6</v>
      </c>
      <c r="T30" s="15">
        <v>6</v>
      </c>
      <c r="U30" s="52" t="s">
        <v>484</v>
      </c>
      <c r="V30" s="15">
        <v>80</v>
      </c>
      <c r="W30" s="15">
        <v>3</v>
      </c>
      <c r="X30" s="15">
        <v>10</v>
      </c>
      <c r="Y30" s="15">
        <v>10</v>
      </c>
      <c r="Z30" s="35">
        <f>W30*(SQRT(Y30))</f>
        <v>9.4868329805051381</v>
      </c>
      <c r="AA30" s="15"/>
      <c r="AB30" s="15">
        <v>61</v>
      </c>
      <c r="AC30" s="15">
        <v>8</v>
      </c>
      <c r="AD30" s="15">
        <v>10</v>
      </c>
      <c r="AE30" s="15">
        <v>10</v>
      </c>
      <c r="AF30" s="35">
        <f>AC30*(SQRT(AE30))</f>
        <v>25.298221281347036</v>
      </c>
    </row>
    <row r="31" spans="1:33" ht="15" customHeight="1" x14ac:dyDescent="0.25">
      <c r="A31" s="37">
        <v>4887</v>
      </c>
      <c r="B31" s="37">
        <v>36921909</v>
      </c>
      <c r="C31" s="37" t="s">
        <v>511</v>
      </c>
      <c r="D31" s="37" t="s">
        <v>512</v>
      </c>
      <c r="E31" s="37" t="s">
        <v>513</v>
      </c>
      <c r="F31" s="37">
        <v>2023</v>
      </c>
      <c r="G31" s="37" t="s">
        <v>514</v>
      </c>
      <c r="H31" s="37">
        <v>1</v>
      </c>
      <c r="I31" s="15" t="s">
        <v>45</v>
      </c>
      <c r="J31" s="37" t="s">
        <v>33</v>
      </c>
      <c r="L31" s="15">
        <v>360</v>
      </c>
      <c r="M31" s="15">
        <v>1</v>
      </c>
      <c r="N31" s="51">
        <v>11</v>
      </c>
      <c r="O31" s="18">
        <f t="shared" si="1"/>
        <v>3960</v>
      </c>
      <c r="Q31" s="15">
        <v>16</v>
      </c>
      <c r="R31" s="15">
        <v>1</v>
      </c>
      <c r="S31" s="15">
        <v>6</v>
      </c>
      <c r="T31" s="15">
        <v>6</v>
      </c>
      <c r="U31" s="54"/>
      <c r="V31" s="53"/>
      <c r="W31" s="53"/>
      <c r="X31" s="53"/>
      <c r="Y31" s="53"/>
      <c r="Z31" s="53"/>
      <c r="AA31" s="15"/>
      <c r="AB31" s="53"/>
      <c r="AC31" s="53"/>
      <c r="AD31" s="53"/>
      <c r="AE31" s="53"/>
      <c r="AF31" s="53"/>
    </row>
    <row r="32" spans="1:33" x14ac:dyDescent="0.25">
      <c r="A32" s="37">
        <v>4887</v>
      </c>
      <c r="B32" s="37">
        <v>36921909</v>
      </c>
      <c r="C32" s="37" t="s">
        <v>511</v>
      </c>
      <c r="D32" s="37" t="s">
        <v>512</v>
      </c>
      <c r="E32" s="37" t="s">
        <v>513</v>
      </c>
      <c r="F32" s="37">
        <v>2023</v>
      </c>
      <c r="G32" s="37" t="s">
        <v>514</v>
      </c>
      <c r="H32" s="37">
        <v>1</v>
      </c>
      <c r="I32" s="15" t="s">
        <v>45</v>
      </c>
      <c r="J32" s="37" t="s">
        <v>91</v>
      </c>
      <c r="L32" s="15">
        <v>360</v>
      </c>
      <c r="M32" s="15">
        <v>1</v>
      </c>
      <c r="N32" s="51">
        <v>11</v>
      </c>
      <c r="O32" s="18">
        <f t="shared" si="1"/>
        <v>3960</v>
      </c>
      <c r="Q32" s="15">
        <v>16</v>
      </c>
      <c r="R32" s="15">
        <v>1</v>
      </c>
      <c r="S32" s="15">
        <v>6</v>
      </c>
      <c r="T32" s="15">
        <v>6</v>
      </c>
      <c r="U32" s="54"/>
      <c r="V32" s="53"/>
      <c r="W32" s="53"/>
      <c r="X32" s="53"/>
      <c r="Y32" s="53"/>
      <c r="Z32" s="53"/>
      <c r="AA32" s="15"/>
      <c r="AB32" s="53"/>
      <c r="AC32" s="53"/>
      <c r="AD32" s="53"/>
      <c r="AE32" s="53"/>
      <c r="AF32" s="53"/>
    </row>
    <row r="33" spans="1:33" x14ac:dyDescent="0.25">
      <c r="A33" s="37">
        <v>4887</v>
      </c>
      <c r="B33" s="37">
        <v>36921909</v>
      </c>
      <c r="C33" s="37" t="s">
        <v>511</v>
      </c>
      <c r="D33" s="37" t="s">
        <v>512</v>
      </c>
      <c r="E33" s="37" t="s">
        <v>513</v>
      </c>
      <c r="F33" s="37">
        <v>2023</v>
      </c>
      <c r="G33" s="37" t="s">
        <v>514</v>
      </c>
      <c r="H33" s="37">
        <v>1</v>
      </c>
      <c r="I33" s="15" t="s">
        <v>45</v>
      </c>
      <c r="J33" s="37" t="s">
        <v>33</v>
      </c>
      <c r="L33" s="15">
        <v>360</v>
      </c>
      <c r="M33" s="15">
        <v>1</v>
      </c>
      <c r="N33" s="51">
        <v>22</v>
      </c>
      <c r="O33" s="18">
        <f t="shared" si="1"/>
        <v>7920</v>
      </c>
      <c r="Q33" s="15">
        <v>16</v>
      </c>
      <c r="R33" s="15">
        <v>1</v>
      </c>
      <c r="S33" s="15">
        <v>6</v>
      </c>
      <c r="T33" s="15">
        <v>6</v>
      </c>
      <c r="U33" s="54"/>
      <c r="V33" s="53"/>
      <c r="W33" s="53"/>
      <c r="X33" s="53"/>
      <c r="Y33" s="53"/>
      <c r="Z33" s="53"/>
      <c r="AA33" s="15"/>
      <c r="AB33" s="53"/>
      <c r="AC33" s="53"/>
      <c r="AD33" s="53"/>
      <c r="AE33" s="53"/>
      <c r="AF33" s="53"/>
    </row>
    <row r="34" spans="1:33" x14ac:dyDescent="0.25">
      <c r="A34" s="37">
        <v>4887</v>
      </c>
      <c r="B34" s="37">
        <v>36921909</v>
      </c>
      <c r="C34" s="37" t="s">
        <v>511</v>
      </c>
      <c r="D34" s="37" t="s">
        <v>512</v>
      </c>
      <c r="E34" s="37" t="s">
        <v>513</v>
      </c>
      <c r="F34" s="37">
        <v>2023</v>
      </c>
      <c r="G34" s="37" t="s">
        <v>514</v>
      </c>
      <c r="H34" s="37">
        <v>1</v>
      </c>
      <c r="I34" s="15" t="s">
        <v>45</v>
      </c>
      <c r="J34" s="37" t="s">
        <v>91</v>
      </c>
      <c r="L34" s="15">
        <v>360</v>
      </c>
      <c r="M34" s="15">
        <v>1</v>
      </c>
      <c r="N34" s="51">
        <v>22</v>
      </c>
      <c r="O34" s="18">
        <f t="shared" si="1"/>
        <v>7920</v>
      </c>
      <c r="Q34" s="15">
        <v>16</v>
      </c>
      <c r="R34" s="15">
        <v>1</v>
      </c>
      <c r="S34" s="15">
        <v>6</v>
      </c>
      <c r="T34" s="15">
        <v>6</v>
      </c>
      <c r="U34" s="54"/>
      <c r="V34" s="53"/>
      <c r="W34" s="53"/>
      <c r="X34" s="53"/>
      <c r="Y34" s="53"/>
      <c r="Z34" s="53"/>
      <c r="AA34" s="15"/>
      <c r="AB34" s="53"/>
      <c r="AC34" s="53"/>
      <c r="AD34" s="53"/>
      <c r="AE34" s="53"/>
      <c r="AF34" s="53"/>
    </row>
    <row r="35" spans="1:33" x14ac:dyDescent="0.25">
      <c r="A35" s="37">
        <v>4911</v>
      </c>
      <c r="B35" s="37">
        <v>39432823</v>
      </c>
      <c r="C35" s="37" t="s">
        <v>198</v>
      </c>
      <c r="D35" s="37" t="s">
        <v>199</v>
      </c>
      <c r="E35" s="37" t="s">
        <v>200</v>
      </c>
      <c r="F35" s="37">
        <v>2024</v>
      </c>
      <c r="G35" s="37" t="s">
        <v>201</v>
      </c>
      <c r="H35" s="37">
        <v>1</v>
      </c>
      <c r="I35" s="15" t="s">
        <v>32</v>
      </c>
      <c r="J35" s="15" t="s">
        <v>33</v>
      </c>
      <c r="K35" s="32" t="s">
        <v>159</v>
      </c>
      <c r="L35" s="15">
        <v>480</v>
      </c>
      <c r="M35" s="15">
        <v>1</v>
      </c>
      <c r="N35" s="18">
        <v>28</v>
      </c>
      <c r="O35" s="18">
        <f>N35*L35</f>
        <v>13440</v>
      </c>
      <c r="P35" s="15" t="s">
        <v>515</v>
      </c>
      <c r="Q35" s="15">
        <v>48</v>
      </c>
      <c r="R35" s="15">
        <v>0.1</v>
      </c>
      <c r="S35" s="53"/>
      <c r="T35" s="53"/>
      <c r="U35" s="52" t="s">
        <v>388</v>
      </c>
      <c r="V35" s="15">
        <v>81</v>
      </c>
      <c r="W35" s="15" t="s">
        <v>65</v>
      </c>
      <c r="X35" s="15"/>
      <c r="Y35" s="15"/>
      <c r="Z35" s="35">
        <v>3.4</v>
      </c>
      <c r="AA35" s="18"/>
      <c r="AB35" s="15">
        <v>55</v>
      </c>
      <c r="AC35" s="15" t="s">
        <v>65</v>
      </c>
      <c r="AD35" s="15"/>
      <c r="AE35" s="15"/>
      <c r="AF35" s="35">
        <v>5</v>
      </c>
    </row>
    <row r="36" spans="1:33" x14ac:dyDescent="0.25">
      <c r="A36" s="37">
        <v>4911</v>
      </c>
      <c r="B36" s="37">
        <v>39432823</v>
      </c>
      <c r="C36" s="37" t="s">
        <v>198</v>
      </c>
      <c r="D36" s="37" t="s">
        <v>199</v>
      </c>
      <c r="E36" s="37" t="s">
        <v>200</v>
      </c>
      <c r="F36" s="37">
        <v>2024</v>
      </c>
      <c r="G36" s="37" t="s">
        <v>201</v>
      </c>
      <c r="H36" s="37">
        <v>1</v>
      </c>
      <c r="I36" s="15" t="s">
        <v>32</v>
      </c>
      <c r="J36" s="15" t="s">
        <v>33</v>
      </c>
      <c r="K36" s="32" t="s">
        <v>159</v>
      </c>
      <c r="L36" s="15">
        <v>480</v>
      </c>
      <c r="M36" s="15">
        <v>1</v>
      </c>
      <c r="N36" s="18">
        <v>28</v>
      </c>
      <c r="O36" s="18">
        <f>N36*L36</f>
        <v>13440</v>
      </c>
      <c r="P36" s="15" t="s">
        <v>516</v>
      </c>
      <c r="Q36" s="15">
        <v>48</v>
      </c>
      <c r="R36" s="15">
        <v>0.1</v>
      </c>
      <c r="S36" s="53"/>
      <c r="T36" s="53"/>
      <c r="U36" s="52" t="s">
        <v>388</v>
      </c>
      <c r="V36" s="15">
        <v>81</v>
      </c>
      <c r="W36" s="15" t="s">
        <v>65</v>
      </c>
      <c r="X36" s="15"/>
      <c r="Y36" s="15"/>
      <c r="Z36" s="35">
        <v>3.4</v>
      </c>
      <c r="AA36" s="18"/>
      <c r="AB36" s="15">
        <v>59</v>
      </c>
      <c r="AC36" s="15" t="s">
        <v>65</v>
      </c>
      <c r="AD36" s="15"/>
      <c r="AE36" s="15"/>
      <c r="AF36" s="35">
        <v>4.5999999999999996</v>
      </c>
    </row>
    <row r="37" spans="1:33" x14ac:dyDescent="0.25">
      <c r="A37" s="15">
        <v>4973</v>
      </c>
      <c r="C37" s="40" t="s">
        <v>208</v>
      </c>
      <c r="D37" s="40" t="s">
        <v>209</v>
      </c>
      <c r="E37" s="40" t="s">
        <v>210</v>
      </c>
      <c r="F37" s="40">
        <v>2022</v>
      </c>
      <c r="G37" s="41" t="s">
        <v>211</v>
      </c>
      <c r="H37" s="15">
        <v>1</v>
      </c>
      <c r="I37" s="15" t="s">
        <v>32</v>
      </c>
      <c r="J37" s="15" t="s">
        <v>33</v>
      </c>
      <c r="L37" s="15">
        <v>150</v>
      </c>
      <c r="M37" s="15">
        <v>1</v>
      </c>
      <c r="N37" s="18">
        <v>13</v>
      </c>
      <c r="O37" s="18">
        <f>L37*M37*N37</f>
        <v>1950</v>
      </c>
      <c r="Q37" s="15">
        <v>24</v>
      </c>
      <c r="R37" s="15">
        <v>1</v>
      </c>
      <c r="S37" s="53"/>
      <c r="T37" s="53"/>
      <c r="U37" s="54"/>
      <c r="V37" s="53"/>
      <c r="W37" s="53"/>
      <c r="X37" s="53"/>
      <c r="Y37" s="53"/>
      <c r="Z37" s="53"/>
      <c r="AA37" s="15"/>
      <c r="AB37" s="53"/>
      <c r="AC37" s="53"/>
      <c r="AD37" s="53"/>
      <c r="AE37" s="53"/>
      <c r="AF37" s="53"/>
      <c r="AG37" s="15"/>
    </row>
    <row r="38" spans="1:33" x14ac:dyDescent="0.25">
      <c r="A38">
        <v>5014</v>
      </c>
      <c r="B38" s="15">
        <v>38703343</v>
      </c>
      <c r="C38" s="15" t="s">
        <v>212</v>
      </c>
      <c r="D38" s="15" t="s">
        <v>213</v>
      </c>
      <c r="E38" s="15" t="s">
        <v>214</v>
      </c>
      <c r="F38" s="15">
        <v>2024</v>
      </c>
      <c r="G38" s="15" t="s">
        <v>215</v>
      </c>
      <c r="H38" s="15">
        <v>1</v>
      </c>
      <c r="I38" s="15" t="s">
        <v>45</v>
      </c>
      <c r="J38" s="15" t="s">
        <v>33</v>
      </c>
      <c r="K38" s="32" t="s">
        <v>88</v>
      </c>
      <c r="L38" s="15">
        <v>360</v>
      </c>
      <c r="M38" s="15">
        <v>1</v>
      </c>
      <c r="N38" s="18">
        <v>21</v>
      </c>
      <c r="O38" s="18">
        <f>N38*L38</f>
        <v>7560</v>
      </c>
      <c r="Q38" s="15">
        <v>4</v>
      </c>
      <c r="R38" s="15">
        <v>2</v>
      </c>
      <c r="S38" s="15">
        <v>16</v>
      </c>
      <c r="T38" s="53"/>
      <c r="U38" s="52" t="s">
        <v>517</v>
      </c>
      <c r="V38" s="15">
        <v>71</v>
      </c>
      <c r="W38" s="15" t="s">
        <v>65</v>
      </c>
      <c r="X38" s="53"/>
      <c r="Y38" s="15"/>
      <c r="Z38" s="15">
        <v>19</v>
      </c>
      <c r="AA38" s="15"/>
      <c r="AB38" s="15">
        <v>32</v>
      </c>
      <c r="AC38" s="15" t="s">
        <v>65</v>
      </c>
      <c r="AD38" s="53"/>
      <c r="AE38" s="15"/>
      <c r="AF38" s="15">
        <v>22</v>
      </c>
    </row>
    <row r="39" spans="1:33" x14ac:dyDescent="0.25">
      <c r="A39" s="15">
        <v>5437</v>
      </c>
      <c r="B39" s="15">
        <v>40596094</v>
      </c>
      <c r="C39" s="15" t="s">
        <v>250</v>
      </c>
      <c r="D39" s="15" t="s">
        <v>251</v>
      </c>
      <c r="E39" s="15" t="s">
        <v>162</v>
      </c>
      <c r="F39" s="15">
        <v>2025</v>
      </c>
      <c r="G39" s="15" t="s">
        <v>252</v>
      </c>
      <c r="H39" s="15">
        <v>1</v>
      </c>
      <c r="I39" s="15" t="s">
        <v>32</v>
      </c>
      <c r="J39" s="15" t="s">
        <v>33</v>
      </c>
      <c r="K39" s="32" t="s">
        <v>253</v>
      </c>
      <c r="L39" s="15">
        <v>150</v>
      </c>
      <c r="M39" s="15">
        <v>1</v>
      </c>
      <c r="N39" s="18">
        <v>35</v>
      </c>
      <c r="O39" s="18">
        <f>L39*M39*N39</f>
        <v>5250</v>
      </c>
      <c r="P39" s="15" t="s">
        <v>254</v>
      </c>
      <c r="Q39" s="15">
        <v>1</v>
      </c>
      <c r="R39" s="15">
        <v>20</v>
      </c>
      <c r="S39" s="53"/>
      <c r="T39" s="53"/>
      <c r="U39" s="15">
        <v>3</v>
      </c>
      <c r="V39" s="15">
        <v>80</v>
      </c>
      <c r="W39" s="15">
        <v>2.6</v>
      </c>
      <c r="X39" s="15">
        <v>3</v>
      </c>
      <c r="Y39" s="15">
        <v>3</v>
      </c>
      <c r="Z39" s="35">
        <f>W39*(SQRT(Y39))</f>
        <v>4.5033320996790804</v>
      </c>
      <c r="AA39" s="15"/>
      <c r="AB39" s="15">
        <v>41</v>
      </c>
      <c r="AC39" s="15">
        <v>19</v>
      </c>
      <c r="AD39" s="15">
        <v>3</v>
      </c>
      <c r="AE39" s="15">
        <v>3</v>
      </c>
      <c r="AF39" s="35">
        <f>AC39*(SQRT(AE39))</f>
        <v>32.908965343808667</v>
      </c>
      <c r="AG39" s="15"/>
    </row>
    <row r="40" spans="1:33" x14ac:dyDescent="0.25">
      <c r="A40" s="15">
        <v>5446</v>
      </c>
      <c r="C40" s="15" t="s">
        <v>255</v>
      </c>
      <c r="D40" s="15" t="s">
        <v>256</v>
      </c>
      <c r="E40" s="15" t="s">
        <v>257</v>
      </c>
      <c r="F40" s="15">
        <v>2022</v>
      </c>
      <c r="G40" s="15" t="s">
        <v>258</v>
      </c>
      <c r="H40" s="15">
        <v>1</v>
      </c>
      <c r="I40" s="15" t="s">
        <v>45</v>
      </c>
      <c r="J40" s="15" t="s">
        <v>33</v>
      </c>
      <c r="K40" s="32" t="s">
        <v>158</v>
      </c>
      <c r="L40" s="15">
        <v>360</v>
      </c>
      <c r="M40" s="15">
        <v>1</v>
      </c>
      <c r="N40" s="18">
        <v>28</v>
      </c>
      <c r="O40" s="18">
        <f>L40*M40*N40</f>
        <v>10080</v>
      </c>
      <c r="Q40" s="15">
        <v>24</v>
      </c>
      <c r="R40" s="15">
        <v>1</v>
      </c>
      <c r="S40" s="53"/>
      <c r="T40" s="53"/>
      <c r="U40" s="15" t="s">
        <v>64</v>
      </c>
      <c r="V40" s="15">
        <v>98</v>
      </c>
      <c r="W40" s="15" t="s">
        <v>65</v>
      </c>
      <c r="X40" s="15">
        <v>15</v>
      </c>
      <c r="Y40" s="15"/>
      <c r="Z40" s="15">
        <v>2</v>
      </c>
      <c r="AA40" s="15"/>
      <c r="AB40" s="15">
        <v>71</v>
      </c>
      <c r="AC40" s="15" t="s">
        <v>65</v>
      </c>
      <c r="AD40" s="15">
        <v>15</v>
      </c>
      <c r="AE40" s="15"/>
      <c r="AF40" s="15">
        <v>10</v>
      </c>
      <c r="AG40" s="15"/>
    </row>
    <row r="41" spans="1:33" x14ac:dyDescent="0.25">
      <c r="A41" s="15">
        <v>5610</v>
      </c>
      <c r="C41" s="40" t="s">
        <v>260</v>
      </c>
      <c r="D41" s="40" t="s">
        <v>261</v>
      </c>
      <c r="E41" s="40" t="s">
        <v>262</v>
      </c>
      <c r="F41" s="40">
        <v>2025</v>
      </c>
      <c r="G41" s="41" t="s">
        <v>263</v>
      </c>
      <c r="H41" s="15">
        <v>1</v>
      </c>
      <c r="I41" s="15" t="s">
        <v>45</v>
      </c>
      <c r="J41" s="15" t="s">
        <v>33</v>
      </c>
      <c r="L41" s="15">
        <v>480</v>
      </c>
      <c r="M41" s="15">
        <v>1</v>
      </c>
      <c r="N41" s="18">
        <v>14</v>
      </c>
      <c r="O41" s="18">
        <f>L41*M41*N41</f>
        <v>6720</v>
      </c>
      <c r="Q41" s="15">
        <v>16</v>
      </c>
      <c r="R41" s="15">
        <v>1.2</v>
      </c>
      <c r="S41" s="53"/>
      <c r="T41" s="53"/>
      <c r="U41" s="15" t="s">
        <v>46</v>
      </c>
      <c r="V41" s="15">
        <v>99.6</v>
      </c>
      <c r="W41" s="15">
        <v>1.7</v>
      </c>
      <c r="X41" s="15">
        <v>4</v>
      </c>
      <c r="Y41" s="15">
        <v>4</v>
      </c>
      <c r="Z41" s="35">
        <f>W41*(SQRT(Y41))</f>
        <v>3.4</v>
      </c>
      <c r="AA41" s="15"/>
      <c r="AB41" s="15">
        <v>93.7</v>
      </c>
      <c r="AC41" s="15">
        <v>1.5</v>
      </c>
      <c r="AD41" s="15">
        <v>4</v>
      </c>
      <c r="AE41" s="15">
        <v>4</v>
      </c>
      <c r="AF41" s="35">
        <f>AC41*(SQRT(AE41))</f>
        <v>3</v>
      </c>
      <c r="AG41" s="15"/>
    </row>
    <row r="42" spans="1:33" x14ac:dyDescent="0.25">
      <c r="A42" s="15">
        <v>5623</v>
      </c>
      <c r="B42" s="15">
        <v>36100011</v>
      </c>
      <c r="C42" s="15" t="s">
        <v>265</v>
      </c>
      <c r="D42" s="15" t="s">
        <v>266</v>
      </c>
      <c r="E42" s="15" t="s">
        <v>267</v>
      </c>
      <c r="F42" s="15">
        <v>2023</v>
      </c>
      <c r="G42" s="15" t="s">
        <v>268</v>
      </c>
      <c r="H42" s="15">
        <v>1</v>
      </c>
      <c r="I42" s="15" t="s">
        <v>32</v>
      </c>
      <c r="J42" s="15" t="s">
        <v>33</v>
      </c>
      <c r="K42" s="32">
        <v>6</v>
      </c>
      <c r="L42" s="15">
        <v>360</v>
      </c>
      <c r="M42" s="15">
        <v>1</v>
      </c>
      <c r="N42" s="18">
        <v>21</v>
      </c>
      <c r="O42" s="18">
        <f>N42*L42</f>
        <v>7560</v>
      </c>
      <c r="Q42" s="15">
        <v>24</v>
      </c>
      <c r="R42" s="15">
        <v>2</v>
      </c>
      <c r="S42" s="15">
        <v>24</v>
      </c>
      <c r="T42" s="15">
        <v>24</v>
      </c>
      <c r="U42" s="52" t="s">
        <v>112</v>
      </c>
      <c r="V42" s="15">
        <v>90</v>
      </c>
      <c r="W42" s="53"/>
      <c r="X42" s="32" t="s">
        <v>519</v>
      </c>
      <c r="Y42" s="15">
        <v>6</v>
      </c>
      <c r="Z42" s="53"/>
      <c r="AA42" s="15"/>
      <c r="AB42" s="15">
        <v>89</v>
      </c>
      <c r="AC42" s="19">
        <v>0.7</v>
      </c>
      <c r="AD42" s="32" t="s">
        <v>519</v>
      </c>
      <c r="AE42" s="15">
        <v>6</v>
      </c>
      <c r="AF42" s="35">
        <f>AC42*(SQRT(AE42))</f>
        <v>1.7146428199482244</v>
      </c>
    </row>
    <row r="43" spans="1:33" x14ac:dyDescent="0.25">
      <c r="A43" s="15">
        <v>5627</v>
      </c>
      <c r="C43" s="15" t="s">
        <v>270</v>
      </c>
      <c r="D43" s="15" t="s">
        <v>271</v>
      </c>
      <c r="E43" s="15" t="s">
        <v>272</v>
      </c>
      <c r="F43" s="15">
        <v>2019</v>
      </c>
      <c r="G43" s="15" t="s">
        <v>273</v>
      </c>
      <c r="H43" s="15">
        <v>1</v>
      </c>
      <c r="I43" s="15" t="s">
        <v>45</v>
      </c>
      <c r="J43" s="15" t="s">
        <v>33</v>
      </c>
      <c r="K43" s="32" t="s">
        <v>40</v>
      </c>
      <c r="L43" s="15">
        <v>360</v>
      </c>
      <c r="M43" s="15">
        <v>1</v>
      </c>
      <c r="N43" s="18">
        <v>21</v>
      </c>
      <c r="O43" s="18">
        <f>L43*M43*N43</f>
        <v>7560</v>
      </c>
      <c r="Q43" s="15">
        <v>12</v>
      </c>
      <c r="R43" s="15">
        <v>1</v>
      </c>
      <c r="S43" s="53"/>
      <c r="T43" s="53"/>
      <c r="U43" s="15" t="s">
        <v>520</v>
      </c>
      <c r="V43" s="15">
        <v>86</v>
      </c>
      <c r="W43" s="15">
        <v>4</v>
      </c>
      <c r="X43" s="15">
        <v>12</v>
      </c>
      <c r="Y43" s="15">
        <v>12</v>
      </c>
      <c r="Z43" s="35">
        <f>W43*(SQRT(Y43))</f>
        <v>13.856406460551018</v>
      </c>
      <c r="AA43" s="15"/>
      <c r="AB43" s="15">
        <v>44</v>
      </c>
      <c r="AC43" s="15">
        <v>10</v>
      </c>
      <c r="AD43" s="15">
        <v>12</v>
      </c>
      <c r="AE43" s="15">
        <v>12</v>
      </c>
      <c r="AF43" s="35">
        <f>AC43*(SQRT(AE43))</f>
        <v>34.641016151377542</v>
      </c>
      <c r="AG43" s="15"/>
    </row>
    <row r="44" spans="1:33" x14ac:dyDescent="0.25">
      <c r="A44" s="64">
        <v>5638</v>
      </c>
      <c r="B44" s="37">
        <v>38655362</v>
      </c>
      <c r="C44" s="37" t="s">
        <v>521</v>
      </c>
      <c r="D44" s="37" t="s">
        <v>522</v>
      </c>
      <c r="E44" s="37" t="s">
        <v>523</v>
      </c>
      <c r="F44" s="37">
        <v>2024</v>
      </c>
      <c r="G44" s="37" t="s">
        <v>524</v>
      </c>
      <c r="H44" s="37">
        <v>1</v>
      </c>
      <c r="I44" s="15" t="s">
        <v>32</v>
      </c>
      <c r="J44" s="15" t="s">
        <v>33</v>
      </c>
      <c r="L44" s="15">
        <v>360</v>
      </c>
      <c r="M44" s="15">
        <v>1</v>
      </c>
      <c r="N44" s="51">
        <v>7</v>
      </c>
      <c r="O44" s="18">
        <f>N44*L44</f>
        <v>2520</v>
      </c>
      <c r="Q44" s="15">
        <v>24</v>
      </c>
      <c r="R44" s="15">
        <v>1</v>
      </c>
      <c r="S44" s="15">
        <v>24</v>
      </c>
      <c r="T44" s="15">
        <v>24</v>
      </c>
      <c r="U44" s="52" t="s">
        <v>112</v>
      </c>
      <c r="V44" s="15">
        <v>64</v>
      </c>
      <c r="W44" s="15" t="s">
        <v>65</v>
      </c>
      <c r="X44" s="15">
        <v>11</v>
      </c>
      <c r="Y44" s="15"/>
      <c r="Z44" s="15">
        <v>5.2</v>
      </c>
      <c r="AA44" s="15"/>
      <c r="AB44" s="15">
        <v>68</v>
      </c>
      <c r="AC44" s="15" t="s">
        <v>65</v>
      </c>
      <c r="AD44" s="15">
        <v>11</v>
      </c>
      <c r="AE44" s="15"/>
      <c r="AF44" s="15">
        <v>8</v>
      </c>
    </row>
    <row r="45" spans="1:33" ht="15" customHeight="1" x14ac:dyDescent="0.25">
      <c r="A45" s="64">
        <v>5638</v>
      </c>
      <c r="B45" s="37">
        <v>38655362</v>
      </c>
      <c r="C45" s="37" t="s">
        <v>521</v>
      </c>
      <c r="D45" s="37" t="s">
        <v>522</v>
      </c>
      <c r="E45" s="37" t="s">
        <v>523</v>
      </c>
      <c r="F45" s="37">
        <v>2024</v>
      </c>
      <c r="G45" s="37" t="s">
        <v>524</v>
      </c>
      <c r="H45" s="37">
        <v>1</v>
      </c>
      <c r="I45" s="15" t="s">
        <v>32</v>
      </c>
      <c r="J45" s="15" t="s">
        <v>33</v>
      </c>
      <c r="L45" s="15">
        <v>360</v>
      </c>
      <c r="M45" s="15">
        <v>1</v>
      </c>
      <c r="N45" s="51">
        <v>14</v>
      </c>
      <c r="O45" s="18">
        <f>N45*L45</f>
        <v>5040</v>
      </c>
      <c r="Q45" s="15">
        <v>24</v>
      </c>
      <c r="R45" s="15">
        <v>1</v>
      </c>
      <c r="S45" s="15">
        <v>24</v>
      </c>
      <c r="T45" s="15">
        <v>24</v>
      </c>
      <c r="U45" s="52" t="s">
        <v>112</v>
      </c>
      <c r="V45" s="15">
        <v>64</v>
      </c>
      <c r="W45" s="15" t="s">
        <v>65</v>
      </c>
      <c r="X45" s="15">
        <v>11</v>
      </c>
      <c r="Y45" s="15"/>
      <c r="Z45" s="15">
        <v>5.2</v>
      </c>
      <c r="AA45" s="15"/>
      <c r="AB45" s="15">
        <v>70</v>
      </c>
      <c r="AC45" s="15" t="s">
        <v>65</v>
      </c>
      <c r="AD45" s="15">
        <v>11</v>
      </c>
      <c r="AE45" s="15"/>
      <c r="AF45" s="15">
        <v>6.2</v>
      </c>
    </row>
    <row r="46" spans="1:33" x14ac:dyDescent="0.25">
      <c r="A46" s="64">
        <v>5638</v>
      </c>
      <c r="B46" s="37">
        <v>38655362</v>
      </c>
      <c r="C46" s="37" t="s">
        <v>521</v>
      </c>
      <c r="D46" s="37" t="s">
        <v>522</v>
      </c>
      <c r="E46" s="37" t="s">
        <v>523</v>
      </c>
      <c r="F46" s="37">
        <v>2024</v>
      </c>
      <c r="G46" s="37" t="s">
        <v>524</v>
      </c>
      <c r="H46" s="37">
        <v>1</v>
      </c>
      <c r="I46" s="15" t="s">
        <v>32</v>
      </c>
      <c r="J46" s="15" t="s">
        <v>33</v>
      </c>
      <c r="L46" s="15">
        <v>360</v>
      </c>
      <c r="M46" s="15">
        <v>1</v>
      </c>
      <c r="N46" s="51">
        <v>21</v>
      </c>
      <c r="O46" s="18">
        <f>N46*L46</f>
        <v>7560</v>
      </c>
      <c r="Q46" s="15">
        <v>24</v>
      </c>
      <c r="R46" s="15">
        <v>1</v>
      </c>
      <c r="S46" s="15">
        <v>24</v>
      </c>
      <c r="T46" s="15">
        <v>24</v>
      </c>
      <c r="U46" s="52" t="s">
        <v>112</v>
      </c>
      <c r="V46" s="15">
        <v>64</v>
      </c>
      <c r="W46" s="15" t="s">
        <v>65</v>
      </c>
      <c r="X46" s="15">
        <v>11</v>
      </c>
      <c r="Y46" s="15"/>
      <c r="Z46" s="15">
        <v>5.2</v>
      </c>
      <c r="AA46" s="15"/>
      <c r="AB46" s="15">
        <v>58</v>
      </c>
      <c r="AC46" s="15" t="s">
        <v>65</v>
      </c>
      <c r="AD46" s="15">
        <v>11</v>
      </c>
      <c r="AE46" s="15"/>
      <c r="AF46" s="15">
        <v>8</v>
      </c>
    </row>
    <row r="47" spans="1:33" x14ac:dyDescent="0.25">
      <c r="A47" s="15">
        <v>5687</v>
      </c>
      <c r="C47" s="15" t="s">
        <v>275</v>
      </c>
      <c r="D47" s="15" t="s">
        <v>276</v>
      </c>
      <c r="E47" s="15" t="s">
        <v>277</v>
      </c>
      <c r="F47" s="15">
        <v>2022</v>
      </c>
      <c r="G47" s="15" t="s">
        <v>278</v>
      </c>
      <c r="H47" s="15">
        <v>1</v>
      </c>
      <c r="I47" s="15" t="s">
        <v>32</v>
      </c>
      <c r="J47" s="15" t="s">
        <v>91</v>
      </c>
      <c r="K47" s="32" t="s">
        <v>78</v>
      </c>
      <c r="L47" s="15">
        <v>450</v>
      </c>
      <c r="M47" s="15">
        <v>1</v>
      </c>
      <c r="N47" s="18">
        <v>21</v>
      </c>
      <c r="O47" s="18">
        <f>L47*M47*N47</f>
        <v>9450</v>
      </c>
      <c r="P47" s="15" t="s">
        <v>279</v>
      </c>
      <c r="Q47" s="15">
        <v>24</v>
      </c>
      <c r="R47" s="15">
        <v>1</v>
      </c>
      <c r="S47" s="15">
        <v>24</v>
      </c>
      <c r="T47" s="15">
        <v>24</v>
      </c>
      <c r="U47" s="15" t="s">
        <v>118</v>
      </c>
      <c r="V47" s="53"/>
      <c r="W47" s="53"/>
      <c r="X47" s="53"/>
      <c r="Y47" s="53"/>
      <c r="Z47" s="53"/>
      <c r="AA47" s="15"/>
      <c r="AB47" s="53"/>
      <c r="AC47" s="53"/>
      <c r="AD47" s="53"/>
      <c r="AE47" s="53"/>
      <c r="AF47" s="53"/>
      <c r="AG47" s="15"/>
    </row>
    <row r="48" spans="1:33" x14ac:dyDescent="0.25">
      <c r="A48" s="37">
        <v>5699</v>
      </c>
      <c r="B48" s="37">
        <v>29175030</v>
      </c>
      <c r="C48" s="37" t="s">
        <v>280</v>
      </c>
      <c r="D48" s="37" t="s">
        <v>281</v>
      </c>
      <c r="E48" s="37" t="s">
        <v>282</v>
      </c>
      <c r="F48" s="37">
        <v>2018</v>
      </c>
      <c r="G48" s="37" t="s">
        <v>283</v>
      </c>
      <c r="H48" s="37">
        <v>1</v>
      </c>
      <c r="I48" s="15" t="s">
        <v>45</v>
      </c>
      <c r="J48" s="15" t="s">
        <v>33</v>
      </c>
      <c r="L48" s="15">
        <v>360</v>
      </c>
      <c r="M48" s="15">
        <v>1</v>
      </c>
      <c r="N48" s="51">
        <v>7</v>
      </c>
      <c r="O48" s="18">
        <f>N48*L48</f>
        <v>2520</v>
      </c>
      <c r="Q48" s="15">
        <v>1</v>
      </c>
      <c r="R48" s="15">
        <v>1</v>
      </c>
      <c r="S48" s="15">
        <v>23</v>
      </c>
      <c r="T48" s="15">
        <v>23</v>
      </c>
      <c r="U48" s="52" t="s">
        <v>112</v>
      </c>
      <c r="V48" s="15">
        <v>83</v>
      </c>
      <c r="W48" s="15" t="s">
        <v>65</v>
      </c>
      <c r="X48" s="15">
        <v>10</v>
      </c>
      <c r="Y48" s="15"/>
      <c r="Z48" s="15">
        <v>4</v>
      </c>
      <c r="AA48" s="15"/>
      <c r="AB48" s="15">
        <v>79</v>
      </c>
      <c r="AC48" s="15" t="s">
        <v>65</v>
      </c>
      <c r="AD48" s="15">
        <v>10</v>
      </c>
      <c r="AF48" s="15">
        <v>4</v>
      </c>
    </row>
    <row r="49" spans="1:33" x14ac:dyDescent="0.25">
      <c r="A49" s="37">
        <v>5699</v>
      </c>
      <c r="B49" s="37">
        <v>29175030</v>
      </c>
      <c r="C49" s="37" t="s">
        <v>280</v>
      </c>
      <c r="D49" s="37" t="s">
        <v>281</v>
      </c>
      <c r="E49" s="37" t="s">
        <v>282</v>
      </c>
      <c r="F49" s="37">
        <v>2018</v>
      </c>
      <c r="G49" s="37" t="s">
        <v>283</v>
      </c>
      <c r="H49" s="37">
        <v>1</v>
      </c>
      <c r="I49" s="15" t="s">
        <v>45</v>
      </c>
      <c r="J49" s="15" t="s">
        <v>33</v>
      </c>
      <c r="L49" s="15">
        <v>360</v>
      </c>
      <c r="M49" s="15">
        <v>1</v>
      </c>
      <c r="N49" s="51">
        <v>14</v>
      </c>
      <c r="O49" s="18">
        <f>N49*L49</f>
        <v>5040</v>
      </c>
      <c r="Q49" s="15">
        <v>1</v>
      </c>
      <c r="R49" s="15">
        <v>1</v>
      </c>
      <c r="S49" s="15">
        <v>23</v>
      </c>
      <c r="T49" s="15">
        <v>23</v>
      </c>
      <c r="U49" s="52" t="s">
        <v>112</v>
      </c>
      <c r="V49" s="15">
        <v>83</v>
      </c>
      <c r="W49" s="15" t="s">
        <v>65</v>
      </c>
      <c r="X49" s="15">
        <v>10</v>
      </c>
      <c r="Y49" s="15"/>
      <c r="Z49" s="15">
        <v>4</v>
      </c>
      <c r="AA49" s="15"/>
      <c r="AB49" s="15">
        <v>62</v>
      </c>
      <c r="AC49" s="15" t="s">
        <v>65</v>
      </c>
      <c r="AD49" s="15">
        <v>10</v>
      </c>
      <c r="AF49" s="15">
        <v>2.5</v>
      </c>
    </row>
    <row r="50" spans="1:33" x14ac:dyDescent="0.25">
      <c r="A50" s="37">
        <v>5699</v>
      </c>
      <c r="B50" s="37">
        <v>29175030</v>
      </c>
      <c r="C50" s="37" t="s">
        <v>280</v>
      </c>
      <c r="D50" s="37" t="s">
        <v>281</v>
      </c>
      <c r="E50" s="37" t="s">
        <v>282</v>
      </c>
      <c r="F50" s="37">
        <v>2018</v>
      </c>
      <c r="G50" s="37" t="s">
        <v>283</v>
      </c>
      <c r="H50" s="37">
        <v>1</v>
      </c>
      <c r="I50" s="15" t="s">
        <v>45</v>
      </c>
      <c r="J50" s="15" t="s">
        <v>33</v>
      </c>
      <c r="L50" s="15">
        <v>360</v>
      </c>
      <c r="M50" s="15">
        <v>1</v>
      </c>
      <c r="N50" s="51">
        <v>21</v>
      </c>
      <c r="O50" s="18">
        <f>N50*L50</f>
        <v>7560</v>
      </c>
      <c r="Q50" s="15">
        <v>1</v>
      </c>
      <c r="R50" s="15">
        <v>1</v>
      </c>
      <c r="S50" s="15">
        <v>23</v>
      </c>
      <c r="T50" s="15">
        <v>23</v>
      </c>
      <c r="U50" s="52" t="s">
        <v>112</v>
      </c>
      <c r="V50" s="15">
        <v>83</v>
      </c>
      <c r="W50" s="15" t="s">
        <v>65</v>
      </c>
      <c r="X50" s="15">
        <v>10</v>
      </c>
      <c r="Y50" s="15"/>
      <c r="Z50" s="15">
        <v>4</v>
      </c>
      <c r="AA50" s="15"/>
      <c r="AB50" s="15">
        <v>78</v>
      </c>
      <c r="AC50" s="15" t="s">
        <v>65</v>
      </c>
      <c r="AD50" s="15">
        <v>10</v>
      </c>
      <c r="AF50" s="15">
        <v>5</v>
      </c>
    </row>
    <row r="51" spans="1:33" x14ac:dyDescent="0.25">
      <c r="A51" s="37">
        <v>5699</v>
      </c>
      <c r="B51" s="37">
        <v>29175030</v>
      </c>
      <c r="C51" s="37" t="s">
        <v>280</v>
      </c>
      <c r="D51" s="37" t="s">
        <v>281</v>
      </c>
      <c r="E51" s="37" t="s">
        <v>282</v>
      </c>
      <c r="F51" s="37">
        <v>2018</v>
      </c>
      <c r="G51" s="37" t="s">
        <v>283</v>
      </c>
      <c r="H51" s="37">
        <v>1</v>
      </c>
      <c r="I51" s="15" t="s">
        <v>45</v>
      </c>
      <c r="J51" s="15" t="s">
        <v>33</v>
      </c>
      <c r="L51" s="15">
        <v>360</v>
      </c>
      <c r="M51" s="15">
        <v>1</v>
      </c>
      <c r="N51" s="51">
        <v>28</v>
      </c>
      <c r="O51" s="18">
        <f>N51*L51</f>
        <v>10080</v>
      </c>
      <c r="Q51" s="15">
        <v>1</v>
      </c>
      <c r="R51" s="15">
        <v>1</v>
      </c>
      <c r="S51" s="15">
        <v>23</v>
      </c>
      <c r="T51" s="15">
        <v>23</v>
      </c>
      <c r="U51" s="52" t="s">
        <v>112</v>
      </c>
      <c r="V51" s="15">
        <v>83</v>
      </c>
      <c r="W51" s="15" t="s">
        <v>65</v>
      </c>
      <c r="X51" s="15">
        <v>10</v>
      </c>
      <c r="Y51" s="15"/>
      <c r="Z51" s="15">
        <v>4</v>
      </c>
      <c r="AA51" s="15"/>
      <c r="AB51" s="15">
        <v>80</v>
      </c>
      <c r="AC51" s="15" t="s">
        <v>65</v>
      </c>
      <c r="AD51" s="15">
        <v>10</v>
      </c>
      <c r="AF51" s="15">
        <v>4</v>
      </c>
    </row>
    <row r="52" spans="1:33" x14ac:dyDescent="0.25">
      <c r="A52" s="37">
        <v>5699</v>
      </c>
      <c r="B52" s="37">
        <v>29175030</v>
      </c>
      <c r="C52" s="37" t="s">
        <v>280</v>
      </c>
      <c r="D52" s="37" t="s">
        <v>281</v>
      </c>
      <c r="E52" s="37" t="s">
        <v>282</v>
      </c>
      <c r="F52" s="37">
        <v>2018</v>
      </c>
      <c r="G52" s="37" t="s">
        <v>283</v>
      </c>
      <c r="H52" s="37">
        <v>1</v>
      </c>
      <c r="I52" s="15" t="s">
        <v>45</v>
      </c>
      <c r="J52" s="15" t="s">
        <v>33</v>
      </c>
      <c r="L52" s="15">
        <v>360</v>
      </c>
      <c r="M52" s="15">
        <v>1</v>
      </c>
      <c r="N52" s="51">
        <v>35</v>
      </c>
      <c r="O52" s="18">
        <f>N52*L52</f>
        <v>12600</v>
      </c>
      <c r="Q52" s="15">
        <v>1</v>
      </c>
      <c r="R52" s="15">
        <v>1</v>
      </c>
      <c r="S52" s="15">
        <v>23</v>
      </c>
      <c r="T52" s="15">
        <v>23</v>
      </c>
      <c r="U52" s="52" t="s">
        <v>112</v>
      </c>
      <c r="V52" s="15">
        <v>83</v>
      </c>
      <c r="W52" s="15" t="s">
        <v>65</v>
      </c>
      <c r="X52" s="15">
        <v>10</v>
      </c>
      <c r="Y52" s="15"/>
      <c r="Z52" s="15">
        <v>4</v>
      </c>
      <c r="AA52" s="15"/>
      <c r="AB52" s="15">
        <v>81</v>
      </c>
      <c r="AC52" s="15" t="s">
        <v>65</v>
      </c>
      <c r="AD52" s="15">
        <v>10</v>
      </c>
      <c r="AF52" s="15">
        <v>4</v>
      </c>
    </row>
    <row r="53" spans="1:33" x14ac:dyDescent="0.25">
      <c r="A53" s="15">
        <v>5748</v>
      </c>
      <c r="C53" s="15" t="s">
        <v>284</v>
      </c>
      <c r="D53" s="15" t="s">
        <v>285</v>
      </c>
      <c r="E53" s="15" t="s">
        <v>286</v>
      </c>
      <c r="F53" s="15">
        <v>2021</v>
      </c>
      <c r="G53" s="15" t="s">
        <v>287</v>
      </c>
      <c r="H53" s="15">
        <v>1</v>
      </c>
      <c r="I53" s="15" t="s">
        <v>45</v>
      </c>
      <c r="J53" s="15" t="s">
        <v>33</v>
      </c>
      <c r="L53" s="15">
        <v>360</v>
      </c>
      <c r="M53" s="15">
        <v>1</v>
      </c>
      <c r="N53" s="18">
        <v>21</v>
      </c>
      <c r="O53" s="18">
        <f>L53*M53*N53</f>
        <v>7560</v>
      </c>
      <c r="Q53" s="15">
        <v>24</v>
      </c>
      <c r="R53" s="15">
        <v>2</v>
      </c>
      <c r="S53" s="53"/>
      <c r="T53" s="53"/>
      <c r="U53" s="15" t="s">
        <v>525</v>
      </c>
      <c r="V53" s="15">
        <v>87</v>
      </c>
      <c r="W53" s="15">
        <v>3</v>
      </c>
      <c r="X53" s="15">
        <v>5</v>
      </c>
      <c r="Y53" s="15">
        <v>5</v>
      </c>
      <c r="Z53" s="35">
        <f>W53*(SQRT(Y53))</f>
        <v>6.7082039324993694</v>
      </c>
      <c r="AA53" s="15"/>
      <c r="AB53" s="15">
        <v>56</v>
      </c>
      <c r="AC53" s="15">
        <v>6</v>
      </c>
      <c r="AD53" s="15">
        <v>5</v>
      </c>
      <c r="AE53" s="15">
        <v>5</v>
      </c>
      <c r="AF53" s="35">
        <f>AC53*(SQRT(AE53))</f>
        <v>13.416407864998739</v>
      </c>
      <c r="AG53" s="15"/>
    </row>
    <row r="54" spans="1:33" x14ac:dyDescent="0.25">
      <c r="A54" s="64">
        <v>5881</v>
      </c>
      <c r="B54" s="37">
        <v>37917302</v>
      </c>
      <c r="C54" s="37" t="s">
        <v>526</v>
      </c>
      <c r="D54" s="37" t="s">
        <v>527</v>
      </c>
      <c r="E54" s="37" t="s">
        <v>214</v>
      </c>
      <c r="F54" s="37">
        <v>2024</v>
      </c>
      <c r="G54" s="37" t="s">
        <v>528</v>
      </c>
      <c r="H54" s="37">
        <v>1</v>
      </c>
      <c r="I54" s="15" t="s">
        <v>32</v>
      </c>
      <c r="J54" s="15" t="s">
        <v>33</v>
      </c>
      <c r="L54" s="15">
        <v>360</v>
      </c>
      <c r="M54" s="15">
        <v>1</v>
      </c>
      <c r="N54" s="51">
        <v>7</v>
      </c>
      <c r="O54" s="18">
        <f>N54*L54</f>
        <v>2520</v>
      </c>
      <c r="Q54" s="15">
        <v>1</v>
      </c>
      <c r="R54" s="15">
        <v>1</v>
      </c>
      <c r="S54" s="15">
        <v>23</v>
      </c>
      <c r="T54" s="15">
        <v>23</v>
      </c>
      <c r="U54" s="52" t="s">
        <v>112</v>
      </c>
      <c r="V54" s="15">
        <v>72</v>
      </c>
      <c r="W54" s="15">
        <v>3</v>
      </c>
      <c r="X54" s="15">
        <v>11</v>
      </c>
      <c r="Y54" s="15">
        <v>11</v>
      </c>
      <c r="Z54" s="35">
        <f>W54*(SQRT(Y54))</f>
        <v>9.9498743710661994</v>
      </c>
      <c r="AA54" s="15"/>
      <c r="AB54" s="15">
        <v>43</v>
      </c>
      <c r="AC54" s="15">
        <v>6</v>
      </c>
      <c r="AD54" s="15">
        <v>11</v>
      </c>
      <c r="AE54" s="15">
        <v>11</v>
      </c>
      <c r="AF54" s="35">
        <f>AC54*(SQRT(AE54))</f>
        <v>19.899748742132399</v>
      </c>
    </row>
    <row r="55" spans="1:33" x14ac:dyDescent="0.25">
      <c r="A55" s="64">
        <v>5881</v>
      </c>
      <c r="B55" s="37">
        <v>37917302</v>
      </c>
      <c r="C55" s="37" t="s">
        <v>526</v>
      </c>
      <c r="D55" s="37" t="s">
        <v>527</v>
      </c>
      <c r="E55" s="37" t="s">
        <v>214</v>
      </c>
      <c r="F55" s="37">
        <v>2024</v>
      </c>
      <c r="G55" s="37" t="s">
        <v>528</v>
      </c>
      <c r="H55" s="37">
        <v>1</v>
      </c>
      <c r="I55" s="15" t="s">
        <v>32</v>
      </c>
      <c r="J55" s="15" t="s">
        <v>33</v>
      </c>
      <c r="L55" s="15">
        <v>360</v>
      </c>
      <c r="M55" s="15">
        <v>1</v>
      </c>
      <c r="N55" s="51">
        <v>14</v>
      </c>
      <c r="O55" s="18">
        <f>N55*L55</f>
        <v>5040</v>
      </c>
      <c r="Q55" s="15">
        <v>1</v>
      </c>
      <c r="R55" s="15">
        <v>1</v>
      </c>
      <c r="S55" s="15">
        <v>23</v>
      </c>
      <c r="T55" s="15">
        <v>23</v>
      </c>
      <c r="U55" s="52" t="s">
        <v>112</v>
      </c>
      <c r="V55" s="15">
        <v>74</v>
      </c>
      <c r="W55" s="15">
        <v>2</v>
      </c>
      <c r="X55" s="15">
        <v>11</v>
      </c>
      <c r="Y55" s="15">
        <v>11</v>
      </c>
      <c r="Z55" s="35">
        <f>W55*(SQRT(Y55))</f>
        <v>6.6332495807107996</v>
      </c>
      <c r="AA55" s="15"/>
      <c r="AB55" s="15">
        <v>37</v>
      </c>
      <c r="AC55" s="15">
        <v>8</v>
      </c>
      <c r="AD55" s="15">
        <v>11</v>
      </c>
      <c r="AE55" s="15">
        <v>11</v>
      </c>
      <c r="AF55" s="35">
        <f>AC55*(SQRT(AE55))</f>
        <v>26.532998322843198</v>
      </c>
    </row>
    <row r="56" spans="1:33" x14ac:dyDescent="0.25">
      <c r="A56" s="64">
        <v>5881</v>
      </c>
      <c r="B56" s="37">
        <v>37917302</v>
      </c>
      <c r="C56" s="37" t="s">
        <v>526</v>
      </c>
      <c r="D56" s="37" t="s">
        <v>527</v>
      </c>
      <c r="E56" s="37" t="s">
        <v>214</v>
      </c>
      <c r="F56" s="37">
        <v>2024</v>
      </c>
      <c r="G56" s="37" t="s">
        <v>528</v>
      </c>
      <c r="H56" s="37">
        <v>1</v>
      </c>
      <c r="I56" s="15" t="s">
        <v>32</v>
      </c>
      <c r="J56" s="15" t="s">
        <v>33</v>
      </c>
      <c r="L56" s="15">
        <v>360</v>
      </c>
      <c r="M56" s="15">
        <v>1</v>
      </c>
      <c r="N56" s="51">
        <v>21</v>
      </c>
      <c r="O56" s="18">
        <f>N56*L56</f>
        <v>7560</v>
      </c>
      <c r="Q56" s="15">
        <v>1</v>
      </c>
      <c r="R56" s="15">
        <v>1</v>
      </c>
      <c r="S56" s="15">
        <v>23</v>
      </c>
      <c r="T56" s="15">
        <v>23</v>
      </c>
      <c r="U56" s="52" t="s">
        <v>112</v>
      </c>
      <c r="V56" s="15">
        <v>70</v>
      </c>
      <c r="W56" s="15">
        <v>3</v>
      </c>
      <c r="X56" s="15">
        <v>11</v>
      </c>
      <c r="Y56" s="15">
        <v>11</v>
      </c>
      <c r="Z56" s="35">
        <f>W56*(SQRT(Y56))</f>
        <v>9.9498743710661994</v>
      </c>
      <c r="AA56" s="15"/>
      <c r="AB56" s="15">
        <v>35</v>
      </c>
      <c r="AC56" s="15">
        <v>5</v>
      </c>
      <c r="AD56" s="15">
        <v>11</v>
      </c>
      <c r="AE56" s="15">
        <v>11</v>
      </c>
      <c r="AF56" s="35">
        <f>AC56*(SQRT(AE56))</f>
        <v>16.583123951776997</v>
      </c>
    </row>
    <row r="57" spans="1:33" x14ac:dyDescent="0.25">
      <c r="A57" s="37">
        <v>5993</v>
      </c>
      <c r="B57" s="37">
        <v>41113223</v>
      </c>
      <c r="C57" s="37" t="s">
        <v>293</v>
      </c>
      <c r="D57" s="37" t="s">
        <v>294</v>
      </c>
      <c r="E57" s="37" t="s">
        <v>295</v>
      </c>
      <c r="F57" s="37">
        <v>2025</v>
      </c>
      <c r="G57" s="37" t="s">
        <v>296</v>
      </c>
      <c r="H57" s="37">
        <v>1</v>
      </c>
      <c r="I57" s="15" t="s">
        <v>45</v>
      </c>
      <c r="J57" s="15" t="s">
        <v>33</v>
      </c>
      <c r="K57" s="32" t="s">
        <v>55</v>
      </c>
      <c r="L57" s="15">
        <v>180</v>
      </c>
      <c r="M57" s="15">
        <v>1</v>
      </c>
      <c r="N57" s="18">
        <v>7</v>
      </c>
      <c r="O57" s="18">
        <f>L57*M57*N57</f>
        <v>1260</v>
      </c>
      <c r="Q57" s="15">
        <v>3</v>
      </c>
      <c r="R57" s="15">
        <v>1</v>
      </c>
      <c r="S57" s="53"/>
      <c r="T57" s="53"/>
      <c r="U57" s="15">
        <v>4</v>
      </c>
      <c r="V57" s="15">
        <v>68</v>
      </c>
      <c r="W57" s="15">
        <v>4</v>
      </c>
      <c r="X57" s="15">
        <v>10</v>
      </c>
      <c r="Y57" s="15">
        <v>10</v>
      </c>
      <c r="Z57" s="35">
        <f t="shared" ref="Z57:Z59" si="2">W57*(SQRT(Y57))</f>
        <v>12.649110640673518</v>
      </c>
      <c r="AA57" s="15"/>
      <c r="AB57" s="15">
        <v>80</v>
      </c>
      <c r="AC57" s="15">
        <v>2</v>
      </c>
      <c r="AD57" s="15">
        <v>10</v>
      </c>
      <c r="AE57" s="15">
        <v>10</v>
      </c>
      <c r="AF57" s="35">
        <f t="shared" ref="AF57:AF59" si="3">AC57*(SQRT(AE57))</f>
        <v>6.324555320336759</v>
      </c>
      <c r="AG57" s="35"/>
    </row>
    <row r="58" spans="1:33" x14ac:dyDescent="0.25">
      <c r="A58" s="37">
        <v>5993</v>
      </c>
      <c r="B58" s="37">
        <v>41113223</v>
      </c>
      <c r="C58" s="37" t="s">
        <v>293</v>
      </c>
      <c r="D58" s="37" t="s">
        <v>294</v>
      </c>
      <c r="E58" s="37" t="s">
        <v>295</v>
      </c>
      <c r="F58" s="37">
        <v>2025</v>
      </c>
      <c r="G58" s="37" t="s">
        <v>296</v>
      </c>
      <c r="H58" s="37">
        <v>1</v>
      </c>
      <c r="I58" s="15" t="s">
        <v>45</v>
      </c>
      <c r="J58" s="15" t="s">
        <v>33</v>
      </c>
      <c r="K58" s="32" t="s">
        <v>55</v>
      </c>
      <c r="L58" s="15">
        <v>180</v>
      </c>
      <c r="M58" s="15">
        <v>1</v>
      </c>
      <c r="N58" s="18">
        <v>14</v>
      </c>
      <c r="O58" s="18">
        <f>L58*M58*N58</f>
        <v>2520</v>
      </c>
      <c r="Q58" s="15">
        <v>3</v>
      </c>
      <c r="R58" s="15">
        <v>1</v>
      </c>
      <c r="S58" s="53"/>
      <c r="T58" s="53"/>
      <c r="U58" s="15">
        <v>4</v>
      </c>
      <c r="V58" s="15">
        <v>68</v>
      </c>
      <c r="W58" s="15">
        <v>4</v>
      </c>
      <c r="X58" s="15">
        <v>10</v>
      </c>
      <c r="Y58" s="15">
        <v>10</v>
      </c>
      <c r="Z58" s="35">
        <f t="shared" si="2"/>
        <v>12.649110640673518</v>
      </c>
      <c r="AA58" s="15"/>
      <c r="AB58" s="15">
        <v>75</v>
      </c>
      <c r="AC58" s="15">
        <v>2</v>
      </c>
      <c r="AD58" s="15">
        <v>10</v>
      </c>
      <c r="AE58" s="15">
        <v>10</v>
      </c>
      <c r="AF58" s="35">
        <f t="shared" si="3"/>
        <v>6.324555320336759</v>
      </c>
      <c r="AG58" s="35"/>
    </row>
    <row r="59" spans="1:33" x14ac:dyDescent="0.25">
      <c r="A59" s="37">
        <v>5993</v>
      </c>
      <c r="B59" s="37">
        <v>41113223</v>
      </c>
      <c r="C59" s="37" t="s">
        <v>293</v>
      </c>
      <c r="D59" s="37" t="s">
        <v>294</v>
      </c>
      <c r="E59" s="37" t="s">
        <v>295</v>
      </c>
      <c r="F59" s="37">
        <v>2025</v>
      </c>
      <c r="G59" s="37" t="s">
        <v>296</v>
      </c>
      <c r="H59" s="37">
        <v>1</v>
      </c>
      <c r="I59" s="15" t="s">
        <v>45</v>
      </c>
      <c r="J59" s="15" t="s">
        <v>33</v>
      </c>
      <c r="K59" s="32" t="s">
        <v>55</v>
      </c>
      <c r="L59" s="15">
        <v>180</v>
      </c>
      <c r="M59" s="15">
        <v>1</v>
      </c>
      <c r="N59" s="18">
        <v>28</v>
      </c>
      <c r="O59" s="18">
        <f>L59*M59*N59</f>
        <v>5040</v>
      </c>
      <c r="Q59" s="15">
        <v>3</v>
      </c>
      <c r="R59" s="15">
        <v>1</v>
      </c>
      <c r="S59" s="53"/>
      <c r="T59" s="53"/>
      <c r="U59" s="15">
        <v>4</v>
      </c>
      <c r="V59" s="15">
        <v>68</v>
      </c>
      <c r="W59" s="15">
        <v>4</v>
      </c>
      <c r="X59" s="15">
        <v>10</v>
      </c>
      <c r="Y59" s="15">
        <v>10</v>
      </c>
      <c r="Z59" s="35">
        <f t="shared" si="2"/>
        <v>12.649110640673518</v>
      </c>
      <c r="AA59" s="15"/>
      <c r="AB59" s="15">
        <v>72</v>
      </c>
      <c r="AC59" s="15">
        <v>3</v>
      </c>
      <c r="AD59" s="15">
        <v>10</v>
      </c>
      <c r="AE59" s="15">
        <v>10</v>
      </c>
      <c r="AF59" s="35">
        <f t="shared" si="3"/>
        <v>9.4868329805051381</v>
      </c>
      <c r="AG59" s="35"/>
    </row>
    <row r="60" spans="1:33" x14ac:dyDescent="0.25">
      <c r="A60" s="15">
        <v>6184</v>
      </c>
      <c r="B60" s="15">
        <v>35230663</v>
      </c>
      <c r="C60" s="15" t="s">
        <v>301</v>
      </c>
      <c r="D60" s="15" t="s">
        <v>302</v>
      </c>
      <c r="E60" s="15" t="s">
        <v>214</v>
      </c>
      <c r="F60" s="15">
        <v>2022</v>
      </c>
      <c r="G60" s="15" t="s">
        <v>303</v>
      </c>
      <c r="H60" s="15">
        <v>1</v>
      </c>
      <c r="I60" s="15" t="s">
        <v>32</v>
      </c>
      <c r="J60" s="15" t="s">
        <v>33</v>
      </c>
      <c r="L60" s="15">
        <v>240</v>
      </c>
      <c r="M60" s="15">
        <v>1</v>
      </c>
      <c r="N60" s="18">
        <v>28</v>
      </c>
      <c r="O60" s="18">
        <f>N60*L60</f>
        <v>6720</v>
      </c>
      <c r="Q60" s="15">
        <v>24</v>
      </c>
      <c r="R60" s="15">
        <v>1</v>
      </c>
      <c r="S60" s="53"/>
      <c r="T60" s="53"/>
      <c r="U60" s="52" t="s">
        <v>64</v>
      </c>
      <c r="V60" s="15">
        <v>82</v>
      </c>
      <c r="W60" s="15" t="s">
        <v>65</v>
      </c>
      <c r="X60" s="53"/>
      <c r="Y60" s="15"/>
      <c r="Z60" s="15">
        <v>1.9</v>
      </c>
      <c r="AA60" s="15"/>
      <c r="AB60" s="15">
        <v>50</v>
      </c>
      <c r="AC60" s="15" t="s">
        <v>65</v>
      </c>
      <c r="AD60" s="53"/>
      <c r="AE60" s="15"/>
      <c r="AF60" s="15">
        <v>6.5</v>
      </c>
    </row>
    <row r="61" spans="1:33" x14ac:dyDescent="0.25">
      <c r="A61" s="37">
        <v>6184</v>
      </c>
      <c r="B61" s="37">
        <v>35252485</v>
      </c>
      <c r="C61" s="37" t="s">
        <v>529</v>
      </c>
      <c r="D61" s="37" t="s">
        <v>530</v>
      </c>
      <c r="E61" s="37" t="s">
        <v>531</v>
      </c>
      <c r="F61" s="37">
        <v>2022</v>
      </c>
      <c r="G61" s="37" t="s">
        <v>532</v>
      </c>
      <c r="H61" s="37">
        <v>1</v>
      </c>
      <c r="I61" s="15" t="s">
        <v>45</v>
      </c>
      <c r="J61" s="37" t="s">
        <v>33</v>
      </c>
      <c r="L61" s="15">
        <v>150</v>
      </c>
      <c r="M61" s="15">
        <v>1</v>
      </c>
      <c r="N61" s="18">
        <v>14</v>
      </c>
      <c r="O61" s="18">
        <f>N61*L61</f>
        <v>2100</v>
      </c>
      <c r="Q61" s="53"/>
      <c r="R61" s="15">
        <v>1</v>
      </c>
      <c r="S61" s="53"/>
      <c r="T61" s="53"/>
      <c r="U61" s="52" t="s">
        <v>112</v>
      </c>
      <c r="V61" s="19">
        <v>77</v>
      </c>
      <c r="W61" s="19">
        <v>7</v>
      </c>
      <c r="X61" s="15">
        <v>9</v>
      </c>
      <c r="Y61" s="15">
        <v>9</v>
      </c>
      <c r="Z61" s="35">
        <f>W61*(SQRT(Y61))</f>
        <v>21</v>
      </c>
      <c r="AA61" s="15"/>
      <c r="AB61" s="19">
        <v>31</v>
      </c>
      <c r="AC61" s="15">
        <v>11</v>
      </c>
      <c r="AD61" s="15">
        <v>9</v>
      </c>
      <c r="AE61" s="15">
        <v>9</v>
      </c>
      <c r="AF61" s="35">
        <f>AC61*(SQRT(AE61))</f>
        <v>33</v>
      </c>
    </row>
    <row r="62" spans="1:33" x14ac:dyDescent="0.25">
      <c r="A62" s="37">
        <v>6184</v>
      </c>
      <c r="B62" s="37">
        <v>35252485</v>
      </c>
      <c r="C62" s="37" t="s">
        <v>529</v>
      </c>
      <c r="D62" s="37" t="s">
        <v>530</v>
      </c>
      <c r="E62" s="37" t="s">
        <v>531</v>
      </c>
      <c r="F62" s="37">
        <v>2022</v>
      </c>
      <c r="G62" s="37" t="s">
        <v>532</v>
      </c>
      <c r="H62" s="37">
        <v>1</v>
      </c>
      <c r="I62" s="15" t="s">
        <v>45</v>
      </c>
      <c r="J62" s="37" t="s">
        <v>91</v>
      </c>
      <c r="L62" s="15">
        <v>150</v>
      </c>
      <c r="M62" s="15">
        <v>1</v>
      </c>
      <c r="N62" s="18" t="s">
        <v>533</v>
      </c>
      <c r="Q62" s="53"/>
      <c r="R62" s="15">
        <v>1</v>
      </c>
      <c r="S62" s="53"/>
      <c r="T62" s="53"/>
      <c r="U62" s="52" t="s">
        <v>112</v>
      </c>
      <c r="V62" s="15">
        <v>71</v>
      </c>
      <c r="W62" s="15">
        <v>6</v>
      </c>
      <c r="X62" s="15">
        <v>9</v>
      </c>
      <c r="Y62" s="15">
        <v>9</v>
      </c>
      <c r="Z62" s="35">
        <f>W62*(SQRT(Y62))</f>
        <v>18</v>
      </c>
      <c r="AA62" s="15"/>
      <c r="AB62" s="15">
        <v>81</v>
      </c>
      <c r="AC62" s="53"/>
      <c r="AD62" s="15">
        <v>9</v>
      </c>
      <c r="AE62" s="15">
        <v>9</v>
      </c>
      <c r="AF62" s="53"/>
    </row>
    <row r="63" spans="1:33" x14ac:dyDescent="0.25">
      <c r="A63" s="37">
        <v>6233</v>
      </c>
      <c r="B63" s="37"/>
      <c r="C63" s="43" t="s">
        <v>305</v>
      </c>
      <c r="D63" s="43" t="s">
        <v>306</v>
      </c>
      <c r="E63" s="43" t="s">
        <v>307</v>
      </c>
      <c r="F63" s="43">
        <v>2024</v>
      </c>
      <c r="G63" s="44" t="s">
        <v>308</v>
      </c>
      <c r="H63" s="37">
        <v>1</v>
      </c>
      <c r="I63" s="15" t="s">
        <v>45</v>
      </c>
      <c r="J63" s="37" t="s">
        <v>33</v>
      </c>
      <c r="K63" s="32" t="s">
        <v>159</v>
      </c>
      <c r="L63" s="15">
        <v>360</v>
      </c>
      <c r="M63" s="15">
        <v>1</v>
      </c>
      <c r="N63" s="18">
        <v>21</v>
      </c>
      <c r="O63" s="18">
        <f>L63*M63*N63</f>
        <v>7560</v>
      </c>
      <c r="Q63" s="53" t="s">
        <v>143</v>
      </c>
      <c r="R63" s="53"/>
      <c r="S63" s="53"/>
      <c r="T63" s="53"/>
      <c r="U63" s="15" t="s">
        <v>534</v>
      </c>
      <c r="V63" s="53"/>
      <c r="W63" s="53"/>
      <c r="X63" s="53"/>
      <c r="Y63" s="53"/>
      <c r="Z63" s="53"/>
      <c r="AA63" s="15"/>
      <c r="AB63" s="53"/>
      <c r="AC63" s="53"/>
      <c r="AD63" s="53"/>
      <c r="AE63" s="53"/>
      <c r="AF63" s="53"/>
      <c r="AG63" s="15"/>
    </row>
    <row r="64" spans="1:33" x14ac:dyDescent="0.25">
      <c r="A64" s="37">
        <v>6233</v>
      </c>
      <c r="B64" s="37"/>
      <c r="C64" s="43" t="s">
        <v>305</v>
      </c>
      <c r="D64" s="43" t="s">
        <v>306</v>
      </c>
      <c r="E64" s="43" t="s">
        <v>307</v>
      </c>
      <c r="F64" s="43">
        <v>2024</v>
      </c>
      <c r="G64" s="44" t="s">
        <v>308</v>
      </c>
      <c r="H64" s="37">
        <v>1</v>
      </c>
      <c r="I64" s="15" t="s">
        <v>45</v>
      </c>
      <c r="J64" s="37" t="s">
        <v>91</v>
      </c>
      <c r="K64" s="32" t="s">
        <v>159</v>
      </c>
      <c r="L64" s="15">
        <v>360</v>
      </c>
      <c r="M64" s="15">
        <v>1</v>
      </c>
      <c r="N64" s="18">
        <v>21</v>
      </c>
      <c r="O64" s="18">
        <f>L64*M64*N64</f>
        <v>7560</v>
      </c>
      <c r="Q64" s="53" t="s">
        <v>143</v>
      </c>
      <c r="R64" s="53"/>
      <c r="S64" s="53"/>
      <c r="T64" s="53"/>
      <c r="U64" s="15" t="s">
        <v>534</v>
      </c>
      <c r="V64" s="53"/>
      <c r="W64" s="53"/>
      <c r="X64" s="53"/>
      <c r="Y64" s="53"/>
      <c r="Z64" s="53"/>
      <c r="AA64" s="15"/>
      <c r="AB64" s="53"/>
      <c r="AC64" s="53"/>
      <c r="AD64" s="53"/>
      <c r="AE64" s="53"/>
      <c r="AF64" s="53"/>
      <c r="AG64" s="15"/>
    </row>
    <row r="65" spans="1:33" x14ac:dyDescent="0.25">
      <c r="A65" s="15">
        <v>6320</v>
      </c>
      <c r="B65" s="15">
        <v>41167532</v>
      </c>
      <c r="C65" s="15" t="s">
        <v>535</v>
      </c>
      <c r="D65" s="15" t="s">
        <v>536</v>
      </c>
      <c r="E65" s="15" t="s">
        <v>151</v>
      </c>
      <c r="F65" s="15">
        <v>2025</v>
      </c>
      <c r="G65" s="15" t="s">
        <v>537</v>
      </c>
      <c r="H65" s="15">
        <v>1</v>
      </c>
      <c r="I65" s="15" t="s">
        <v>32</v>
      </c>
      <c r="J65" s="15" t="s">
        <v>33</v>
      </c>
      <c r="K65" s="32" t="s">
        <v>47</v>
      </c>
      <c r="L65" s="15">
        <v>360</v>
      </c>
      <c r="M65" s="15">
        <v>1</v>
      </c>
      <c r="N65" s="18">
        <v>28</v>
      </c>
      <c r="O65" s="18">
        <f>L65*M65*N65</f>
        <v>10080</v>
      </c>
      <c r="Q65" s="15">
        <v>1</v>
      </c>
      <c r="R65" s="15">
        <v>1</v>
      </c>
      <c r="S65" s="15">
        <v>24</v>
      </c>
      <c r="T65" s="15">
        <v>24</v>
      </c>
      <c r="U65" s="15" t="s">
        <v>234</v>
      </c>
      <c r="V65" s="15">
        <v>69</v>
      </c>
      <c r="W65" s="15" t="s">
        <v>65</v>
      </c>
      <c r="X65" s="15">
        <v>6</v>
      </c>
      <c r="Y65" s="15"/>
      <c r="Z65" s="15">
        <v>2</v>
      </c>
      <c r="AA65" s="15"/>
      <c r="AB65" s="19">
        <v>59</v>
      </c>
      <c r="AC65" s="15" t="s">
        <v>65</v>
      </c>
      <c r="AD65" s="15">
        <v>6</v>
      </c>
      <c r="AE65" s="15"/>
      <c r="AF65" s="15">
        <v>4</v>
      </c>
      <c r="AG65" s="15"/>
    </row>
    <row r="66" spans="1:33" x14ac:dyDescent="0.25">
      <c r="A66" s="15">
        <v>6392</v>
      </c>
      <c r="B66" s="15">
        <v>35615771</v>
      </c>
      <c r="C66" s="15" t="s">
        <v>538</v>
      </c>
      <c r="D66" s="15" t="s">
        <v>539</v>
      </c>
      <c r="E66" s="15" t="s">
        <v>540</v>
      </c>
      <c r="F66" s="15">
        <v>2022</v>
      </c>
      <c r="G66" s="15" t="s">
        <v>541</v>
      </c>
      <c r="H66" s="15">
        <v>1</v>
      </c>
      <c r="I66" s="15" t="s">
        <v>32</v>
      </c>
      <c r="J66" s="15" t="s">
        <v>33</v>
      </c>
      <c r="L66" s="15">
        <v>360</v>
      </c>
      <c r="M66" s="15">
        <v>1</v>
      </c>
      <c r="N66" s="18">
        <v>28</v>
      </c>
      <c r="Q66" s="15">
        <v>1</v>
      </c>
      <c r="R66" s="15">
        <v>1</v>
      </c>
      <c r="S66" s="15">
        <v>24</v>
      </c>
      <c r="T66" s="15">
        <v>24</v>
      </c>
      <c r="U66" s="52" t="s">
        <v>83</v>
      </c>
      <c r="V66" s="15">
        <v>72</v>
      </c>
      <c r="W66" s="15">
        <v>0.7</v>
      </c>
      <c r="X66" s="15">
        <v>10</v>
      </c>
      <c r="Y66" s="15">
        <v>10</v>
      </c>
      <c r="Z66" s="35">
        <f>W66*(SQRT(Y66))</f>
        <v>2.2135943621178655</v>
      </c>
      <c r="AA66" s="15"/>
      <c r="AB66" s="15">
        <v>46</v>
      </c>
      <c r="AC66" s="15">
        <v>0.9</v>
      </c>
      <c r="AD66" s="15">
        <v>10</v>
      </c>
      <c r="AE66" s="15">
        <v>10</v>
      </c>
      <c r="AF66" s="35">
        <f>AC66*(SQRT(AE66))</f>
        <v>2.8460498941515415</v>
      </c>
    </row>
    <row r="67" spans="1:33" x14ac:dyDescent="0.25">
      <c r="A67" s="15">
        <v>6517</v>
      </c>
      <c r="C67" s="40" t="s">
        <v>542</v>
      </c>
      <c r="D67" s="40" t="s">
        <v>543</v>
      </c>
      <c r="E67" s="40" t="s">
        <v>544</v>
      </c>
      <c r="F67" s="40">
        <v>2024</v>
      </c>
      <c r="G67" s="41" t="s">
        <v>545</v>
      </c>
      <c r="H67" s="15">
        <v>1</v>
      </c>
      <c r="I67" s="15" t="s">
        <v>32</v>
      </c>
      <c r="J67" s="15" t="s">
        <v>33</v>
      </c>
      <c r="L67" s="15">
        <v>60</v>
      </c>
      <c r="M67" s="15">
        <v>2</v>
      </c>
      <c r="N67" s="18">
        <v>21</v>
      </c>
      <c r="O67" s="18">
        <f>L67*M67*N67</f>
        <v>2520</v>
      </c>
      <c r="Q67" s="15">
        <v>1</v>
      </c>
      <c r="R67" s="15">
        <v>1</v>
      </c>
      <c r="S67" s="15">
        <v>6</v>
      </c>
      <c r="T67" s="53"/>
      <c r="U67" s="53"/>
      <c r="V67" s="53"/>
      <c r="W67" s="53"/>
      <c r="X67" s="53"/>
      <c r="Y67" s="53"/>
      <c r="Z67" s="53"/>
      <c r="AA67" s="15"/>
      <c r="AB67" s="53"/>
      <c r="AC67" s="53"/>
      <c r="AD67" s="53"/>
      <c r="AE67" s="53"/>
      <c r="AF67" s="53"/>
      <c r="AG67" s="15"/>
    </row>
    <row r="68" spans="1:33" x14ac:dyDescent="0.25">
      <c r="A68" s="15">
        <v>6728</v>
      </c>
      <c r="B68" s="15">
        <v>35873784</v>
      </c>
      <c r="C68" s="15" t="s">
        <v>546</v>
      </c>
      <c r="D68" s="15" t="s">
        <v>547</v>
      </c>
      <c r="E68" s="15" t="s">
        <v>548</v>
      </c>
      <c r="F68" s="15">
        <v>2022</v>
      </c>
      <c r="G68" s="15" t="s">
        <v>549</v>
      </c>
      <c r="H68" s="15">
        <v>1</v>
      </c>
      <c r="I68" s="15" t="s">
        <v>32</v>
      </c>
      <c r="J68" s="15" t="s">
        <v>33</v>
      </c>
      <c r="L68" s="15">
        <v>180</v>
      </c>
      <c r="M68" s="15">
        <v>1</v>
      </c>
      <c r="N68" s="18">
        <v>21</v>
      </c>
      <c r="O68" s="18">
        <f>N68*L68</f>
        <v>3780</v>
      </c>
      <c r="Q68" s="53"/>
      <c r="R68" s="15">
        <v>1</v>
      </c>
      <c r="S68" s="53"/>
      <c r="T68" s="53"/>
      <c r="U68" s="52" t="s">
        <v>71</v>
      </c>
      <c r="V68" s="15">
        <v>85</v>
      </c>
      <c r="W68" s="15" t="s">
        <v>65</v>
      </c>
      <c r="X68" s="15">
        <v>8</v>
      </c>
      <c r="Y68" s="15"/>
      <c r="Z68" s="15">
        <v>8</v>
      </c>
      <c r="AA68" s="15"/>
      <c r="AB68" s="15">
        <v>74</v>
      </c>
      <c r="AC68" s="15" t="s">
        <v>65</v>
      </c>
      <c r="AD68" s="15">
        <v>8</v>
      </c>
      <c r="AE68" s="15"/>
      <c r="AF68" s="15">
        <v>9</v>
      </c>
    </row>
    <row r="69" spans="1:33" x14ac:dyDescent="0.25">
      <c r="A69" s="15">
        <v>6938</v>
      </c>
      <c r="C69" s="40" t="s">
        <v>550</v>
      </c>
      <c r="D69" s="40" t="s">
        <v>551</v>
      </c>
      <c r="E69" s="40" t="s">
        <v>552</v>
      </c>
      <c r="F69" s="40">
        <v>2025</v>
      </c>
      <c r="G69" s="41" t="s">
        <v>553</v>
      </c>
      <c r="H69" s="15">
        <v>1</v>
      </c>
      <c r="I69" s="15" t="s">
        <v>45</v>
      </c>
      <c r="J69" s="15" t="s">
        <v>33</v>
      </c>
      <c r="L69" s="15">
        <v>120</v>
      </c>
      <c r="M69" s="15">
        <v>1</v>
      </c>
      <c r="N69" s="18">
        <v>21</v>
      </c>
      <c r="O69" s="18">
        <f>L69*M69*N69</f>
        <v>2520</v>
      </c>
      <c r="Q69" s="53" t="s">
        <v>143</v>
      </c>
      <c r="R69" s="15">
        <v>1</v>
      </c>
      <c r="S69" s="53"/>
      <c r="T69" s="53"/>
      <c r="U69" s="15">
        <v>1</v>
      </c>
      <c r="V69" s="15">
        <v>82</v>
      </c>
      <c r="W69" s="15">
        <v>2</v>
      </c>
      <c r="X69" s="15">
        <v>8</v>
      </c>
      <c r="Y69" s="15">
        <v>8</v>
      </c>
      <c r="Z69" s="35">
        <f>W69*(SQRT(Y69))</f>
        <v>5.6568542494923806</v>
      </c>
      <c r="AA69" s="15"/>
      <c r="AB69" s="15">
        <v>58</v>
      </c>
      <c r="AC69" s="15">
        <v>2</v>
      </c>
      <c r="AD69" s="15">
        <v>8</v>
      </c>
      <c r="AE69" s="15">
        <v>8</v>
      </c>
      <c r="AF69" s="35">
        <f>AC69*(SQRT(AE69))</f>
        <v>5.6568542494923806</v>
      </c>
      <c r="AG69" s="15"/>
    </row>
    <row r="70" spans="1:33" x14ac:dyDescent="0.25">
      <c r="A70" s="15">
        <v>6987</v>
      </c>
      <c r="B70" s="15">
        <v>33276022</v>
      </c>
      <c r="C70" s="15" t="s">
        <v>318</v>
      </c>
      <c r="D70" s="15" t="s">
        <v>319</v>
      </c>
      <c r="E70" s="15" t="s">
        <v>299</v>
      </c>
      <c r="F70" s="15">
        <v>2021</v>
      </c>
      <c r="G70" s="15" t="s">
        <v>320</v>
      </c>
      <c r="H70" s="15">
        <v>1</v>
      </c>
      <c r="I70" s="15" t="s">
        <v>32</v>
      </c>
      <c r="J70" s="15" t="s">
        <v>33</v>
      </c>
      <c r="K70" s="32">
        <v>12</v>
      </c>
      <c r="L70" s="15">
        <v>390</v>
      </c>
      <c r="M70" s="15">
        <v>1</v>
      </c>
      <c r="N70" s="18">
        <v>21</v>
      </c>
      <c r="O70" s="18">
        <f>N70*L70</f>
        <v>8190</v>
      </c>
      <c r="Q70" s="15">
        <v>12</v>
      </c>
      <c r="R70" s="15">
        <v>1</v>
      </c>
      <c r="S70" s="15">
        <v>12</v>
      </c>
      <c r="T70" s="15">
        <v>12</v>
      </c>
      <c r="U70" s="52" t="s">
        <v>554</v>
      </c>
      <c r="V70" s="15">
        <v>94</v>
      </c>
      <c r="W70" s="15">
        <v>1.1000000000000001</v>
      </c>
      <c r="X70" s="15">
        <v>5</v>
      </c>
      <c r="Y70" s="15">
        <v>5</v>
      </c>
      <c r="Z70" s="35">
        <f>W70*(SQRT(Y70))</f>
        <v>2.459674775249769</v>
      </c>
      <c r="AA70" s="15"/>
      <c r="AB70" s="15">
        <v>81</v>
      </c>
      <c r="AC70" s="15">
        <v>4.5</v>
      </c>
      <c r="AD70" s="15">
        <v>6</v>
      </c>
      <c r="AE70" s="15">
        <v>6</v>
      </c>
      <c r="AF70" s="35">
        <f>AC70*(SQRT(AE70))</f>
        <v>11.022703842524301</v>
      </c>
    </row>
    <row r="71" spans="1:33" x14ac:dyDescent="0.25">
      <c r="A71" s="37">
        <v>7023</v>
      </c>
      <c r="B71" s="37">
        <v>26947756</v>
      </c>
      <c r="C71" s="37" t="s">
        <v>329</v>
      </c>
      <c r="D71" s="37" t="s">
        <v>330</v>
      </c>
      <c r="E71" s="37" t="s">
        <v>267</v>
      </c>
      <c r="F71" s="37">
        <v>2016</v>
      </c>
      <c r="G71" s="37" t="s">
        <v>331</v>
      </c>
      <c r="H71" s="37">
        <v>1</v>
      </c>
      <c r="I71" s="15" t="s">
        <v>32</v>
      </c>
      <c r="J71" s="15" t="s">
        <v>33</v>
      </c>
      <c r="L71" s="15">
        <v>360</v>
      </c>
      <c r="M71" s="15">
        <v>1</v>
      </c>
      <c r="N71" s="51">
        <v>7</v>
      </c>
      <c r="O71" s="18">
        <f>N71*L71</f>
        <v>2520</v>
      </c>
      <c r="Q71" s="15">
        <v>1</v>
      </c>
      <c r="R71" s="15">
        <v>1</v>
      </c>
      <c r="S71" s="15">
        <v>6</v>
      </c>
      <c r="T71" s="15">
        <v>6</v>
      </c>
      <c r="U71" s="52" t="s">
        <v>234</v>
      </c>
      <c r="V71" s="15">
        <v>69</v>
      </c>
      <c r="W71" s="15">
        <v>2.5</v>
      </c>
      <c r="X71" s="15">
        <v>8</v>
      </c>
      <c r="Y71" s="15">
        <v>8</v>
      </c>
      <c r="Z71" s="35">
        <f>W71*(SQRT(Y71))</f>
        <v>7.0710678118654755</v>
      </c>
      <c r="AA71" s="15"/>
      <c r="AB71" s="15">
        <v>58</v>
      </c>
      <c r="AC71" s="15">
        <v>7</v>
      </c>
      <c r="AD71" s="15">
        <v>8</v>
      </c>
      <c r="AE71" s="15">
        <v>8</v>
      </c>
      <c r="AF71" s="35">
        <f>AC71*(SQRT(AE71))</f>
        <v>19.798989873223331</v>
      </c>
    </row>
    <row r="72" spans="1:33" x14ac:dyDescent="0.25">
      <c r="A72" s="37">
        <v>7023</v>
      </c>
      <c r="B72" s="37">
        <v>26947756</v>
      </c>
      <c r="C72" s="37" t="s">
        <v>329</v>
      </c>
      <c r="D72" s="37" t="s">
        <v>330</v>
      </c>
      <c r="E72" s="37" t="s">
        <v>267</v>
      </c>
      <c r="F72" s="37">
        <v>2016</v>
      </c>
      <c r="G72" s="37" t="s">
        <v>331</v>
      </c>
      <c r="H72" s="37">
        <v>1</v>
      </c>
      <c r="I72" s="15" t="s">
        <v>32</v>
      </c>
      <c r="J72" s="15" t="s">
        <v>33</v>
      </c>
      <c r="L72" s="15">
        <v>360</v>
      </c>
      <c r="M72" s="15">
        <v>1</v>
      </c>
      <c r="N72" s="51">
        <v>14</v>
      </c>
      <c r="O72" s="18">
        <f>N72*L72</f>
        <v>5040</v>
      </c>
      <c r="Q72" s="15">
        <v>1</v>
      </c>
      <c r="R72" s="15">
        <v>1</v>
      </c>
      <c r="S72" s="15">
        <v>6</v>
      </c>
      <c r="T72" s="15">
        <v>6</v>
      </c>
      <c r="U72" s="52" t="s">
        <v>234</v>
      </c>
      <c r="V72" s="15">
        <v>69</v>
      </c>
      <c r="W72" s="15">
        <v>2.5</v>
      </c>
      <c r="X72" s="15">
        <v>8</v>
      </c>
      <c r="Y72" s="15">
        <v>8</v>
      </c>
      <c r="Z72" s="35">
        <f>W72*(SQRT(Y72))</f>
        <v>7.0710678118654755</v>
      </c>
      <c r="AA72" s="15"/>
      <c r="AB72" s="15">
        <v>52</v>
      </c>
      <c r="AC72" s="15">
        <v>9</v>
      </c>
      <c r="AD72" s="15">
        <v>8</v>
      </c>
      <c r="AE72" s="15">
        <v>8</v>
      </c>
      <c r="AF72" s="35">
        <f>AC72*(SQRT(AE72))</f>
        <v>25.455844122715714</v>
      </c>
    </row>
    <row r="73" spans="1:33" x14ac:dyDescent="0.25">
      <c r="A73" s="37">
        <v>7023</v>
      </c>
      <c r="B73" s="37">
        <v>26947756</v>
      </c>
      <c r="C73" s="37" t="s">
        <v>329</v>
      </c>
      <c r="D73" s="37" t="s">
        <v>330</v>
      </c>
      <c r="E73" s="37" t="s">
        <v>267</v>
      </c>
      <c r="F73" s="37">
        <v>2016</v>
      </c>
      <c r="G73" s="37" t="s">
        <v>331</v>
      </c>
      <c r="H73" s="37">
        <v>1</v>
      </c>
      <c r="I73" s="15" t="s">
        <v>32</v>
      </c>
      <c r="J73" s="15" t="s">
        <v>33</v>
      </c>
      <c r="L73" s="15">
        <v>360</v>
      </c>
      <c r="M73" s="15">
        <v>1</v>
      </c>
      <c r="N73" s="51">
        <v>21</v>
      </c>
      <c r="O73" s="18">
        <f>N73*L73</f>
        <v>7560</v>
      </c>
      <c r="Q73" s="15">
        <v>1</v>
      </c>
      <c r="R73" s="15">
        <v>1</v>
      </c>
      <c r="S73" s="15">
        <v>6</v>
      </c>
      <c r="T73" s="15">
        <v>6</v>
      </c>
      <c r="U73" s="52" t="s">
        <v>234</v>
      </c>
      <c r="V73" s="15">
        <v>69</v>
      </c>
      <c r="W73" s="15">
        <v>2.5</v>
      </c>
      <c r="X73" s="15">
        <v>8</v>
      </c>
      <c r="Y73" s="15">
        <v>8</v>
      </c>
      <c r="Z73" s="35">
        <f>W73*(SQRT(Y73))</f>
        <v>7.0710678118654755</v>
      </c>
      <c r="AA73" s="15"/>
      <c r="AB73" s="15">
        <v>47</v>
      </c>
      <c r="AC73" s="15">
        <v>6</v>
      </c>
      <c r="AD73" s="15">
        <v>8</v>
      </c>
      <c r="AE73" s="15">
        <v>8</v>
      </c>
      <c r="AF73" s="35">
        <f>AC73*(SQRT(AE73))</f>
        <v>16.970562748477143</v>
      </c>
    </row>
    <row r="74" spans="1:33" x14ac:dyDescent="0.25">
      <c r="A74" s="37">
        <v>7110</v>
      </c>
      <c r="B74" s="37"/>
      <c r="C74" s="43" t="s">
        <v>555</v>
      </c>
      <c r="D74" s="43" t="s">
        <v>556</v>
      </c>
      <c r="E74" s="43" t="s">
        <v>557</v>
      </c>
      <c r="F74" s="43">
        <v>2022</v>
      </c>
      <c r="G74" s="44" t="s">
        <v>558</v>
      </c>
      <c r="H74" s="37">
        <v>1</v>
      </c>
      <c r="I74" s="15" t="s">
        <v>32</v>
      </c>
      <c r="J74" s="15" t="s">
        <v>33</v>
      </c>
      <c r="L74" s="15">
        <v>360</v>
      </c>
      <c r="M74" s="15">
        <v>1</v>
      </c>
      <c r="N74" s="51">
        <v>7</v>
      </c>
      <c r="O74" s="18">
        <f>L74*M74*N74</f>
        <v>2520</v>
      </c>
      <c r="Q74" s="15">
        <v>1</v>
      </c>
      <c r="R74" s="15">
        <v>1</v>
      </c>
      <c r="S74" s="15">
        <v>23</v>
      </c>
      <c r="T74" s="15">
        <v>23</v>
      </c>
      <c r="U74" s="15" t="s">
        <v>112</v>
      </c>
      <c r="V74" s="15">
        <v>65</v>
      </c>
      <c r="W74" s="15" t="s">
        <v>65</v>
      </c>
      <c r="X74" s="15">
        <v>11</v>
      </c>
      <c r="Y74" s="15"/>
      <c r="Z74" s="15">
        <v>12</v>
      </c>
      <c r="AA74" s="15"/>
      <c r="AB74" s="15">
        <v>53</v>
      </c>
      <c r="AC74" s="15" t="s">
        <v>65</v>
      </c>
      <c r="AD74" s="15">
        <v>11</v>
      </c>
      <c r="AE74" s="15"/>
      <c r="AF74" s="15">
        <v>12</v>
      </c>
      <c r="AG74" s="15"/>
    </row>
    <row r="75" spans="1:33" x14ac:dyDescent="0.25">
      <c r="A75" s="37">
        <v>7110</v>
      </c>
      <c r="B75" s="37"/>
      <c r="C75" s="43" t="s">
        <v>555</v>
      </c>
      <c r="D75" s="43" t="s">
        <v>556</v>
      </c>
      <c r="E75" s="43" t="s">
        <v>557</v>
      </c>
      <c r="F75" s="43">
        <v>2022</v>
      </c>
      <c r="G75" s="44" t="s">
        <v>558</v>
      </c>
      <c r="H75" s="37">
        <v>1</v>
      </c>
      <c r="I75" s="15" t="s">
        <v>32</v>
      </c>
      <c r="J75" s="15" t="s">
        <v>33</v>
      </c>
      <c r="L75" s="15">
        <v>360</v>
      </c>
      <c r="M75" s="15">
        <v>1</v>
      </c>
      <c r="N75" s="51">
        <v>14</v>
      </c>
      <c r="O75" s="18">
        <f>L75*M75*N75</f>
        <v>5040</v>
      </c>
      <c r="Q75" s="15">
        <v>1</v>
      </c>
      <c r="R75" s="15">
        <v>1</v>
      </c>
      <c r="S75" s="15">
        <v>23</v>
      </c>
      <c r="T75" s="15">
        <v>23</v>
      </c>
      <c r="U75" s="15" t="s">
        <v>112</v>
      </c>
      <c r="V75" s="15">
        <v>65</v>
      </c>
      <c r="W75" s="15" t="s">
        <v>65</v>
      </c>
      <c r="X75" s="15">
        <v>11</v>
      </c>
      <c r="Y75" s="15"/>
      <c r="Z75" s="15">
        <v>12</v>
      </c>
      <c r="AA75" s="15"/>
      <c r="AB75" s="15">
        <v>48</v>
      </c>
      <c r="AC75" s="15" t="s">
        <v>65</v>
      </c>
      <c r="AD75" s="15">
        <v>11</v>
      </c>
      <c r="AE75" s="15"/>
      <c r="AF75" s="15">
        <v>13</v>
      </c>
      <c r="AG75" s="15"/>
    </row>
    <row r="76" spans="1:33" x14ac:dyDescent="0.25">
      <c r="A76" s="37">
        <v>7110</v>
      </c>
      <c r="B76" s="37"/>
      <c r="C76" s="43" t="s">
        <v>555</v>
      </c>
      <c r="D76" s="43" t="s">
        <v>556</v>
      </c>
      <c r="E76" s="43" t="s">
        <v>557</v>
      </c>
      <c r="F76" s="43">
        <v>2022</v>
      </c>
      <c r="G76" s="44" t="s">
        <v>558</v>
      </c>
      <c r="H76" s="37">
        <v>1</v>
      </c>
      <c r="I76" s="15" t="s">
        <v>32</v>
      </c>
      <c r="J76" s="15" t="s">
        <v>33</v>
      </c>
      <c r="L76" s="15">
        <v>360</v>
      </c>
      <c r="M76" s="15">
        <v>1</v>
      </c>
      <c r="N76" s="51">
        <v>21</v>
      </c>
      <c r="O76" s="18">
        <f>L76*M76*N76</f>
        <v>7560</v>
      </c>
      <c r="Q76" s="15">
        <v>1</v>
      </c>
      <c r="R76" s="15">
        <v>1</v>
      </c>
      <c r="S76" s="15">
        <v>23</v>
      </c>
      <c r="T76" s="15">
        <v>23</v>
      </c>
      <c r="U76" s="15" t="s">
        <v>112</v>
      </c>
      <c r="V76" s="15">
        <v>65</v>
      </c>
      <c r="W76" s="15" t="s">
        <v>65</v>
      </c>
      <c r="X76" s="15">
        <v>11</v>
      </c>
      <c r="Y76" s="15"/>
      <c r="Z76" s="15">
        <v>12</v>
      </c>
      <c r="AA76" s="15"/>
      <c r="AB76" s="15">
        <v>40</v>
      </c>
      <c r="AC76" s="15" t="s">
        <v>65</v>
      </c>
      <c r="AD76" s="15">
        <v>11</v>
      </c>
      <c r="AE76" s="15"/>
      <c r="AF76" s="15">
        <v>16</v>
      </c>
      <c r="AG76" s="15"/>
    </row>
    <row r="77" spans="1:33" x14ac:dyDescent="0.25">
      <c r="A77" s="15">
        <v>7286</v>
      </c>
      <c r="B77" s="15">
        <v>35528472</v>
      </c>
      <c r="C77" s="15" t="s">
        <v>332</v>
      </c>
      <c r="D77" s="15" t="s">
        <v>333</v>
      </c>
      <c r="E77" s="15" t="s">
        <v>334</v>
      </c>
      <c r="F77" s="15">
        <v>2021</v>
      </c>
      <c r="G77" s="15" t="s">
        <v>335</v>
      </c>
      <c r="H77" s="15">
        <v>1</v>
      </c>
      <c r="I77" s="15" t="s">
        <v>45</v>
      </c>
      <c r="J77" s="15" t="s">
        <v>33</v>
      </c>
      <c r="K77" s="32">
        <v>7</v>
      </c>
      <c r="L77" s="15">
        <v>360</v>
      </c>
      <c r="M77" s="15">
        <v>1</v>
      </c>
      <c r="N77" s="18">
        <v>21</v>
      </c>
      <c r="O77" s="18">
        <f>N77*L77</f>
        <v>7560</v>
      </c>
      <c r="Q77" s="15">
        <v>24</v>
      </c>
      <c r="R77" s="15">
        <v>2</v>
      </c>
      <c r="S77" s="15">
        <v>12</v>
      </c>
      <c r="T77" s="15">
        <v>12</v>
      </c>
      <c r="U77" s="52" t="s">
        <v>525</v>
      </c>
      <c r="V77" s="15">
        <v>85</v>
      </c>
      <c r="W77" s="15" t="s">
        <v>65</v>
      </c>
      <c r="X77" s="53"/>
      <c r="Y77" s="15"/>
      <c r="Z77" s="15">
        <v>7</v>
      </c>
      <c r="AA77" s="15"/>
      <c r="AB77" s="15">
        <v>53</v>
      </c>
      <c r="AC77" s="15" t="s">
        <v>65</v>
      </c>
      <c r="AD77" s="53"/>
      <c r="AE77" s="15"/>
      <c r="AF77" s="15">
        <v>9</v>
      </c>
    </row>
    <row r="78" spans="1:33" x14ac:dyDescent="0.25">
      <c r="A78" s="15">
        <v>7592</v>
      </c>
      <c r="B78" s="15">
        <v>33505499</v>
      </c>
      <c r="C78" s="15" t="s">
        <v>344</v>
      </c>
      <c r="D78" s="15" t="s">
        <v>345</v>
      </c>
      <c r="E78" s="15" t="s">
        <v>346</v>
      </c>
      <c r="F78" s="15">
        <v>2021</v>
      </c>
      <c r="G78" s="15" t="s">
        <v>347</v>
      </c>
      <c r="H78" s="15">
        <v>1</v>
      </c>
      <c r="I78" s="15" t="s">
        <v>32</v>
      </c>
      <c r="J78" s="15" t="s">
        <v>33</v>
      </c>
      <c r="L78" s="15">
        <v>180</v>
      </c>
      <c r="M78" s="15">
        <v>1</v>
      </c>
      <c r="N78" s="18">
        <v>21</v>
      </c>
      <c r="O78" s="18">
        <f>N78*L78</f>
        <v>3780</v>
      </c>
      <c r="Q78" s="15">
        <v>3</v>
      </c>
      <c r="R78" s="15">
        <v>1</v>
      </c>
      <c r="S78" s="15">
        <v>24</v>
      </c>
      <c r="T78" s="15">
        <v>24</v>
      </c>
      <c r="U78" s="52" t="s">
        <v>559</v>
      </c>
      <c r="V78" s="15">
        <v>73</v>
      </c>
      <c r="W78" s="15" t="s">
        <v>65</v>
      </c>
      <c r="X78" s="15">
        <v>8</v>
      </c>
      <c r="Y78" s="15"/>
      <c r="Z78" s="15">
        <v>7</v>
      </c>
      <c r="AA78" s="15"/>
      <c r="AB78" s="15">
        <v>46</v>
      </c>
      <c r="AC78" s="15" t="s">
        <v>65</v>
      </c>
      <c r="AD78" s="15">
        <v>8</v>
      </c>
      <c r="AE78" s="15"/>
      <c r="AF78" s="15">
        <v>3</v>
      </c>
    </row>
    <row r="79" spans="1:33" x14ac:dyDescent="0.25">
      <c r="A79" s="15">
        <v>7660</v>
      </c>
      <c r="C79" s="15" t="s">
        <v>348</v>
      </c>
      <c r="D79" s="15" t="s">
        <v>349</v>
      </c>
      <c r="E79" s="15" t="s">
        <v>68</v>
      </c>
      <c r="F79" s="15">
        <v>2024</v>
      </c>
      <c r="G79" s="15" t="s">
        <v>350</v>
      </c>
      <c r="H79" s="15">
        <v>1</v>
      </c>
      <c r="I79" s="15" t="s">
        <v>351</v>
      </c>
      <c r="J79" s="15" t="s">
        <v>351</v>
      </c>
      <c r="K79" s="15" t="s">
        <v>351</v>
      </c>
      <c r="L79" s="15">
        <v>360</v>
      </c>
      <c r="M79" s="15">
        <v>1</v>
      </c>
      <c r="N79" s="18">
        <v>21</v>
      </c>
      <c r="O79" s="18">
        <f>L79*M79*N79</f>
        <v>7560</v>
      </c>
      <c r="P79" s="15" t="s">
        <v>352</v>
      </c>
      <c r="Q79" s="15">
        <v>1</v>
      </c>
      <c r="R79" s="53"/>
      <c r="S79" s="53"/>
      <c r="T79" s="53"/>
      <c r="U79" s="15" t="s">
        <v>39</v>
      </c>
      <c r="V79" s="15">
        <v>83</v>
      </c>
      <c r="W79" s="15" t="s">
        <v>65</v>
      </c>
      <c r="X79" s="15">
        <v>8</v>
      </c>
      <c r="Y79" s="15"/>
      <c r="Z79" s="15">
        <v>17</v>
      </c>
      <c r="AA79" s="15"/>
      <c r="AB79" s="15">
        <v>73</v>
      </c>
      <c r="AC79" s="15" t="s">
        <v>65</v>
      </c>
      <c r="AD79" s="15">
        <v>8</v>
      </c>
      <c r="AE79" s="15"/>
      <c r="AF79" s="15">
        <v>28</v>
      </c>
      <c r="AG79" s="15"/>
    </row>
    <row r="80" spans="1:33" x14ac:dyDescent="0.25">
      <c r="A80" s="15">
        <v>7812</v>
      </c>
      <c r="B80" s="15">
        <v>36345420</v>
      </c>
      <c r="C80" s="15" t="s">
        <v>560</v>
      </c>
      <c r="D80" s="15" t="s">
        <v>561</v>
      </c>
      <c r="E80" s="15" t="s">
        <v>562</v>
      </c>
      <c r="F80" s="15">
        <v>2022</v>
      </c>
      <c r="G80" s="15" t="s">
        <v>563</v>
      </c>
      <c r="H80" s="15">
        <v>1</v>
      </c>
      <c r="I80" s="15" t="s">
        <v>32</v>
      </c>
      <c r="J80" s="15" t="s">
        <v>33</v>
      </c>
      <c r="K80" s="32">
        <v>4</v>
      </c>
      <c r="L80" s="15">
        <v>240</v>
      </c>
      <c r="M80" s="15">
        <v>1</v>
      </c>
      <c r="N80" s="18">
        <v>28</v>
      </c>
      <c r="O80" s="18">
        <f>N80*L80</f>
        <v>6720</v>
      </c>
      <c r="P80" s="15" t="s">
        <v>564</v>
      </c>
      <c r="Q80" s="15">
        <v>2</v>
      </c>
      <c r="R80" s="15">
        <v>1</v>
      </c>
      <c r="S80" s="53"/>
      <c r="T80" s="53"/>
      <c r="U80" s="52" t="s">
        <v>234</v>
      </c>
      <c r="V80" s="15">
        <v>91</v>
      </c>
      <c r="W80" s="15" t="s">
        <v>65</v>
      </c>
      <c r="X80" s="15">
        <v>12</v>
      </c>
      <c r="Y80" s="15"/>
      <c r="Z80" s="15">
        <v>3</v>
      </c>
      <c r="AA80" s="15"/>
      <c r="AB80" s="15">
        <v>74</v>
      </c>
      <c r="AC80" s="15" t="s">
        <v>65</v>
      </c>
      <c r="AD80" s="15">
        <v>12</v>
      </c>
      <c r="AE80" s="15"/>
      <c r="AF80" s="15">
        <v>9.5</v>
      </c>
    </row>
    <row r="81" spans="1:34" x14ac:dyDescent="0.25">
      <c r="A81" s="15">
        <v>7864</v>
      </c>
      <c r="C81" s="15" t="s">
        <v>565</v>
      </c>
      <c r="D81" s="15" t="s">
        <v>566</v>
      </c>
      <c r="E81" s="15" t="s">
        <v>567</v>
      </c>
      <c r="F81" s="15">
        <v>2023</v>
      </c>
      <c r="G81" s="15" t="s">
        <v>568</v>
      </c>
      <c r="H81" s="15">
        <v>1</v>
      </c>
      <c r="I81" s="15" t="s">
        <v>32</v>
      </c>
      <c r="J81" s="15" t="s">
        <v>33</v>
      </c>
      <c r="K81" s="32" t="s">
        <v>569</v>
      </c>
      <c r="L81" s="15">
        <v>360</v>
      </c>
      <c r="M81" s="15">
        <v>1</v>
      </c>
      <c r="N81" s="18">
        <v>28</v>
      </c>
      <c r="O81" s="18">
        <f t="shared" ref="O81:O82" si="4">L81*M81*N81</f>
        <v>10080</v>
      </c>
      <c r="Q81" s="15">
        <v>1</v>
      </c>
      <c r="R81" s="15">
        <v>1</v>
      </c>
      <c r="S81" s="15">
        <v>24</v>
      </c>
      <c r="T81" s="15">
        <v>24</v>
      </c>
      <c r="U81" s="15" t="s">
        <v>53</v>
      </c>
      <c r="V81" s="15">
        <v>71</v>
      </c>
      <c r="W81" s="15" t="s">
        <v>65</v>
      </c>
      <c r="X81" s="53"/>
      <c r="Y81" s="15"/>
      <c r="Z81" s="15">
        <v>1</v>
      </c>
      <c r="AA81" s="15"/>
      <c r="AB81" s="15">
        <v>46</v>
      </c>
      <c r="AC81" s="15" t="s">
        <v>65</v>
      </c>
      <c r="AD81" s="53"/>
      <c r="AE81" s="15"/>
      <c r="AF81" s="15">
        <v>1</v>
      </c>
      <c r="AG81" s="15"/>
    </row>
    <row r="82" spans="1:34" x14ac:dyDescent="0.25">
      <c r="A82" s="37">
        <v>7875</v>
      </c>
      <c r="B82" s="37"/>
      <c r="C82" s="37" t="s">
        <v>570</v>
      </c>
      <c r="D82" s="37" t="s">
        <v>571</v>
      </c>
      <c r="E82" s="37" t="s">
        <v>572</v>
      </c>
      <c r="F82" s="37">
        <v>2017</v>
      </c>
      <c r="G82" s="37" t="s">
        <v>573</v>
      </c>
      <c r="H82" s="37">
        <v>1</v>
      </c>
      <c r="I82" s="15" t="s">
        <v>32</v>
      </c>
      <c r="J82" s="15" t="s">
        <v>33</v>
      </c>
      <c r="K82" s="32" t="s">
        <v>55</v>
      </c>
      <c r="L82" s="15">
        <v>360</v>
      </c>
      <c r="M82" s="15">
        <v>1</v>
      </c>
      <c r="N82" s="51">
        <v>7</v>
      </c>
      <c r="O82" s="18">
        <f t="shared" si="4"/>
        <v>2520</v>
      </c>
      <c r="Q82" s="15">
        <v>1</v>
      </c>
      <c r="R82" s="15">
        <v>1</v>
      </c>
      <c r="S82" s="53"/>
      <c r="T82" s="53"/>
      <c r="U82" s="15" t="s">
        <v>71</v>
      </c>
      <c r="V82" s="15">
        <v>68</v>
      </c>
      <c r="W82" s="15" t="s">
        <v>65</v>
      </c>
      <c r="X82" s="15">
        <v>12</v>
      </c>
      <c r="Y82" s="15"/>
      <c r="Z82" s="15">
        <v>6</v>
      </c>
      <c r="AA82" s="15"/>
      <c r="AB82" s="15">
        <v>59</v>
      </c>
      <c r="AC82" s="15" t="s">
        <v>65</v>
      </c>
      <c r="AD82" s="15">
        <v>12</v>
      </c>
      <c r="AE82" s="15"/>
      <c r="AF82" s="15">
        <v>9</v>
      </c>
      <c r="AG82" s="15"/>
    </row>
    <row r="83" spans="1:34" x14ac:dyDescent="0.25">
      <c r="A83" s="37">
        <v>7875</v>
      </c>
      <c r="B83" s="37"/>
      <c r="C83" s="37" t="s">
        <v>570</v>
      </c>
      <c r="D83" s="37" t="s">
        <v>571</v>
      </c>
      <c r="E83" s="37" t="s">
        <v>572</v>
      </c>
      <c r="F83" s="37">
        <v>2017</v>
      </c>
      <c r="G83" s="37" t="s">
        <v>573</v>
      </c>
      <c r="H83" s="37">
        <v>1</v>
      </c>
      <c r="I83" s="15" t="s">
        <v>32</v>
      </c>
      <c r="J83" s="15" t="s">
        <v>33</v>
      </c>
      <c r="K83" s="32" t="s">
        <v>55</v>
      </c>
      <c r="L83" s="15">
        <v>360</v>
      </c>
      <c r="M83" s="15">
        <v>1</v>
      </c>
      <c r="N83" s="51">
        <v>14</v>
      </c>
      <c r="O83" s="18">
        <f t="shared" ref="O83:O85" si="5">L83*M83*N83</f>
        <v>5040</v>
      </c>
      <c r="Q83" s="15">
        <v>1</v>
      </c>
      <c r="R83" s="15">
        <v>1</v>
      </c>
      <c r="S83" s="53"/>
      <c r="T83" s="53"/>
      <c r="U83" s="15" t="s">
        <v>71</v>
      </c>
      <c r="V83" s="15">
        <v>68</v>
      </c>
      <c r="W83" s="15" t="s">
        <v>65</v>
      </c>
      <c r="X83" s="15">
        <v>12</v>
      </c>
      <c r="Y83" s="15"/>
      <c r="Z83" s="15">
        <v>6</v>
      </c>
      <c r="AA83" s="15"/>
      <c r="AB83" s="15">
        <v>46</v>
      </c>
      <c r="AC83" s="15" t="s">
        <v>65</v>
      </c>
      <c r="AD83" s="15">
        <v>12</v>
      </c>
      <c r="AE83" s="15"/>
      <c r="AF83" s="15">
        <v>6</v>
      </c>
      <c r="AG83" s="15"/>
    </row>
    <row r="84" spans="1:34" x14ac:dyDescent="0.25">
      <c r="A84" s="37">
        <v>7875</v>
      </c>
      <c r="B84" s="37"/>
      <c r="C84" s="37" t="s">
        <v>570</v>
      </c>
      <c r="D84" s="37" t="s">
        <v>571</v>
      </c>
      <c r="E84" s="37" t="s">
        <v>572</v>
      </c>
      <c r="F84" s="37">
        <v>2017</v>
      </c>
      <c r="G84" s="37" t="s">
        <v>573</v>
      </c>
      <c r="H84" s="37">
        <v>1</v>
      </c>
      <c r="I84" s="15" t="s">
        <v>32</v>
      </c>
      <c r="J84" s="15" t="s">
        <v>33</v>
      </c>
      <c r="K84" s="32" t="s">
        <v>55</v>
      </c>
      <c r="L84" s="15">
        <v>360</v>
      </c>
      <c r="M84" s="15">
        <v>1</v>
      </c>
      <c r="N84" s="51">
        <v>21</v>
      </c>
      <c r="O84" s="18">
        <f t="shared" si="5"/>
        <v>7560</v>
      </c>
      <c r="Q84" s="15">
        <v>1</v>
      </c>
      <c r="R84" s="15">
        <v>1</v>
      </c>
      <c r="S84" s="53"/>
      <c r="T84" s="53"/>
      <c r="U84" s="15" t="s">
        <v>71</v>
      </c>
      <c r="V84" s="15">
        <v>68</v>
      </c>
      <c r="W84" s="15" t="s">
        <v>65</v>
      </c>
      <c r="X84" s="15">
        <v>12</v>
      </c>
      <c r="Y84" s="15"/>
      <c r="Z84" s="15">
        <v>6</v>
      </c>
      <c r="AA84" s="15"/>
      <c r="AB84" s="15">
        <v>37</v>
      </c>
      <c r="AC84" s="15" t="s">
        <v>65</v>
      </c>
      <c r="AD84" s="15">
        <v>12</v>
      </c>
      <c r="AE84" s="15"/>
      <c r="AF84" s="15">
        <v>5</v>
      </c>
      <c r="AG84" s="15"/>
    </row>
    <row r="85" spans="1:34" x14ac:dyDescent="0.25">
      <c r="A85" s="37">
        <v>7875</v>
      </c>
      <c r="B85" s="37"/>
      <c r="C85" s="37" t="s">
        <v>570</v>
      </c>
      <c r="D85" s="37" t="s">
        <v>571</v>
      </c>
      <c r="E85" s="37" t="s">
        <v>572</v>
      </c>
      <c r="F85" s="37">
        <v>2017</v>
      </c>
      <c r="G85" s="37" t="s">
        <v>573</v>
      </c>
      <c r="H85" s="37">
        <v>1</v>
      </c>
      <c r="I85" s="15" t="s">
        <v>32</v>
      </c>
      <c r="J85" s="15" t="s">
        <v>33</v>
      </c>
      <c r="K85" s="32" t="s">
        <v>55</v>
      </c>
      <c r="L85" s="15">
        <v>360</v>
      </c>
      <c r="M85" s="15">
        <v>1</v>
      </c>
      <c r="N85" s="51">
        <v>28</v>
      </c>
      <c r="O85" s="18">
        <f t="shared" si="5"/>
        <v>10080</v>
      </c>
      <c r="Q85" s="15">
        <v>1</v>
      </c>
      <c r="R85" s="15">
        <v>1</v>
      </c>
      <c r="S85" s="53"/>
      <c r="T85" s="53"/>
      <c r="U85" s="15" t="s">
        <v>71</v>
      </c>
      <c r="V85" s="15">
        <v>68</v>
      </c>
      <c r="W85" s="15" t="s">
        <v>65</v>
      </c>
      <c r="X85" s="15">
        <v>12</v>
      </c>
      <c r="Y85" s="15"/>
      <c r="Z85" s="15">
        <v>6</v>
      </c>
      <c r="AA85" s="15"/>
      <c r="AB85" s="15">
        <v>33</v>
      </c>
      <c r="AC85" s="15" t="s">
        <v>65</v>
      </c>
      <c r="AD85" s="15">
        <v>12</v>
      </c>
      <c r="AE85" s="15"/>
      <c r="AF85" s="15">
        <v>6</v>
      </c>
      <c r="AG85" s="15"/>
    </row>
    <row r="86" spans="1:34" x14ac:dyDescent="0.25">
      <c r="A86" s="15">
        <v>8438</v>
      </c>
      <c r="B86" s="15">
        <v>32188207</v>
      </c>
      <c r="C86" s="15" t="s">
        <v>574</v>
      </c>
      <c r="D86" s="15" t="s">
        <v>575</v>
      </c>
      <c r="E86" s="15" t="s">
        <v>576</v>
      </c>
      <c r="F86" s="15">
        <v>2017</v>
      </c>
      <c r="G86" s="15" t="s">
        <v>577</v>
      </c>
      <c r="H86" s="15">
        <v>1</v>
      </c>
      <c r="I86" s="15" t="s">
        <v>32</v>
      </c>
      <c r="J86" s="15" t="s">
        <v>33</v>
      </c>
      <c r="L86" s="15">
        <v>360</v>
      </c>
      <c r="M86" s="15">
        <v>1</v>
      </c>
      <c r="N86" s="18">
        <v>28</v>
      </c>
      <c r="O86" s="18">
        <f>L86*M86*N86</f>
        <v>10080</v>
      </c>
      <c r="Q86" s="15">
        <v>1</v>
      </c>
      <c r="R86" s="15">
        <v>1</v>
      </c>
      <c r="S86" s="15">
        <v>23</v>
      </c>
      <c r="T86" s="15">
        <v>23</v>
      </c>
      <c r="U86" s="53"/>
      <c r="V86" s="53"/>
      <c r="W86" s="53"/>
      <c r="X86" s="53"/>
      <c r="Y86" s="53"/>
      <c r="Z86" s="53"/>
      <c r="AA86" s="15"/>
      <c r="AB86" s="53"/>
      <c r="AC86" s="53"/>
      <c r="AD86" s="53"/>
      <c r="AE86" s="53"/>
      <c r="AF86" s="53"/>
      <c r="AG86" s="15"/>
    </row>
    <row r="87" spans="1:34" x14ac:dyDescent="0.25">
      <c r="A87" s="15">
        <v>8451</v>
      </c>
      <c r="C87" s="15" t="s">
        <v>369</v>
      </c>
      <c r="D87" s="15" t="s">
        <v>370</v>
      </c>
      <c r="E87" s="15" t="s">
        <v>371</v>
      </c>
      <c r="F87" s="15">
        <v>2025</v>
      </c>
      <c r="G87" s="15" t="s">
        <v>372</v>
      </c>
      <c r="H87" s="15">
        <v>1</v>
      </c>
      <c r="I87" s="15" t="s">
        <v>32</v>
      </c>
      <c r="J87" s="15" t="s">
        <v>33</v>
      </c>
      <c r="L87" s="15">
        <v>480</v>
      </c>
      <c r="M87" s="15">
        <v>1</v>
      </c>
      <c r="N87" s="18">
        <v>14</v>
      </c>
      <c r="O87" s="18">
        <f>L87*M87*N87</f>
        <v>6720</v>
      </c>
      <c r="Q87" s="53"/>
      <c r="R87" s="53"/>
      <c r="S87" s="53"/>
      <c r="T87" s="53"/>
      <c r="U87" s="15" t="s">
        <v>388</v>
      </c>
      <c r="V87" s="15">
        <v>86</v>
      </c>
      <c r="W87" s="15" t="s">
        <v>65</v>
      </c>
      <c r="X87" s="15">
        <v>7</v>
      </c>
      <c r="Y87" s="15"/>
      <c r="Z87" s="15">
        <v>11</v>
      </c>
      <c r="AA87" s="15"/>
      <c r="AB87" s="15">
        <v>51</v>
      </c>
      <c r="AC87" s="15" t="s">
        <v>65</v>
      </c>
      <c r="AD87" s="15">
        <v>12</v>
      </c>
      <c r="AE87" s="15"/>
      <c r="AF87" s="15">
        <v>10</v>
      </c>
      <c r="AG87" s="15"/>
      <c r="AH87" s="15" t="s">
        <v>518</v>
      </c>
    </row>
    <row r="88" spans="1:34" x14ac:dyDescent="0.25">
      <c r="A88" s="15">
        <v>8548</v>
      </c>
      <c r="C88" s="15" t="s">
        <v>378</v>
      </c>
      <c r="D88" s="15" t="s">
        <v>379</v>
      </c>
      <c r="E88" s="15" t="s">
        <v>380</v>
      </c>
      <c r="F88" s="15">
        <v>2024</v>
      </c>
      <c r="G88" s="15" t="s">
        <v>381</v>
      </c>
      <c r="H88" s="15">
        <v>1</v>
      </c>
      <c r="I88" s="15" t="s">
        <v>382</v>
      </c>
      <c r="J88" s="15" t="s">
        <v>33</v>
      </c>
      <c r="L88" s="15">
        <v>120</v>
      </c>
      <c r="M88" s="15">
        <v>1</v>
      </c>
      <c r="N88" s="18">
        <v>14</v>
      </c>
      <c r="O88" s="18">
        <f>L88*M88*N88</f>
        <v>1680</v>
      </c>
      <c r="Q88" s="15">
        <v>24</v>
      </c>
      <c r="R88" s="15">
        <v>1</v>
      </c>
      <c r="S88" s="53"/>
      <c r="T88" s="53"/>
      <c r="U88" s="52">
        <v>2</v>
      </c>
      <c r="V88" s="53"/>
      <c r="W88" s="53"/>
      <c r="X88" s="53"/>
      <c r="Y88" s="53"/>
      <c r="Z88" s="53"/>
      <c r="AA88" s="15"/>
      <c r="AB88" s="53"/>
      <c r="AC88" s="53"/>
      <c r="AD88" s="53"/>
      <c r="AE88" s="53"/>
      <c r="AF88" s="53"/>
      <c r="AG88" s="15"/>
    </row>
    <row r="89" spans="1:34" x14ac:dyDescent="0.25">
      <c r="A89" s="15">
        <v>8637</v>
      </c>
      <c r="C89" s="15" t="s">
        <v>389</v>
      </c>
      <c r="D89" s="15" t="s">
        <v>390</v>
      </c>
      <c r="E89" s="15" t="s">
        <v>68</v>
      </c>
      <c r="F89" s="15">
        <v>2025</v>
      </c>
      <c r="G89" s="15" t="s">
        <v>391</v>
      </c>
      <c r="H89" s="15">
        <v>1</v>
      </c>
      <c r="I89" s="15" t="s">
        <v>32</v>
      </c>
      <c r="J89" s="15" t="s">
        <v>392</v>
      </c>
      <c r="K89" s="32" t="s">
        <v>40</v>
      </c>
      <c r="L89" s="15">
        <v>45</v>
      </c>
      <c r="M89" s="15">
        <v>3</v>
      </c>
      <c r="N89" s="18">
        <v>7</v>
      </c>
      <c r="O89" s="18">
        <f>L89*M89*N89</f>
        <v>945</v>
      </c>
      <c r="P89" s="15" t="s">
        <v>393</v>
      </c>
      <c r="Q89" s="15">
        <v>12</v>
      </c>
      <c r="R89" s="15">
        <v>2</v>
      </c>
      <c r="S89" s="15">
        <v>24</v>
      </c>
      <c r="T89" s="15">
        <v>24</v>
      </c>
      <c r="U89" s="15" t="s">
        <v>134</v>
      </c>
      <c r="V89" s="15">
        <v>91</v>
      </c>
      <c r="W89" s="15">
        <v>7</v>
      </c>
      <c r="X89" s="15">
        <v>8</v>
      </c>
      <c r="Y89" s="15">
        <v>8</v>
      </c>
      <c r="Z89" s="35">
        <f t="shared" ref="Z89:Z98" si="6">W89*(SQRT(Y89))</f>
        <v>19.798989873223331</v>
      </c>
      <c r="AA89" s="15"/>
      <c r="AB89" s="15">
        <v>74</v>
      </c>
      <c r="AC89" s="15">
        <v>9</v>
      </c>
      <c r="AD89" s="15">
        <v>18</v>
      </c>
      <c r="AE89" s="15">
        <v>18</v>
      </c>
      <c r="AF89" s="35">
        <f t="shared" ref="AF89" si="7">AC89*(SQRT(AE89))</f>
        <v>38.183766184073562</v>
      </c>
      <c r="AG89" s="15"/>
    </row>
    <row r="90" spans="1:34" x14ac:dyDescent="0.25">
      <c r="A90" s="37">
        <v>8767</v>
      </c>
      <c r="B90" s="37">
        <v>25315361</v>
      </c>
      <c r="C90" s="37" t="s">
        <v>398</v>
      </c>
      <c r="D90" s="37" t="s">
        <v>399</v>
      </c>
      <c r="E90" s="37" t="s">
        <v>121</v>
      </c>
      <c r="F90" s="37">
        <v>2015</v>
      </c>
      <c r="G90" s="37" t="s">
        <v>400</v>
      </c>
      <c r="H90" s="37">
        <v>1</v>
      </c>
      <c r="I90" s="15" t="s">
        <v>45</v>
      </c>
      <c r="J90" s="15" t="s">
        <v>33</v>
      </c>
      <c r="L90" s="15">
        <v>240</v>
      </c>
      <c r="M90" s="15">
        <v>1</v>
      </c>
      <c r="N90" s="51">
        <v>7</v>
      </c>
      <c r="O90" s="18">
        <f t="shared" ref="O90:O98" si="8">N90*L90</f>
        <v>1680</v>
      </c>
      <c r="Q90" s="15">
        <v>24</v>
      </c>
      <c r="R90" s="15">
        <v>1</v>
      </c>
      <c r="S90" s="15">
        <v>0</v>
      </c>
      <c r="T90" s="15">
        <v>0</v>
      </c>
      <c r="U90" s="52">
        <v>2</v>
      </c>
      <c r="V90" s="15">
        <v>84</v>
      </c>
      <c r="W90" s="15">
        <v>2</v>
      </c>
      <c r="X90" s="32" t="s">
        <v>88</v>
      </c>
      <c r="Y90" s="15">
        <v>8</v>
      </c>
      <c r="Z90" s="35">
        <f t="shared" si="6"/>
        <v>5.6568542494923806</v>
      </c>
      <c r="AA90" s="15"/>
      <c r="AB90" s="15">
        <v>74</v>
      </c>
      <c r="AC90" s="15">
        <v>3</v>
      </c>
      <c r="AD90" s="32" t="s">
        <v>88</v>
      </c>
      <c r="AE90" s="15">
        <v>8</v>
      </c>
      <c r="AF90" s="35">
        <f t="shared" ref="AF90:AF98" si="9">AC90*(SQRT(AE90))</f>
        <v>8.4852813742385713</v>
      </c>
    </row>
    <row r="91" spans="1:34" x14ac:dyDescent="0.25">
      <c r="A91" s="37">
        <v>8767</v>
      </c>
      <c r="B91" s="37">
        <v>25315361</v>
      </c>
      <c r="C91" s="37" t="s">
        <v>398</v>
      </c>
      <c r="D91" s="37" t="s">
        <v>399</v>
      </c>
      <c r="E91" s="37" t="s">
        <v>121</v>
      </c>
      <c r="F91" s="37">
        <v>2015</v>
      </c>
      <c r="G91" s="37" t="s">
        <v>400</v>
      </c>
      <c r="H91" s="37">
        <v>1</v>
      </c>
      <c r="I91" s="15" t="s">
        <v>45</v>
      </c>
      <c r="J91" s="15" t="s">
        <v>33</v>
      </c>
      <c r="L91" s="15">
        <v>240</v>
      </c>
      <c r="M91" s="15">
        <v>1</v>
      </c>
      <c r="N91" s="51">
        <v>14</v>
      </c>
      <c r="O91" s="18">
        <f t="shared" si="8"/>
        <v>3360</v>
      </c>
      <c r="Q91" s="15">
        <v>24</v>
      </c>
      <c r="R91" s="15">
        <v>1</v>
      </c>
      <c r="S91" s="15">
        <v>0</v>
      </c>
      <c r="T91" s="15">
        <v>0</v>
      </c>
      <c r="U91" s="52">
        <v>2</v>
      </c>
      <c r="V91" s="15">
        <v>84</v>
      </c>
      <c r="W91" s="15">
        <v>2</v>
      </c>
      <c r="X91" s="32" t="s">
        <v>88</v>
      </c>
      <c r="Y91" s="15">
        <v>8</v>
      </c>
      <c r="Z91" s="35">
        <f t="shared" si="6"/>
        <v>5.6568542494923806</v>
      </c>
      <c r="AA91" s="15"/>
      <c r="AB91" s="15">
        <v>67</v>
      </c>
      <c r="AC91" s="15">
        <v>2</v>
      </c>
      <c r="AD91" s="32" t="s">
        <v>88</v>
      </c>
      <c r="AE91" s="15">
        <v>8</v>
      </c>
      <c r="AF91" s="35">
        <f t="shared" si="9"/>
        <v>5.6568542494923806</v>
      </c>
    </row>
    <row r="92" spans="1:34" x14ac:dyDescent="0.25">
      <c r="A92" s="37">
        <v>8767</v>
      </c>
      <c r="B92" s="37">
        <v>25315361</v>
      </c>
      <c r="C92" s="37" t="s">
        <v>398</v>
      </c>
      <c r="D92" s="37" t="s">
        <v>399</v>
      </c>
      <c r="E92" s="37" t="s">
        <v>121</v>
      </c>
      <c r="F92" s="37">
        <v>2015</v>
      </c>
      <c r="G92" s="37" t="s">
        <v>400</v>
      </c>
      <c r="H92" s="37">
        <v>1</v>
      </c>
      <c r="I92" s="15" t="s">
        <v>45</v>
      </c>
      <c r="J92" s="15" t="s">
        <v>33</v>
      </c>
      <c r="L92" s="15">
        <v>240</v>
      </c>
      <c r="M92" s="15">
        <v>1</v>
      </c>
      <c r="N92" s="51">
        <v>21</v>
      </c>
      <c r="O92" s="18">
        <f t="shared" si="8"/>
        <v>5040</v>
      </c>
      <c r="Q92" s="15">
        <v>24</v>
      </c>
      <c r="R92" s="15">
        <v>1</v>
      </c>
      <c r="S92" s="15">
        <v>0</v>
      </c>
      <c r="T92" s="15">
        <v>0</v>
      </c>
      <c r="U92" s="52">
        <v>2</v>
      </c>
      <c r="V92" s="15">
        <v>84</v>
      </c>
      <c r="W92" s="15">
        <v>2</v>
      </c>
      <c r="X92" s="32" t="s">
        <v>88</v>
      </c>
      <c r="Y92" s="15">
        <v>8</v>
      </c>
      <c r="Z92" s="35">
        <f t="shared" si="6"/>
        <v>5.6568542494923806</v>
      </c>
      <c r="AA92" s="15"/>
      <c r="AB92" s="15">
        <v>61</v>
      </c>
      <c r="AC92" s="15">
        <v>3</v>
      </c>
      <c r="AD92" s="32" t="s">
        <v>88</v>
      </c>
      <c r="AE92" s="15">
        <v>8</v>
      </c>
      <c r="AF92" s="35">
        <f t="shared" si="9"/>
        <v>8.4852813742385713</v>
      </c>
    </row>
    <row r="93" spans="1:34" x14ac:dyDescent="0.25">
      <c r="A93" s="37">
        <v>8767</v>
      </c>
      <c r="B93" s="37">
        <v>25315361</v>
      </c>
      <c r="C93" s="37" t="s">
        <v>398</v>
      </c>
      <c r="D93" s="37" t="s">
        <v>399</v>
      </c>
      <c r="E93" s="37" t="s">
        <v>121</v>
      </c>
      <c r="F93" s="37">
        <v>2015</v>
      </c>
      <c r="G93" s="37" t="s">
        <v>400</v>
      </c>
      <c r="H93" s="37">
        <v>1</v>
      </c>
      <c r="I93" s="15" t="s">
        <v>45</v>
      </c>
      <c r="J93" s="15" t="s">
        <v>33</v>
      </c>
      <c r="L93" s="15">
        <v>240</v>
      </c>
      <c r="M93" s="15">
        <v>1</v>
      </c>
      <c r="N93" s="51">
        <v>28</v>
      </c>
      <c r="O93" s="18">
        <f t="shared" si="8"/>
        <v>6720</v>
      </c>
      <c r="Q93" s="15">
        <v>24</v>
      </c>
      <c r="R93" s="15">
        <v>1</v>
      </c>
      <c r="S93" s="15">
        <v>0</v>
      </c>
      <c r="T93" s="15">
        <v>0</v>
      </c>
      <c r="U93" s="52">
        <v>2</v>
      </c>
      <c r="V93" s="15">
        <v>84</v>
      </c>
      <c r="W93" s="15">
        <v>2</v>
      </c>
      <c r="X93" s="32" t="s">
        <v>88</v>
      </c>
      <c r="Y93" s="15">
        <v>8</v>
      </c>
      <c r="Z93" s="35">
        <f t="shared" si="6"/>
        <v>5.6568542494923806</v>
      </c>
      <c r="AA93" s="15"/>
      <c r="AB93" s="15">
        <v>59</v>
      </c>
      <c r="AC93" s="15">
        <v>2</v>
      </c>
      <c r="AD93" s="32" t="s">
        <v>88</v>
      </c>
      <c r="AE93" s="15">
        <v>8</v>
      </c>
      <c r="AF93" s="35">
        <f t="shared" si="9"/>
        <v>5.6568542494923806</v>
      </c>
    </row>
    <row r="94" spans="1:34" x14ac:dyDescent="0.25">
      <c r="A94" s="37">
        <v>8767</v>
      </c>
      <c r="B94" s="37">
        <v>25315361</v>
      </c>
      <c r="C94" s="37" t="s">
        <v>398</v>
      </c>
      <c r="D94" s="37" t="s">
        <v>399</v>
      </c>
      <c r="E94" s="37" t="s">
        <v>121</v>
      </c>
      <c r="F94" s="37">
        <v>2015</v>
      </c>
      <c r="G94" s="37" t="s">
        <v>400</v>
      </c>
      <c r="H94" s="37">
        <v>1</v>
      </c>
      <c r="I94" s="15" t="s">
        <v>45</v>
      </c>
      <c r="J94" s="15" t="s">
        <v>33</v>
      </c>
      <c r="L94" s="15">
        <v>240</v>
      </c>
      <c r="M94" s="15">
        <v>1</v>
      </c>
      <c r="N94" s="51">
        <v>35</v>
      </c>
      <c r="O94" s="18">
        <f t="shared" si="8"/>
        <v>8400</v>
      </c>
      <c r="Q94" s="15">
        <v>24</v>
      </c>
      <c r="R94" s="15">
        <v>1</v>
      </c>
      <c r="S94" s="15">
        <v>0</v>
      </c>
      <c r="T94" s="15">
        <v>0</v>
      </c>
      <c r="U94" s="52">
        <v>2</v>
      </c>
      <c r="V94" s="15">
        <v>84</v>
      </c>
      <c r="W94" s="15">
        <v>2</v>
      </c>
      <c r="X94" s="32" t="s">
        <v>88</v>
      </c>
      <c r="Y94" s="15">
        <v>8</v>
      </c>
      <c r="Z94" s="35">
        <f t="shared" si="6"/>
        <v>5.6568542494923806</v>
      </c>
      <c r="AA94" s="15"/>
      <c r="AB94" s="15">
        <v>58</v>
      </c>
      <c r="AC94" s="15">
        <v>4</v>
      </c>
      <c r="AD94" s="32" t="s">
        <v>88</v>
      </c>
      <c r="AE94" s="15">
        <v>8</v>
      </c>
      <c r="AF94" s="35">
        <f t="shared" si="9"/>
        <v>11.313708498984761</v>
      </c>
    </row>
    <row r="95" spans="1:34" x14ac:dyDescent="0.25">
      <c r="A95" s="37">
        <v>8767</v>
      </c>
      <c r="B95" s="37">
        <v>25315361</v>
      </c>
      <c r="C95" s="37" t="s">
        <v>398</v>
      </c>
      <c r="D95" s="37" t="s">
        <v>399</v>
      </c>
      <c r="E95" s="37" t="s">
        <v>121</v>
      </c>
      <c r="F95" s="37">
        <v>2015</v>
      </c>
      <c r="G95" s="37" t="s">
        <v>400</v>
      </c>
      <c r="H95" s="37">
        <v>1</v>
      </c>
      <c r="I95" s="15" t="s">
        <v>45</v>
      </c>
      <c r="J95" s="15" t="s">
        <v>33</v>
      </c>
      <c r="L95" s="15">
        <v>240</v>
      </c>
      <c r="M95" s="15">
        <v>1</v>
      </c>
      <c r="N95" s="51">
        <v>42</v>
      </c>
      <c r="O95" s="18">
        <f t="shared" si="8"/>
        <v>10080</v>
      </c>
      <c r="Q95" s="15">
        <v>24</v>
      </c>
      <c r="R95" s="15">
        <v>1</v>
      </c>
      <c r="S95" s="15">
        <v>0</v>
      </c>
      <c r="T95" s="15">
        <v>0</v>
      </c>
      <c r="U95" s="52">
        <v>2</v>
      </c>
      <c r="V95" s="15">
        <v>84</v>
      </c>
      <c r="W95" s="15">
        <v>2</v>
      </c>
      <c r="X95" s="32" t="s">
        <v>88</v>
      </c>
      <c r="Y95" s="15">
        <v>8</v>
      </c>
      <c r="Z95" s="35">
        <f t="shared" si="6"/>
        <v>5.6568542494923806</v>
      </c>
      <c r="AA95" s="15"/>
      <c r="AB95" s="15">
        <v>51</v>
      </c>
      <c r="AC95" s="15">
        <v>4</v>
      </c>
      <c r="AD95" s="32" t="s">
        <v>88</v>
      </c>
      <c r="AE95" s="15">
        <v>8</v>
      </c>
      <c r="AF95" s="35">
        <f t="shared" si="9"/>
        <v>11.313708498984761</v>
      </c>
    </row>
    <row r="96" spans="1:34" x14ac:dyDescent="0.25">
      <c r="A96" s="15">
        <v>8885</v>
      </c>
      <c r="B96" s="15">
        <v>33766670</v>
      </c>
      <c r="C96" s="15" t="s">
        <v>401</v>
      </c>
      <c r="D96" s="15" t="s">
        <v>402</v>
      </c>
      <c r="E96" s="15" t="s">
        <v>403</v>
      </c>
      <c r="F96" s="15">
        <v>2021</v>
      </c>
      <c r="G96" s="15" t="s">
        <v>404</v>
      </c>
      <c r="H96" s="15">
        <v>1</v>
      </c>
      <c r="I96" s="15" t="s">
        <v>45</v>
      </c>
      <c r="J96" s="15" t="s">
        <v>33</v>
      </c>
      <c r="L96" s="15">
        <v>360</v>
      </c>
      <c r="M96" s="15">
        <v>1</v>
      </c>
      <c r="N96" s="18">
        <v>28</v>
      </c>
      <c r="O96" s="18">
        <f t="shared" si="8"/>
        <v>10080</v>
      </c>
      <c r="Q96" s="15">
        <v>1</v>
      </c>
      <c r="R96" s="15">
        <v>1</v>
      </c>
      <c r="S96" s="15">
        <v>23</v>
      </c>
      <c r="T96" s="15">
        <v>23</v>
      </c>
      <c r="U96" s="52" t="s">
        <v>578</v>
      </c>
      <c r="V96" s="15">
        <v>81</v>
      </c>
      <c r="W96" s="15">
        <v>2.7</v>
      </c>
      <c r="X96" s="15">
        <v>8</v>
      </c>
      <c r="Y96" s="15">
        <v>8</v>
      </c>
      <c r="Z96" s="35">
        <f t="shared" si="6"/>
        <v>7.6367532368147142</v>
      </c>
      <c r="AA96" s="15"/>
      <c r="AB96" s="15">
        <v>71</v>
      </c>
      <c r="AC96" s="15">
        <v>1.8</v>
      </c>
      <c r="AD96" s="15">
        <v>8</v>
      </c>
      <c r="AE96" s="15">
        <v>8</v>
      </c>
      <c r="AF96" s="35">
        <f t="shared" si="9"/>
        <v>5.0911688245431428</v>
      </c>
    </row>
    <row r="97" spans="1:33" x14ac:dyDescent="0.25">
      <c r="A97" s="37">
        <v>8955</v>
      </c>
      <c r="B97" s="37">
        <v>26010004</v>
      </c>
      <c r="C97" s="37" t="s">
        <v>405</v>
      </c>
      <c r="D97" s="37" t="s">
        <v>406</v>
      </c>
      <c r="E97" s="37" t="s">
        <v>407</v>
      </c>
      <c r="F97" s="37">
        <v>2015</v>
      </c>
      <c r="G97" s="37" t="s">
        <v>408</v>
      </c>
      <c r="H97" s="37">
        <v>1</v>
      </c>
      <c r="I97" s="15" t="s">
        <v>32</v>
      </c>
      <c r="J97" s="15" t="s">
        <v>33</v>
      </c>
      <c r="L97" s="18">
        <v>150</v>
      </c>
      <c r="M97" s="15">
        <v>1</v>
      </c>
      <c r="N97" s="37">
        <v>7</v>
      </c>
      <c r="O97" s="18">
        <f t="shared" si="8"/>
        <v>1050</v>
      </c>
      <c r="Q97" s="53"/>
      <c r="R97" s="15">
        <v>1</v>
      </c>
      <c r="S97" s="15">
        <v>1</v>
      </c>
      <c r="T97" s="15">
        <v>1</v>
      </c>
      <c r="U97" s="52">
        <v>2</v>
      </c>
      <c r="V97" s="15">
        <v>90</v>
      </c>
      <c r="W97" s="15">
        <v>5</v>
      </c>
      <c r="X97" s="15">
        <v>8</v>
      </c>
      <c r="Y97" s="15">
        <v>8</v>
      </c>
      <c r="Z97" s="35">
        <f t="shared" si="6"/>
        <v>14.142135623730951</v>
      </c>
      <c r="AA97" s="15"/>
      <c r="AB97" s="15">
        <v>48</v>
      </c>
      <c r="AC97" s="15">
        <v>6.5</v>
      </c>
      <c r="AD97" s="15">
        <v>8</v>
      </c>
      <c r="AE97" s="15">
        <v>8</v>
      </c>
      <c r="AF97" s="35">
        <f t="shared" si="9"/>
        <v>18.384776310850238</v>
      </c>
    </row>
    <row r="98" spans="1:33" x14ac:dyDescent="0.25">
      <c r="A98" s="37">
        <v>8955</v>
      </c>
      <c r="B98" s="37">
        <v>26010004</v>
      </c>
      <c r="C98" s="37" t="s">
        <v>405</v>
      </c>
      <c r="D98" s="37" t="s">
        <v>406</v>
      </c>
      <c r="E98" s="37" t="s">
        <v>407</v>
      </c>
      <c r="F98" s="37">
        <v>2015</v>
      </c>
      <c r="G98" s="37" t="s">
        <v>408</v>
      </c>
      <c r="H98" s="37">
        <v>1</v>
      </c>
      <c r="I98" s="15" t="s">
        <v>32</v>
      </c>
      <c r="J98" s="15" t="s">
        <v>33</v>
      </c>
      <c r="L98" s="18">
        <v>150</v>
      </c>
      <c r="M98" s="15">
        <v>1</v>
      </c>
      <c r="N98" s="37">
        <v>14</v>
      </c>
      <c r="O98" s="18">
        <f t="shared" si="8"/>
        <v>2100</v>
      </c>
      <c r="Q98" s="53"/>
      <c r="R98" s="15">
        <v>1</v>
      </c>
      <c r="S98" s="15">
        <v>1</v>
      </c>
      <c r="T98" s="15">
        <v>1</v>
      </c>
      <c r="U98" s="52">
        <v>2</v>
      </c>
      <c r="V98" s="15">
        <v>90</v>
      </c>
      <c r="W98" s="15">
        <v>5</v>
      </c>
      <c r="X98" s="15">
        <v>8</v>
      </c>
      <c r="Y98" s="15">
        <v>8</v>
      </c>
      <c r="Z98" s="35">
        <f t="shared" si="6"/>
        <v>14.142135623730951</v>
      </c>
      <c r="AA98" s="15"/>
      <c r="AB98" s="15">
        <v>59</v>
      </c>
      <c r="AC98" s="15">
        <v>4</v>
      </c>
      <c r="AD98" s="15">
        <v>8</v>
      </c>
      <c r="AE98" s="15">
        <v>8</v>
      </c>
      <c r="AF98" s="35">
        <f t="shared" si="9"/>
        <v>11.313708498984761</v>
      </c>
    </row>
    <row r="99" spans="1:33" x14ac:dyDescent="0.25">
      <c r="A99" s="15">
        <v>8977</v>
      </c>
      <c r="C99" s="15" t="s">
        <v>579</v>
      </c>
      <c r="D99" s="15" t="s">
        <v>580</v>
      </c>
      <c r="E99" s="15" t="s">
        <v>581</v>
      </c>
      <c r="F99" s="15">
        <v>2020</v>
      </c>
      <c r="G99" s="15" t="s">
        <v>582</v>
      </c>
      <c r="H99" s="15">
        <v>1</v>
      </c>
      <c r="I99" s="15" t="s">
        <v>32</v>
      </c>
      <c r="J99" s="15" t="s">
        <v>392</v>
      </c>
      <c r="K99" s="32" t="s">
        <v>34</v>
      </c>
      <c r="L99" s="15">
        <v>45</v>
      </c>
      <c r="M99" s="15">
        <v>3</v>
      </c>
      <c r="N99" s="18">
        <v>7</v>
      </c>
      <c r="O99" s="18">
        <f>L99*M99*N99</f>
        <v>945</v>
      </c>
      <c r="P99" s="15" t="s">
        <v>583</v>
      </c>
      <c r="Q99" s="15">
        <v>24</v>
      </c>
      <c r="R99" s="15">
        <v>1</v>
      </c>
      <c r="S99" s="53"/>
      <c r="T99" s="53"/>
      <c r="U99" s="53"/>
      <c r="V99" s="53"/>
      <c r="W99" s="53"/>
      <c r="X99" s="53"/>
      <c r="Y99" s="53"/>
      <c r="Z99" s="53"/>
      <c r="AA99" s="15"/>
      <c r="AB99" s="53"/>
      <c r="AC99" s="53"/>
      <c r="AD99" s="53"/>
      <c r="AE99" s="53"/>
      <c r="AF99" s="53"/>
      <c r="AG99" s="15"/>
    </row>
    <row r="100" spans="1:33" x14ac:dyDescent="0.25">
      <c r="A100" s="15">
        <v>8989</v>
      </c>
      <c r="C100" s="40" t="s">
        <v>414</v>
      </c>
      <c r="D100" s="40" t="s">
        <v>415</v>
      </c>
      <c r="E100" s="40" t="s">
        <v>416</v>
      </c>
      <c r="F100" s="40">
        <v>2023</v>
      </c>
      <c r="G100" t="s">
        <v>417</v>
      </c>
      <c r="H100" s="15">
        <v>1</v>
      </c>
      <c r="I100" s="15" t="s">
        <v>45</v>
      </c>
      <c r="J100" s="15" t="s">
        <v>33</v>
      </c>
      <c r="L100" s="15">
        <v>360</v>
      </c>
      <c r="M100" s="15">
        <v>1</v>
      </c>
      <c r="N100" s="18">
        <v>21</v>
      </c>
      <c r="O100" s="18">
        <f>L100*M100*N100</f>
        <v>7560</v>
      </c>
      <c r="Q100" s="53" t="s">
        <v>143</v>
      </c>
      <c r="R100" s="15">
        <v>1</v>
      </c>
      <c r="S100" s="53"/>
      <c r="T100" s="53"/>
      <c r="U100" s="15" t="s">
        <v>134</v>
      </c>
      <c r="V100" s="15">
        <v>84</v>
      </c>
      <c r="W100" s="15" t="s">
        <v>65</v>
      </c>
      <c r="X100" s="15">
        <v>6</v>
      </c>
      <c r="Y100" s="15"/>
      <c r="Z100" s="15">
        <v>8</v>
      </c>
      <c r="AA100" s="15"/>
      <c r="AB100" s="15">
        <v>41</v>
      </c>
      <c r="AC100" s="15" t="s">
        <v>65</v>
      </c>
      <c r="AD100" s="15">
        <v>6</v>
      </c>
      <c r="AE100" s="15"/>
      <c r="AF100" s="15">
        <v>9</v>
      </c>
      <c r="AG100" s="15"/>
    </row>
    <row r="101" spans="1:33" x14ac:dyDescent="0.25">
      <c r="A101" s="15">
        <v>9120</v>
      </c>
      <c r="C101" s="40" t="s">
        <v>425</v>
      </c>
      <c r="D101" s="40" t="s">
        <v>426</v>
      </c>
      <c r="E101" s="40" t="s">
        <v>427</v>
      </c>
      <c r="F101" s="40">
        <v>2023</v>
      </c>
      <c r="G101" s="41" t="s">
        <v>428</v>
      </c>
      <c r="H101" s="15">
        <v>1</v>
      </c>
      <c r="I101" s="15" t="s">
        <v>429</v>
      </c>
      <c r="J101" s="15" t="s">
        <v>33</v>
      </c>
      <c r="K101" s="32" t="s">
        <v>159</v>
      </c>
      <c r="L101" s="15">
        <v>30</v>
      </c>
      <c r="M101" s="15">
        <v>1</v>
      </c>
      <c r="N101" s="18">
        <v>10</v>
      </c>
      <c r="O101" s="18">
        <f>L101*M101*N101</f>
        <v>300</v>
      </c>
      <c r="Q101" s="53"/>
      <c r="R101" s="53"/>
      <c r="S101" s="53"/>
      <c r="T101" s="53"/>
      <c r="U101" s="53"/>
      <c r="V101" s="53"/>
      <c r="W101" s="53"/>
      <c r="X101" s="53"/>
      <c r="Y101" s="53"/>
      <c r="Z101" s="53"/>
      <c r="AA101" s="15"/>
      <c r="AB101" s="53"/>
      <c r="AC101" s="53"/>
      <c r="AD101" s="53"/>
      <c r="AE101" s="53"/>
      <c r="AF101" s="53"/>
      <c r="AG101" s="15"/>
    </row>
    <row r="102" spans="1:33" x14ac:dyDescent="0.25">
      <c r="A102">
        <v>9208</v>
      </c>
      <c r="B102" s="15">
        <v>38768165</v>
      </c>
      <c r="C102" s="15" t="s">
        <v>584</v>
      </c>
      <c r="D102" s="15" t="s">
        <v>585</v>
      </c>
      <c r="E102" s="15" t="s">
        <v>366</v>
      </c>
      <c r="F102" s="15">
        <v>2024</v>
      </c>
      <c r="G102" s="15" t="s">
        <v>586</v>
      </c>
      <c r="H102" s="15">
        <v>1</v>
      </c>
      <c r="I102" s="15" t="s">
        <v>32</v>
      </c>
      <c r="J102" s="15" t="s">
        <v>33</v>
      </c>
      <c r="L102" s="15">
        <v>480</v>
      </c>
      <c r="M102" s="15">
        <v>1</v>
      </c>
      <c r="N102" s="18">
        <v>28</v>
      </c>
      <c r="O102" s="18">
        <f>N102*L102</f>
        <v>13440</v>
      </c>
      <c r="P102" s="15" t="s">
        <v>587</v>
      </c>
      <c r="Q102" s="15">
        <v>1</v>
      </c>
      <c r="R102" s="53"/>
      <c r="S102" s="15">
        <v>24</v>
      </c>
      <c r="T102" s="15">
        <v>24</v>
      </c>
      <c r="U102" s="54"/>
      <c r="V102" s="15">
        <v>96</v>
      </c>
      <c r="W102" s="53"/>
      <c r="X102" s="15">
        <v>6</v>
      </c>
      <c r="Y102" s="15"/>
      <c r="Z102" s="53"/>
      <c r="AA102" s="15"/>
      <c r="AB102" s="15">
        <v>70</v>
      </c>
      <c r="AC102" s="53"/>
      <c r="AD102" s="15">
        <v>6</v>
      </c>
      <c r="AE102" s="15"/>
      <c r="AF102" s="53"/>
    </row>
    <row r="103" spans="1:33" x14ac:dyDescent="0.25">
      <c r="A103" s="15">
        <v>9234</v>
      </c>
      <c r="B103" s="15">
        <v>35925279</v>
      </c>
      <c r="C103" s="15" t="s">
        <v>588</v>
      </c>
      <c r="D103" s="15" t="s">
        <v>589</v>
      </c>
      <c r="E103" s="15" t="s">
        <v>121</v>
      </c>
      <c r="F103" s="15">
        <v>2022</v>
      </c>
      <c r="G103" s="15" t="s">
        <v>590</v>
      </c>
      <c r="H103" s="15">
        <v>1</v>
      </c>
      <c r="I103" s="15" t="s">
        <v>117</v>
      </c>
      <c r="J103" s="15" t="s">
        <v>33</v>
      </c>
      <c r="K103" s="32">
        <v>8</v>
      </c>
      <c r="L103" s="15">
        <v>360</v>
      </c>
      <c r="M103" s="15">
        <v>1</v>
      </c>
      <c r="N103" s="18">
        <v>28</v>
      </c>
      <c r="O103" s="18">
        <f>N103*L103</f>
        <v>10080</v>
      </c>
      <c r="Q103" s="15">
        <v>24</v>
      </c>
      <c r="R103" s="15">
        <v>1</v>
      </c>
      <c r="S103" s="15">
        <v>0</v>
      </c>
      <c r="T103" s="15">
        <v>0</v>
      </c>
      <c r="U103" s="52" t="s">
        <v>591</v>
      </c>
      <c r="V103" s="15">
        <v>86</v>
      </c>
      <c r="W103" s="15">
        <v>1</v>
      </c>
      <c r="X103" s="32" t="s">
        <v>592</v>
      </c>
      <c r="Y103" s="15">
        <v>8</v>
      </c>
      <c r="Z103" s="35">
        <f>W103*(SQRT(Y103))</f>
        <v>2.8284271247461903</v>
      </c>
      <c r="AA103" s="15"/>
      <c r="AB103" s="15">
        <v>88</v>
      </c>
      <c r="AC103" s="15">
        <v>1</v>
      </c>
      <c r="AD103" s="32" t="s">
        <v>592</v>
      </c>
      <c r="AE103" s="15">
        <v>8</v>
      </c>
      <c r="AF103" s="35">
        <f>AC103*(SQRT(AE103))</f>
        <v>2.8284271247461903</v>
      </c>
    </row>
    <row r="104" spans="1:33" x14ac:dyDescent="0.25">
      <c r="A104" s="15">
        <v>9442</v>
      </c>
      <c r="B104" s="15">
        <v>34704719</v>
      </c>
      <c r="C104" s="15" t="s">
        <v>434</v>
      </c>
      <c r="D104" s="15" t="s">
        <v>435</v>
      </c>
      <c r="E104" s="15" t="s">
        <v>436</v>
      </c>
      <c r="F104" s="15">
        <v>2021</v>
      </c>
      <c r="G104" s="15" t="s">
        <v>437</v>
      </c>
      <c r="H104" s="15">
        <v>1</v>
      </c>
      <c r="I104" s="15" t="s">
        <v>32</v>
      </c>
      <c r="J104" s="15" t="s">
        <v>33</v>
      </c>
      <c r="L104" s="15">
        <v>360</v>
      </c>
      <c r="M104" s="15">
        <v>1</v>
      </c>
      <c r="N104" s="18">
        <v>21</v>
      </c>
      <c r="O104" s="18">
        <f>N104*L104</f>
        <v>7560</v>
      </c>
      <c r="Q104" s="15">
        <v>2</v>
      </c>
      <c r="R104" s="15">
        <v>2</v>
      </c>
      <c r="S104" s="15">
        <v>24</v>
      </c>
      <c r="T104" s="53"/>
      <c r="U104" s="52" t="s">
        <v>229</v>
      </c>
      <c r="V104" s="15">
        <v>83</v>
      </c>
      <c r="W104" s="15" t="s">
        <v>65</v>
      </c>
      <c r="X104" s="15">
        <v>10</v>
      </c>
      <c r="Y104" s="15"/>
      <c r="Z104" s="15">
        <v>3.6</v>
      </c>
      <c r="AA104" s="15"/>
      <c r="AB104" s="15">
        <v>68</v>
      </c>
      <c r="AC104" s="15" t="s">
        <v>65</v>
      </c>
      <c r="AD104" s="15">
        <v>10</v>
      </c>
      <c r="AE104" s="15"/>
      <c r="AF104" s="15">
        <v>10</v>
      </c>
    </row>
    <row r="105" spans="1:33" x14ac:dyDescent="0.25">
      <c r="A105" s="15">
        <v>9638</v>
      </c>
      <c r="C105" s="40" t="s">
        <v>445</v>
      </c>
      <c r="D105" s="40" t="s">
        <v>446</v>
      </c>
      <c r="E105" s="40" t="s">
        <v>447</v>
      </c>
      <c r="F105" s="40">
        <v>2021</v>
      </c>
      <c r="G105" s="41" t="s">
        <v>448</v>
      </c>
      <c r="H105" s="15">
        <v>1</v>
      </c>
      <c r="I105" s="15" t="s">
        <v>45</v>
      </c>
      <c r="J105" s="15" t="s">
        <v>33</v>
      </c>
      <c r="K105" s="32" t="s">
        <v>159</v>
      </c>
      <c r="L105" s="15">
        <v>360</v>
      </c>
      <c r="M105" s="15">
        <v>1</v>
      </c>
      <c r="N105" s="18">
        <v>21</v>
      </c>
      <c r="O105" s="18">
        <f>L105*M105*N105</f>
        <v>7560</v>
      </c>
      <c r="P105" s="15" t="s">
        <v>449</v>
      </c>
      <c r="Q105" s="15">
        <v>12</v>
      </c>
      <c r="R105" s="15">
        <v>1</v>
      </c>
      <c r="S105" s="53"/>
      <c r="T105" s="53"/>
      <c r="U105" s="15" t="s">
        <v>525</v>
      </c>
      <c r="V105" s="15">
        <v>81</v>
      </c>
      <c r="W105" s="15">
        <v>5</v>
      </c>
      <c r="X105" s="15">
        <v>8</v>
      </c>
      <c r="Y105" s="15">
        <v>8</v>
      </c>
      <c r="Z105" s="35">
        <f>W105*(SQRT(Y105))</f>
        <v>14.142135623730951</v>
      </c>
      <c r="AA105" s="15"/>
      <c r="AB105" s="15">
        <v>63</v>
      </c>
      <c r="AC105" s="15">
        <v>4</v>
      </c>
      <c r="AD105" s="15">
        <v>8</v>
      </c>
      <c r="AE105" s="15">
        <v>8</v>
      </c>
      <c r="AF105" s="35">
        <f>AC105*(SQRT(AE105))</f>
        <v>11.313708498984761</v>
      </c>
      <c r="AG105" s="15"/>
    </row>
    <row r="106" spans="1:33" x14ac:dyDescent="0.25">
      <c r="A106" s="15">
        <v>9643</v>
      </c>
      <c r="C106" s="15" t="s">
        <v>450</v>
      </c>
      <c r="D106" s="15" t="s">
        <v>451</v>
      </c>
      <c r="E106" s="15" t="s">
        <v>452</v>
      </c>
      <c r="F106" s="15">
        <v>2019</v>
      </c>
      <c r="G106" s="15" t="s">
        <v>453</v>
      </c>
      <c r="H106" s="15">
        <v>1</v>
      </c>
      <c r="I106" s="15" t="s">
        <v>32</v>
      </c>
      <c r="J106" s="15" t="s">
        <v>33</v>
      </c>
      <c r="L106" s="15">
        <v>180</v>
      </c>
      <c r="M106" s="15">
        <v>1</v>
      </c>
      <c r="N106" s="18">
        <v>21</v>
      </c>
      <c r="O106" s="18">
        <f>L106*M106*N106</f>
        <v>3780</v>
      </c>
      <c r="Q106" s="15">
        <v>1</v>
      </c>
      <c r="R106" s="15">
        <v>1</v>
      </c>
      <c r="S106" s="53"/>
      <c r="T106" s="53"/>
      <c r="U106" s="15" t="s">
        <v>593</v>
      </c>
      <c r="V106" s="15">
        <v>82</v>
      </c>
      <c r="W106" s="15">
        <v>2</v>
      </c>
      <c r="X106" s="32" t="s">
        <v>454</v>
      </c>
      <c r="Y106" s="15">
        <v>9</v>
      </c>
      <c r="Z106" s="35">
        <f>W106*(SQRT(Y106))</f>
        <v>6</v>
      </c>
      <c r="AA106" s="15"/>
      <c r="AB106" s="15">
        <v>67</v>
      </c>
      <c r="AC106" s="15">
        <v>5</v>
      </c>
      <c r="AD106" s="32" t="s">
        <v>454</v>
      </c>
      <c r="AE106" s="15">
        <v>9</v>
      </c>
      <c r="AF106" s="35">
        <f>AC106*(SQRT(AE106))</f>
        <v>15</v>
      </c>
      <c r="AG106" s="15"/>
    </row>
    <row r="107" spans="1:33" x14ac:dyDescent="0.25">
      <c r="A107" s="15">
        <v>9788</v>
      </c>
      <c r="B107" s="15">
        <v>34167364</v>
      </c>
      <c r="C107" s="15" t="s">
        <v>594</v>
      </c>
      <c r="D107" s="15" t="s">
        <v>595</v>
      </c>
      <c r="E107" s="15" t="s">
        <v>596</v>
      </c>
      <c r="F107" s="15">
        <v>2021</v>
      </c>
      <c r="G107" s="15" t="s">
        <v>597</v>
      </c>
      <c r="H107" s="15">
        <v>1</v>
      </c>
      <c r="I107" s="15" t="s">
        <v>45</v>
      </c>
      <c r="J107" s="15" t="s">
        <v>33</v>
      </c>
      <c r="L107" s="15">
        <v>120</v>
      </c>
      <c r="M107" s="15">
        <v>1</v>
      </c>
      <c r="N107" s="18">
        <v>21</v>
      </c>
      <c r="O107" s="18">
        <f>N107*L107</f>
        <v>2520</v>
      </c>
      <c r="Q107" s="53"/>
      <c r="R107" s="15">
        <v>1</v>
      </c>
      <c r="S107" s="53"/>
      <c r="T107" s="53"/>
      <c r="U107" s="52">
        <v>3</v>
      </c>
      <c r="V107" s="15">
        <v>75</v>
      </c>
      <c r="W107" s="15">
        <v>5.0999999999999996</v>
      </c>
      <c r="X107" s="15">
        <v>9</v>
      </c>
      <c r="Y107" s="15">
        <v>9</v>
      </c>
      <c r="Z107" s="35">
        <f>W107*(SQRT(Y107))</f>
        <v>15.299999999999999</v>
      </c>
      <c r="AA107" s="15"/>
      <c r="AB107" s="15">
        <v>42</v>
      </c>
      <c r="AC107" s="15">
        <v>3.5</v>
      </c>
      <c r="AD107" s="15">
        <v>9</v>
      </c>
      <c r="AE107" s="15">
        <v>9</v>
      </c>
      <c r="AF107" s="35">
        <f>AC107*(SQRT(AE107))</f>
        <v>10.5</v>
      </c>
    </row>
    <row r="108" spans="1:33" x14ac:dyDescent="0.25">
      <c r="A108" s="15">
        <v>9883</v>
      </c>
      <c r="C108" s="15" t="s">
        <v>598</v>
      </c>
      <c r="D108" s="15" t="s">
        <v>599</v>
      </c>
      <c r="E108" s="15" t="s">
        <v>338</v>
      </c>
      <c r="F108" s="15">
        <v>2015</v>
      </c>
      <c r="G108" s="15" t="s">
        <v>600</v>
      </c>
      <c r="H108" s="15">
        <v>1</v>
      </c>
      <c r="I108" s="15" t="s">
        <v>45</v>
      </c>
      <c r="J108" s="15" t="s">
        <v>33</v>
      </c>
      <c r="L108" s="15">
        <v>60</v>
      </c>
      <c r="M108" s="15">
        <v>1</v>
      </c>
      <c r="N108" s="18">
        <v>60</v>
      </c>
      <c r="O108" s="18">
        <f>L108*M108*N108</f>
        <v>3600</v>
      </c>
      <c r="P108" s="15" t="s">
        <v>601</v>
      </c>
      <c r="Q108" s="15">
        <v>1</v>
      </c>
      <c r="R108" s="15">
        <v>10</v>
      </c>
      <c r="S108" s="15">
        <v>20</v>
      </c>
      <c r="T108" s="15">
        <v>20</v>
      </c>
      <c r="U108" s="15">
        <v>4</v>
      </c>
      <c r="V108" s="53"/>
      <c r="W108" s="53"/>
      <c r="X108" s="53"/>
      <c r="Y108" s="53"/>
      <c r="Z108" s="53"/>
      <c r="AA108" s="15"/>
      <c r="AB108" s="53"/>
      <c r="AC108" s="53"/>
      <c r="AD108" s="53"/>
      <c r="AE108" s="53"/>
      <c r="AF108" s="53"/>
      <c r="AG108" s="15"/>
    </row>
    <row r="109" spans="1:33" x14ac:dyDescent="0.25">
      <c r="A109" s="15">
        <v>9900</v>
      </c>
      <c r="B109" s="15">
        <v>27346276</v>
      </c>
      <c r="C109" s="15" t="s">
        <v>466</v>
      </c>
      <c r="D109" s="15" t="s">
        <v>467</v>
      </c>
      <c r="E109" s="15" t="s">
        <v>151</v>
      </c>
      <c r="F109" s="15">
        <v>2016</v>
      </c>
      <c r="G109" s="15" t="s">
        <v>468</v>
      </c>
      <c r="H109" s="15">
        <v>1</v>
      </c>
      <c r="I109" s="15" t="s">
        <v>45</v>
      </c>
      <c r="J109" s="15" t="s">
        <v>33</v>
      </c>
      <c r="L109" s="15">
        <v>360</v>
      </c>
      <c r="M109" s="15">
        <v>1</v>
      </c>
      <c r="N109" s="18">
        <v>21</v>
      </c>
      <c r="O109" s="18">
        <f>N109*L109</f>
        <v>7560</v>
      </c>
      <c r="Q109" s="15">
        <v>1</v>
      </c>
      <c r="R109" s="15">
        <v>1</v>
      </c>
      <c r="S109" s="15">
        <v>23</v>
      </c>
      <c r="T109" s="15">
        <v>23</v>
      </c>
      <c r="U109" s="52" t="s">
        <v>64</v>
      </c>
      <c r="V109" s="15">
        <v>81</v>
      </c>
      <c r="W109" s="15" t="s">
        <v>65</v>
      </c>
      <c r="X109" s="15">
        <v>10</v>
      </c>
      <c r="Y109" s="15"/>
      <c r="Z109" s="15">
        <v>8</v>
      </c>
      <c r="AA109" s="15"/>
      <c r="AB109" s="15">
        <v>65</v>
      </c>
      <c r="AC109" s="15" t="s">
        <v>65</v>
      </c>
      <c r="AD109" s="15">
        <v>10</v>
      </c>
      <c r="AE109" s="15"/>
      <c r="AF109" s="15">
        <v>8</v>
      </c>
    </row>
  </sheetData>
  <sortState xmlns:xlrd2="http://schemas.microsoft.com/office/spreadsheetml/2017/richdata2" ref="A4:U106">
    <sortCondition ref="A4:A106"/>
  </sortState>
  <hyperlinks>
    <hyperlink ref="G41" r:id="rId1" xr:uid="{2DD6D499-A87E-487C-BB06-A020B0E632BC}"/>
    <hyperlink ref="G69" r:id="rId2" xr:uid="{1A0B4458-D6B8-4227-8C8D-F1991BA7FA8F}"/>
    <hyperlink ref="G67" r:id="rId3" xr:uid="{328C7AEB-EDE1-4790-9387-35A11A23F448}"/>
    <hyperlink ref="G63" r:id="rId4" xr:uid="{80BEA95A-874F-4EE4-9E7D-9EF44B10ADDB}"/>
    <hyperlink ref="G101" r:id="rId5" xr:uid="{E04D3579-A733-4D53-B394-995114740E02}"/>
    <hyperlink ref="G74" r:id="rId6" xr:uid="{EF5B2AA0-1C8F-4EDB-9567-D4F59D36FEE8}"/>
    <hyperlink ref="G37" r:id="rId7" xr:uid="{9051351F-3CAA-4E40-B2FC-4896395C4228}"/>
    <hyperlink ref="G105" r:id="rId8" xr:uid="{8AEA5A55-83BE-4BFA-9ED4-D7E9F94E96FD}"/>
    <hyperlink ref="G4" r:id="rId9" xr:uid="{53A3B9D0-881C-4FED-9B41-D934C09B3411}"/>
    <hyperlink ref="G75" r:id="rId10" xr:uid="{8D32F418-B16F-4852-8EC3-14B955F07EC1}"/>
    <hyperlink ref="G76" r:id="rId11" xr:uid="{870AE5D4-E088-4388-96CD-248008A3E9CD}"/>
    <hyperlink ref="G64" r:id="rId12" xr:uid="{05CC3A63-32B8-458E-A650-8A4E67052E8F}"/>
  </hyperlinks>
  <pageMargins left="0.7" right="0.7" top="0.75" bottom="0.75" header="0.3" footer="0.3"/>
  <pageSetup paperSize="9"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C938-3D0F-4652-A7F3-510C76CB9668}">
  <dimension ref="A1:AE94"/>
  <sheetViews>
    <sheetView workbookViewId="0">
      <pane ySplit="2" topLeftCell="A3" activePane="bottomLeft" state="frozen"/>
      <selection activeCell="F1" sqref="F1"/>
      <selection pane="bottomLeft"/>
    </sheetView>
  </sheetViews>
  <sheetFormatPr defaultRowHeight="15" x14ac:dyDescent="0.25"/>
  <cols>
    <col min="1" max="1" width="10.85546875" style="15" customWidth="1"/>
    <col min="2" max="2" width="9.140625" style="15"/>
    <col min="3" max="3" width="33" style="15" customWidth="1"/>
    <col min="4" max="4" width="12.140625" style="15" customWidth="1"/>
    <col min="5" max="5" width="15.5703125" style="15" customWidth="1"/>
    <col min="6" max="6" width="7.7109375" style="15" customWidth="1"/>
    <col min="7" max="7" width="29.140625" style="15" customWidth="1"/>
    <col min="8" max="9" width="9.140625" customWidth="1"/>
    <col min="10" max="10" width="17.5703125" bestFit="1" customWidth="1"/>
    <col min="11" max="11" width="12.5703125" bestFit="1" customWidth="1"/>
    <col min="12" max="12" width="13.42578125" bestFit="1" customWidth="1"/>
    <col min="13" max="13" width="19.7109375" bestFit="1" customWidth="1"/>
    <col min="14" max="14" width="19" bestFit="1" customWidth="1"/>
    <col min="15" max="15" width="9.140625" customWidth="1"/>
    <col min="16" max="16" width="20.5703125" style="15" customWidth="1"/>
    <col min="17" max="17" width="10" style="18" customWidth="1"/>
    <col min="18" max="18" width="14" style="19" customWidth="1"/>
    <col min="19" max="19" width="11.85546875" style="19" bestFit="1" customWidth="1"/>
    <col min="20" max="21" width="8.85546875" style="34" customWidth="1"/>
    <col min="22" max="22" width="18.85546875" style="19" customWidth="1"/>
    <col min="23" max="23" width="2.7109375" style="19" customWidth="1"/>
    <col min="24" max="24" width="14.140625" style="19" customWidth="1"/>
    <col min="25" max="25" width="11.85546875" style="19" bestFit="1" customWidth="1"/>
    <col min="26" max="26" width="8.5703125" style="34" bestFit="1" customWidth="1"/>
    <col min="27" max="27" width="8.5703125" style="34" customWidth="1"/>
    <col min="28" max="28" width="18.85546875" style="19" customWidth="1"/>
    <col min="29" max="29" width="3.7109375" style="18" customWidth="1"/>
    <col min="30" max="30" width="30.42578125" customWidth="1"/>
    <col min="31" max="31" width="55.5703125" bestFit="1" customWidth="1"/>
    <col min="32" max="16384" width="9.140625" style="15"/>
  </cols>
  <sheetData>
    <row r="1" spans="1:31" x14ac:dyDescent="0.25">
      <c r="R1" s="23" t="s">
        <v>602</v>
      </c>
      <c r="S1" s="24"/>
      <c r="T1" s="25"/>
      <c r="U1" s="25"/>
      <c r="V1" s="24"/>
      <c r="W1" s="22"/>
      <c r="X1" s="45" t="s">
        <v>603</v>
      </c>
      <c r="Y1" s="46"/>
      <c r="Z1" s="47"/>
      <c r="AA1" s="47"/>
      <c r="AB1" s="46"/>
    </row>
    <row r="2" spans="1:31" x14ac:dyDescent="0.25">
      <c r="A2" s="21" t="s">
        <v>2</v>
      </c>
      <c r="B2" s="21" t="s">
        <v>3</v>
      </c>
      <c r="C2" s="21" t="s">
        <v>4</v>
      </c>
      <c r="D2" s="21" t="s">
        <v>5</v>
      </c>
      <c r="E2" s="21" t="s">
        <v>6</v>
      </c>
      <c r="F2" s="21" t="s">
        <v>7</v>
      </c>
      <c r="G2" s="21" t="s">
        <v>8</v>
      </c>
      <c r="H2" s="21" t="s">
        <v>10</v>
      </c>
      <c r="I2" s="21" t="s">
        <v>11</v>
      </c>
      <c r="J2" s="26" t="s">
        <v>12</v>
      </c>
      <c r="K2" s="21" t="s">
        <v>13</v>
      </c>
      <c r="L2" s="21" t="s">
        <v>14</v>
      </c>
      <c r="M2" s="27" t="s">
        <v>15</v>
      </c>
      <c r="N2" s="27" t="s">
        <v>16</v>
      </c>
      <c r="O2" s="21" t="s">
        <v>17</v>
      </c>
      <c r="P2" s="21" t="s">
        <v>604</v>
      </c>
      <c r="Q2" s="27" t="s">
        <v>20</v>
      </c>
      <c r="R2" s="29" t="s">
        <v>21</v>
      </c>
      <c r="S2" s="30" t="s">
        <v>22</v>
      </c>
      <c r="T2" s="31" t="s">
        <v>23</v>
      </c>
      <c r="U2" s="31" t="s">
        <v>24</v>
      </c>
      <c r="V2" s="30" t="s">
        <v>25</v>
      </c>
      <c r="X2" s="48" t="s">
        <v>26</v>
      </c>
      <c r="Y2" s="49" t="s">
        <v>27</v>
      </c>
      <c r="Z2" s="50" t="s">
        <v>23</v>
      </c>
      <c r="AA2" s="50" t="s">
        <v>24</v>
      </c>
      <c r="AB2" s="49" t="s">
        <v>25</v>
      </c>
    </row>
    <row r="3" spans="1:31" x14ac:dyDescent="0.25">
      <c r="A3" s="15">
        <v>1030</v>
      </c>
      <c r="C3" s="15" t="s">
        <v>605</v>
      </c>
      <c r="D3" s="15" t="s">
        <v>606</v>
      </c>
      <c r="E3" s="15" t="s">
        <v>607</v>
      </c>
      <c r="F3" s="15">
        <v>2024</v>
      </c>
      <c r="G3" s="15" t="s">
        <v>608</v>
      </c>
      <c r="H3" s="15" t="s">
        <v>45</v>
      </c>
      <c r="I3" s="15" t="s">
        <v>33</v>
      </c>
      <c r="J3" s="32" t="s">
        <v>88</v>
      </c>
      <c r="K3" s="15">
        <v>120</v>
      </c>
      <c r="L3" s="15">
        <v>1</v>
      </c>
      <c r="M3" s="18">
        <v>14</v>
      </c>
      <c r="N3" s="18">
        <v>1680</v>
      </c>
      <c r="O3" s="15"/>
      <c r="P3" s="15">
        <v>5</v>
      </c>
      <c r="Q3" s="33"/>
      <c r="R3" s="53"/>
      <c r="S3" s="53"/>
      <c r="T3" s="53"/>
      <c r="U3" s="53"/>
      <c r="V3" s="53"/>
      <c r="W3" s="15"/>
      <c r="X3" s="53"/>
      <c r="Y3" s="53"/>
      <c r="Z3" s="53"/>
      <c r="AA3" s="53"/>
      <c r="AB3" s="53"/>
      <c r="AC3" s="15"/>
    </row>
    <row r="4" spans="1:31" s="21" customFormat="1" x14ac:dyDescent="0.25">
      <c r="A4" s="15">
        <v>1106</v>
      </c>
      <c r="B4" s="15"/>
      <c r="C4" s="15" t="s">
        <v>609</v>
      </c>
      <c r="D4" s="15" t="s">
        <v>610</v>
      </c>
      <c r="E4" s="15" t="s">
        <v>611</v>
      </c>
      <c r="F4" s="15">
        <v>2024</v>
      </c>
      <c r="G4" s="15" t="s">
        <v>612</v>
      </c>
      <c r="H4" s="15" t="s">
        <v>45</v>
      </c>
      <c r="I4" s="15" t="s">
        <v>33</v>
      </c>
      <c r="J4" s="32"/>
      <c r="K4" s="15">
        <v>120</v>
      </c>
      <c r="L4" s="15">
        <v>1</v>
      </c>
      <c r="M4" s="18">
        <v>10</v>
      </c>
      <c r="N4" s="18">
        <v>1200</v>
      </c>
      <c r="O4" s="15"/>
      <c r="P4" s="15">
        <v>5</v>
      </c>
      <c r="Q4" s="18" t="s">
        <v>229</v>
      </c>
      <c r="R4" s="15">
        <v>62</v>
      </c>
      <c r="S4" s="15">
        <v>2</v>
      </c>
      <c r="T4" s="15">
        <v>7</v>
      </c>
      <c r="U4" s="15">
        <v>7</v>
      </c>
      <c r="V4" s="35">
        <f t="shared" ref="V4:V10" si="0">S4*(SQRT(U4))</f>
        <v>5.2915026221291814</v>
      </c>
      <c r="W4" s="15"/>
      <c r="X4" s="15">
        <v>52</v>
      </c>
      <c r="Y4" s="15">
        <v>2</v>
      </c>
      <c r="Z4" s="15">
        <v>7</v>
      </c>
      <c r="AA4" s="15">
        <v>7</v>
      </c>
      <c r="AB4" s="35">
        <f t="shared" ref="AB4:AB10" si="1">Y4*(SQRT(AA4))</f>
        <v>5.2915026221291814</v>
      </c>
      <c r="AC4" s="15"/>
      <c r="AD4"/>
      <c r="AE4"/>
    </row>
    <row r="5" spans="1:31" x14ac:dyDescent="0.25">
      <c r="A5" s="15">
        <v>1129</v>
      </c>
      <c r="C5" s="40" t="s">
        <v>476</v>
      </c>
      <c r="D5" s="40" t="s">
        <v>477</v>
      </c>
      <c r="E5" s="40" t="s">
        <v>478</v>
      </c>
      <c r="F5" s="40">
        <v>2015</v>
      </c>
      <c r="G5" s="41" t="s">
        <v>479</v>
      </c>
      <c r="H5" s="15" t="s">
        <v>32</v>
      </c>
      <c r="I5" s="15" t="s">
        <v>33</v>
      </c>
      <c r="J5" s="32"/>
      <c r="K5" s="15">
        <v>360</v>
      </c>
      <c r="L5" s="15">
        <v>1</v>
      </c>
      <c r="M5" s="18">
        <v>21</v>
      </c>
      <c r="N5" s="18">
        <v>7560</v>
      </c>
      <c r="O5" s="15"/>
      <c r="P5" s="15">
        <v>5</v>
      </c>
      <c r="Q5" s="18" t="s">
        <v>83</v>
      </c>
      <c r="R5" s="15">
        <v>88</v>
      </c>
      <c r="S5" s="15">
        <v>11</v>
      </c>
      <c r="T5" s="15">
        <v>8</v>
      </c>
      <c r="U5" s="15">
        <v>8</v>
      </c>
      <c r="V5" s="35">
        <f t="shared" si="0"/>
        <v>31.112698372208094</v>
      </c>
      <c r="W5" s="15"/>
      <c r="X5" s="15">
        <v>45</v>
      </c>
      <c r="Y5" s="15">
        <v>7</v>
      </c>
      <c r="Z5" s="15">
        <v>8</v>
      </c>
      <c r="AA5" s="15">
        <v>8</v>
      </c>
      <c r="AB5" s="35">
        <f t="shared" si="1"/>
        <v>19.798989873223331</v>
      </c>
      <c r="AC5" s="15"/>
    </row>
    <row r="6" spans="1:31" x14ac:dyDescent="0.25">
      <c r="A6" s="15">
        <v>1407</v>
      </c>
      <c r="C6" s="15" t="s">
        <v>35</v>
      </c>
      <c r="D6" s="15" t="s">
        <v>36</v>
      </c>
      <c r="E6" s="15" t="s">
        <v>37</v>
      </c>
      <c r="F6" s="15">
        <v>2021</v>
      </c>
      <c r="G6" s="15" t="s">
        <v>38</v>
      </c>
      <c r="H6" s="15" t="s">
        <v>32</v>
      </c>
      <c r="I6" s="15" t="s">
        <v>33</v>
      </c>
      <c r="J6" s="32" t="s">
        <v>34</v>
      </c>
      <c r="K6" s="15">
        <v>60</v>
      </c>
      <c r="L6" s="15">
        <v>1</v>
      </c>
      <c r="M6" s="18">
        <v>14</v>
      </c>
      <c r="N6" s="18">
        <v>840</v>
      </c>
      <c r="O6" s="15"/>
      <c r="P6" s="15">
        <v>5</v>
      </c>
      <c r="Q6" s="18" t="s">
        <v>106</v>
      </c>
      <c r="R6" s="15">
        <v>16</v>
      </c>
      <c r="S6" s="15">
        <v>34</v>
      </c>
      <c r="T6" s="15">
        <v>8</v>
      </c>
      <c r="U6" s="15">
        <v>8</v>
      </c>
      <c r="V6" s="35">
        <f t="shared" si="0"/>
        <v>96.166522241370473</v>
      </c>
      <c r="W6" s="15"/>
      <c r="X6" s="15">
        <v>18</v>
      </c>
      <c r="Y6" s="15">
        <v>17</v>
      </c>
      <c r="Z6" s="15">
        <v>8</v>
      </c>
      <c r="AA6" s="15">
        <v>8</v>
      </c>
      <c r="AB6" s="35">
        <f t="shared" si="1"/>
        <v>48.083261120685236</v>
      </c>
      <c r="AC6" s="15"/>
    </row>
    <row r="7" spans="1:31" x14ac:dyDescent="0.25">
      <c r="A7" s="15">
        <v>1497</v>
      </c>
      <c r="C7" s="15" t="s">
        <v>613</v>
      </c>
      <c r="D7" s="15" t="s">
        <v>614</v>
      </c>
      <c r="E7" s="15" t="s">
        <v>615</v>
      </c>
      <c r="F7" s="15">
        <v>2025</v>
      </c>
      <c r="G7" s="15" t="s">
        <v>616</v>
      </c>
      <c r="H7" s="15" t="s">
        <v>32</v>
      </c>
      <c r="I7" s="15" t="s">
        <v>33</v>
      </c>
      <c r="J7" s="32"/>
      <c r="K7" s="15">
        <v>360</v>
      </c>
      <c r="L7" s="15">
        <v>1</v>
      </c>
      <c r="M7" s="18">
        <v>21</v>
      </c>
      <c r="N7" s="18">
        <v>7560</v>
      </c>
      <c r="O7" s="15"/>
      <c r="P7" s="15">
        <v>5</v>
      </c>
      <c r="Q7" s="18" t="s">
        <v>46</v>
      </c>
      <c r="R7" s="15">
        <v>122</v>
      </c>
      <c r="S7" s="15">
        <v>16</v>
      </c>
      <c r="T7" s="15">
        <v>5</v>
      </c>
      <c r="U7" s="15">
        <v>5</v>
      </c>
      <c r="V7" s="35">
        <f t="shared" si="0"/>
        <v>35.777087639996637</v>
      </c>
      <c r="W7" s="15"/>
      <c r="X7" s="15">
        <v>105</v>
      </c>
      <c r="Y7" s="15">
        <v>11</v>
      </c>
      <c r="Z7" s="15">
        <v>10</v>
      </c>
      <c r="AA7" s="15">
        <v>10</v>
      </c>
      <c r="AB7" s="35">
        <f t="shared" si="1"/>
        <v>34.785054261852174</v>
      </c>
      <c r="AC7" s="15"/>
    </row>
    <row r="8" spans="1:31" x14ac:dyDescent="0.25">
      <c r="A8" s="15">
        <v>1502</v>
      </c>
      <c r="C8" s="15" t="s">
        <v>41</v>
      </c>
      <c r="D8" s="15" t="s">
        <v>42</v>
      </c>
      <c r="E8" s="15" t="s">
        <v>43</v>
      </c>
      <c r="F8" s="15">
        <v>2018</v>
      </c>
      <c r="G8" s="15" t="s">
        <v>44</v>
      </c>
      <c r="H8" s="15" t="s">
        <v>45</v>
      </c>
      <c r="I8" s="32" t="s">
        <v>34</v>
      </c>
      <c r="J8" s="32"/>
      <c r="K8" s="15">
        <v>360</v>
      </c>
      <c r="L8" s="15">
        <v>1</v>
      </c>
      <c r="M8" s="18">
        <v>7</v>
      </c>
      <c r="N8" s="18">
        <v>2520</v>
      </c>
      <c r="O8" s="15"/>
      <c r="P8" s="15">
        <v>5</v>
      </c>
      <c r="Q8" s="18" t="s">
        <v>229</v>
      </c>
      <c r="R8" s="15">
        <v>12</v>
      </c>
      <c r="S8" s="15">
        <v>2</v>
      </c>
      <c r="T8" s="15">
        <v>5</v>
      </c>
      <c r="U8" s="15">
        <v>5</v>
      </c>
      <c r="V8" s="35">
        <f t="shared" si="0"/>
        <v>4.4721359549995796</v>
      </c>
      <c r="W8" s="15"/>
      <c r="X8" s="15">
        <v>6</v>
      </c>
      <c r="Y8" s="15">
        <v>1</v>
      </c>
      <c r="Z8" s="15">
        <v>5</v>
      </c>
      <c r="AA8" s="15">
        <v>5</v>
      </c>
      <c r="AB8" s="35">
        <f t="shared" si="1"/>
        <v>2.2360679774997898</v>
      </c>
      <c r="AC8" s="15"/>
    </row>
    <row r="9" spans="1:31" x14ac:dyDescent="0.25">
      <c r="A9" s="15">
        <v>1565</v>
      </c>
      <c r="C9" s="15" t="s">
        <v>48</v>
      </c>
      <c r="D9" s="15" t="s">
        <v>49</v>
      </c>
      <c r="E9" s="15" t="s">
        <v>50</v>
      </c>
      <c r="F9" s="15">
        <v>2019</v>
      </c>
      <c r="G9" s="15" t="s">
        <v>51</v>
      </c>
      <c r="H9" s="15" t="s">
        <v>45</v>
      </c>
      <c r="I9" s="15" t="s">
        <v>33</v>
      </c>
      <c r="J9" s="32" t="s">
        <v>52</v>
      </c>
      <c r="K9" s="15">
        <v>120</v>
      </c>
      <c r="L9" s="15">
        <v>1</v>
      </c>
      <c r="M9" s="18">
        <v>10</v>
      </c>
      <c r="N9" s="18">
        <v>1200</v>
      </c>
      <c r="O9" s="15"/>
      <c r="P9" s="15">
        <v>5</v>
      </c>
      <c r="Q9" s="18" t="s">
        <v>83</v>
      </c>
      <c r="R9" s="15">
        <v>50</v>
      </c>
      <c r="S9" s="15">
        <v>4</v>
      </c>
      <c r="T9" s="32" t="s">
        <v>54</v>
      </c>
      <c r="U9" s="15">
        <v>7</v>
      </c>
      <c r="V9" s="35">
        <f t="shared" si="0"/>
        <v>10.583005244258363</v>
      </c>
      <c r="W9" s="15"/>
      <c r="X9" s="15">
        <v>16</v>
      </c>
      <c r="Y9" s="15">
        <v>2</v>
      </c>
      <c r="Z9" s="32" t="s">
        <v>54</v>
      </c>
      <c r="AA9" s="15">
        <v>7</v>
      </c>
      <c r="AB9" s="35">
        <f t="shared" si="1"/>
        <v>5.2915026221291814</v>
      </c>
      <c r="AC9" s="15"/>
    </row>
    <row r="10" spans="1:31" x14ac:dyDescent="0.25">
      <c r="A10" s="15">
        <v>1764</v>
      </c>
      <c r="B10" s="15">
        <v>30740068</v>
      </c>
      <c r="C10" s="15" t="s">
        <v>56</v>
      </c>
      <c r="D10" s="15" t="s">
        <v>57</v>
      </c>
      <c r="E10" s="15" t="s">
        <v>58</v>
      </c>
      <c r="F10" s="15">
        <v>2019</v>
      </c>
      <c r="G10" s="15" t="s">
        <v>59</v>
      </c>
      <c r="H10" s="15" t="s">
        <v>32</v>
      </c>
      <c r="I10" s="15" t="s">
        <v>33</v>
      </c>
      <c r="J10" s="32" t="s">
        <v>40</v>
      </c>
      <c r="K10" s="15">
        <v>240</v>
      </c>
      <c r="L10" s="15">
        <v>1</v>
      </c>
      <c r="M10" s="18">
        <v>21</v>
      </c>
      <c r="N10" s="18">
        <v>5040</v>
      </c>
      <c r="O10" s="15"/>
      <c r="P10" s="15">
        <v>5</v>
      </c>
      <c r="Q10" s="18" t="s">
        <v>106</v>
      </c>
      <c r="R10" s="15">
        <v>56</v>
      </c>
      <c r="S10" s="19">
        <v>8</v>
      </c>
      <c r="T10" s="32" t="s">
        <v>454</v>
      </c>
      <c r="U10" s="15">
        <v>9</v>
      </c>
      <c r="V10" s="35">
        <f t="shared" si="0"/>
        <v>24</v>
      </c>
      <c r="W10" s="15"/>
      <c r="X10" s="15">
        <v>20</v>
      </c>
      <c r="Y10" s="15">
        <v>5</v>
      </c>
      <c r="Z10" s="32" t="s">
        <v>454</v>
      </c>
      <c r="AA10" s="15">
        <v>9</v>
      </c>
      <c r="AB10" s="35">
        <f t="shared" si="1"/>
        <v>15</v>
      </c>
      <c r="AC10" s="15"/>
    </row>
    <row r="11" spans="1:31" x14ac:dyDescent="0.25">
      <c r="A11" s="15">
        <v>1767</v>
      </c>
      <c r="C11" s="40" t="s">
        <v>617</v>
      </c>
      <c r="D11" s="40" t="s">
        <v>618</v>
      </c>
      <c r="E11" s="40" t="s">
        <v>307</v>
      </c>
      <c r="F11" s="40">
        <v>2019</v>
      </c>
      <c r="G11" s="41" t="s">
        <v>619</v>
      </c>
      <c r="H11" s="15" t="s">
        <v>32</v>
      </c>
      <c r="I11" s="15" t="s">
        <v>33</v>
      </c>
      <c r="J11" s="32"/>
      <c r="K11" s="15">
        <v>360</v>
      </c>
      <c r="L11" s="15">
        <v>1</v>
      </c>
      <c r="M11" s="18">
        <v>14</v>
      </c>
      <c r="N11" s="18">
        <v>5040</v>
      </c>
      <c r="O11" s="15"/>
      <c r="P11" s="15">
        <v>5</v>
      </c>
      <c r="Q11" s="33"/>
      <c r="R11" s="53"/>
      <c r="S11" s="53"/>
      <c r="T11" s="53"/>
      <c r="U11" s="53"/>
      <c r="V11" s="53"/>
      <c r="W11" s="15"/>
      <c r="X11" s="53"/>
      <c r="Y11" s="53"/>
      <c r="Z11" s="53"/>
      <c r="AA11" s="53"/>
      <c r="AB11" s="53"/>
      <c r="AC11" s="15"/>
    </row>
    <row r="12" spans="1:31" x14ac:dyDescent="0.25">
      <c r="A12" s="15">
        <v>1983</v>
      </c>
      <c r="C12" s="15" t="s">
        <v>66</v>
      </c>
      <c r="D12" s="15" t="s">
        <v>67</v>
      </c>
      <c r="E12" s="15" t="s">
        <v>68</v>
      </c>
      <c r="F12" s="15">
        <v>2017</v>
      </c>
      <c r="G12" s="15" t="s">
        <v>69</v>
      </c>
      <c r="H12" s="15" t="s">
        <v>45</v>
      </c>
      <c r="I12" s="15" t="s">
        <v>33</v>
      </c>
      <c r="J12" s="32"/>
      <c r="K12" s="15">
        <v>180</v>
      </c>
      <c r="L12" s="15">
        <v>1</v>
      </c>
      <c r="M12" s="18">
        <v>15</v>
      </c>
      <c r="N12" s="18">
        <v>2700</v>
      </c>
      <c r="O12" s="15" t="s">
        <v>70</v>
      </c>
      <c r="P12" s="53" t="s">
        <v>143</v>
      </c>
      <c r="Q12" s="18" t="s">
        <v>71</v>
      </c>
      <c r="R12" s="15">
        <v>55</v>
      </c>
      <c r="S12" s="15">
        <v>3</v>
      </c>
      <c r="T12" s="15">
        <v>10</v>
      </c>
      <c r="U12" s="15">
        <v>10</v>
      </c>
      <c r="V12" s="35">
        <f>S12*(SQRT(U12))</f>
        <v>9.4868329805051381</v>
      </c>
      <c r="W12" s="15"/>
      <c r="X12" s="15">
        <v>29</v>
      </c>
      <c r="Y12" s="15">
        <v>4</v>
      </c>
      <c r="Z12" s="15">
        <v>9</v>
      </c>
      <c r="AA12" s="15">
        <v>9</v>
      </c>
      <c r="AB12" s="35">
        <f>Y12*(SQRT(AA12))</f>
        <v>12</v>
      </c>
      <c r="AC12" s="15"/>
    </row>
    <row r="13" spans="1:31" x14ac:dyDescent="0.25">
      <c r="A13" s="15">
        <v>2075</v>
      </c>
      <c r="B13" s="15">
        <v>35814204</v>
      </c>
      <c r="C13" s="15" t="s">
        <v>74</v>
      </c>
      <c r="D13" s="15" t="s">
        <v>75</v>
      </c>
      <c r="E13" s="15" t="s">
        <v>76</v>
      </c>
      <c r="F13" s="15">
        <v>2022</v>
      </c>
      <c r="G13" s="15" t="s">
        <v>77</v>
      </c>
      <c r="H13" s="15" t="s">
        <v>32</v>
      </c>
      <c r="I13" s="15" t="s">
        <v>33</v>
      </c>
      <c r="J13" s="32" t="s">
        <v>40</v>
      </c>
      <c r="K13" s="15">
        <v>180</v>
      </c>
      <c r="L13" s="15">
        <v>1</v>
      </c>
      <c r="M13" s="18">
        <v>21</v>
      </c>
      <c r="N13" s="18">
        <v>3780</v>
      </c>
      <c r="O13" s="15"/>
      <c r="P13" s="15">
        <v>5</v>
      </c>
      <c r="Q13" s="18" t="s">
        <v>353</v>
      </c>
      <c r="R13" s="15">
        <v>38</v>
      </c>
      <c r="S13" s="15">
        <v>4</v>
      </c>
      <c r="T13" s="15">
        <v>12</v>
      </c>
      <c r="U13" s="15">
        <v>12</v>
      </c>
      <c r="V13" s="35">
        <f>S13*(SQRT(U13))</f>
        <v>13.856406460551018</v>
      </c>
      <c r="W13" s="15"/>
      <c r="X13" s="15">
        <v>24</v>
      </c>
      <c r="Y13" s="15">
        <v>4</v>
      </c>
      <c r="Z13" s="15">
        <v>12</v>
      </c>
      <c r="AA13" s="15">
        <v>12</v>
      </c>
      <c r="AB13" s="35">
        <f>Y13*(SQRT(AA13))</f>
        <v>13.856406460551018</v>
      </c>
      <c r="AC13" s="15"/>
    </row>
    <row r="14" spans="1:31" x14ac:dyDescent="0.25">
      <c r="A14" s="15">
        <v>2165</v>
      </c>
      <c r="C14" s="15" t="s">
        <v>485</v>
      </c>
      <c r="D14" s="15" t="s">
        <v>486</v>
      </c>
      <c r="E14" s="15" t="s">
        <v>487</v>
      </c>
      <c r="F14" s="15">
        <v>2020</v>
      </c>
      <c r="G14" s="15" t="s">
        <v>488</v>
      </c>
      <c r="H14" s="15" t="s">
        <v>32</v>
      </c>
      <c r="I14" s="15" t="s">
        <v>33</v>
      </c>
      <c r="J14" s="32" t="s">
        <v>73</v>
      </c>
      <c r="K14" s="15">
        <v>360</v>
      </c>
      <c r="L14" s="15">
        <v>1</v>
      </c>
      <c r="M14" s="18">
        <v>21</v>
      </c>
      <c r="N14" s="18">
        <v>7560</v>
      </c>
      <c r="O14" s="15"/>
      <c r="P14" s="15">
        <v>5</v>
      </c>
      <c r="Q14" s="18">
        <v>4</v>
      </c>
      <c r="R14" s="15">
        <v>21</v>
      </c>
      <c r="S14" s="15" t="s">
        <v>65</v>
      </c>
      <c r="T14" s="15">
        <v>12</v>
      </c>
      <c r="U14" s="15"/>
      <c r="V14" s="15">
        <v>3</v>
      </c>
      <c r="W14" s="15"/>
      <c r="X14" s="15">
        <v>11</v>
      </c>
      <c r="Y14" s="15" t="s">
        <v>65</v>
      </c>
      <c r="Z14" s="15">
        <v>12</v>
      </c>
      <c r="AA14" s="15"/>
      <c r="AB14" s="15">
        <v>2</v>
      </c>
      <c r="AC14" s="15"/>
    </row>
    <row r="15" spans="1:31" x14ac:dyDescent="0.25">
      <c r="A15" s="37">
        <v>2167</v>
      </c>
      <c r="B15" s="37">
        <v>40356314</v>
      </c>
      <c r="C15" s="37" t="s">
        <v>620</v>
      </c>
      <c r="D15" s="37" t="s">
        <v>621</v>
      </c>
      <c r="E15" s="37" t="s">
        <v>622</v>
      </c>
      <c r="F15" s="37">
        <v>2025</v>
      </c>
      <c r="G15" s="37" t="s">
        <v>623</v>
      </c>
      <c r="H15" s="15" t="s">
        <v>45</v>
      </c>
      <c r="I15" s="37" t="s">
        <v>33</v>
      </c>
      <c r="J15" s="32" t="s">
        <v>55</v>
      </c>
      <c r="K15" s="15">
        <v>60</v>
      </c>
      <c r="L15" s="15">
        <v>1</v>
      </c>
      <c r="M15" s="18">
        <v>28</v>
      </c>
      <c r="N15" s="18">
        <v>1680</v>
      </c>
      <c r="O15" s="15"/>
      <c r="P15" s="15">
        <v>5</v>
      </c>
      <c r="Q15" s="18" t="s">
        <v>624</v>
      </c>
      <c r="R15" s="15">
        <v>12</v>
      </c>
      <c r="S15" s="15" t="s">
        <v>65</v>
      </c>
      <c r="T15" s="15">
        <v>8</v>
      </c>
      <c r="U15" s="15"/>
      <c r="V15" s="15">
        <v>13</v>
      </c>
      <c r="W15" s="15"/>
      <c r="X15" s="15">
        <v>28</v>
      </c>
      <c r="Y15" s="15" t="s">
        <v>65</v>
      </c>
      <c r="Z15" s="15">
        <v>8</v>
      </c>
      <c r="AA15" s="15"/>
      <c r="AB15" s="15">
        <v>36</v>
      </c>
      <c r="AC15" s="15"/>
    </row>
    <row r="16" spans="1:31" x14ac:dyDescent="0.25">
      <c r="A16" s="37">
        <v>2167</v>
      </c>
      <c r="B16" s="37">
        <v>40356314</v>
      </c>
      <c r="C16" s="37" t="s">
        <v>620</v>
      </c>
      <c r="D16" s="37" t="s">
        <v>621</v>
      </c>
      <c r="E16" s="37" t="s">
        <v>622</v>
      </c>
      <c r="F16" s="37">
        <v>2025</v>
      </c>
      <c r="G16" s="37" t="s">
        <v>623</v>
      </c>
      <c r="H16" s="15" t="s">
        <v>45</v>
      </c>
      <c r="I16" s="37" t="s">
        <v>91</v>
      </c>
      <c r="J16" s="32" t="s">
        <v>55</v>
      </c>
      <c r="K16" s="15">
        <v>60</v>
      </c>
      <c r="L16" s="15">
        <v>1</v>
      </c>
      <c r="M16" s="18">
        <v>28</v>
      </c>
      <c r="N16" s="18">
        <v>1680</v>
      </c>
      <c r="O16" s="15"/>
      <c r="P16" s="15">
        <v>5</v>
      </c>
      <c r="Q16" s="18" t="s">
        <v>624</v>
      </c>
      <c r="R16" s="15">
        <v>29</v>
      </c>
      <c r="S16" s="15" t="s">
        <v>65</v>
      </c>
      <c r="T16" s="15">
        <v>8</v>
      </c>
      <c r="U16" s="15"/>
      <c r="V16" s="15">
        <v>28</v>
      </c>
      <c r="W16" s="15"/>
      <c r="X16" s="15">
        <v>27</v>
      </c>
      <c r="Y16" s="15" t="s">
        <v>65</v>
      </c>
      <c r="Z16" s="15">
        <v>8</v>
      </c>
      <c r="AA16" s="15"/>
      <c r="AB16" s="15">
        <v>20</v>
      </c>
      <c r="AC16" s="15"/>
    </row>
    <row r="17" spans="1:29" x14ac:dyDescent="0.25">
      <c r="A17" s="15">
        <v>2926</v>
      </c>
      <c r="B17" s="15">
        <v>27957715</v>
      </c>
      <c r="C17" s="15" t="s">
        <v>119</v>
      </c>
      <c r="D17" s="15" t="s">
        <v>120</v>
      </c>
      <c r="E17" s="15" t="s">
        <v>121</v>
      </c>
      <c r="F17" s="15">
        <v>2017</v>
      </c>
      <c r="G17" s="15" t="s">
        <v>122</v>
      </c>
      <c r="H17" s="15" t="s">
        <v>45</v>
      </c>
      <c r="I17" s="15" t="s">
        <v>91</v>
      </c>
      <c r="J17" s="32" t="s">
        <v>123</v>
      </c>
      <c r="K17" s="15">
        <v>360</v>
      </c>
      <c r="L17" s="15">
        <v>1</v>
      </c>
      <c r="M17" s="18">
        <v>21</v>
      </c>
      <c r="N17" s="18">
        <v>7560</v>
      </c>
      <c r="O17" s="15"/>
      <c r="P17" s="15">
        <v>5</v>
      </c>
      <c r="Q17" s="18" t="s">
        <v>625</v>
      </c>
      <c r="R17" s="15">
        <v>39</v>
      </c>
      <c r="S17" s="15">
        <v>7</v>
      </c>
      <c r="T17" s="15">
        <v>5</v>
      </c>
      <c r="U17" s="15">
        <v>5</v>
      </c>
      <c r="V17" s="35">
        <f>S17*(SQRT(U17))</f>
        <v>15.652475842498529</v>
      </c>
      <c r="W17" s="15"/>
      <c r="X17" s="15">
        <v>18</v>
      </c>
      <c r="Y17" s="15">
        <v>4</v>
      </c>
      <c r="Z17" s="15">
        <v>5</v>
      </c>
      <c r="AA17" s="15">
        <v>5</v>
      </c>
      <c r="AB17" s="35">
        <f>Y17*(SQRT(AA17))</f>
        <v>8.9442719099991592</v>
      </c>
      <c r="AC17" s="15"/>
    </row>
    <row r="18" spans="1:29" x14ac:dyDescent="0.25">
      <c r="A18" s="37">
        <v>2949</v>
      </c>
      <c r="B18" s="37"/>
      <c r="C18" s="37" t="s">
        <v>626</v>
      </c>
      <c r="D18" s="37" t="s">
        <v>627</v>
      </c>
      <c r="E18" s="37" t="s">
        <v>628</v>
      </c>
      <c r="F18" s="37">
        <v>2019</v>
      </c>
      <c r="G18" s="37" t="s">
        <v>629</v>
      </c>
      <c r="H18" s="15" t="s">
        <v>32</v>
      </c>
      <c r="I18" s="15" t="s">
        <v>33</v>
      </c>
      <c r="J18" s="32"/>
      <c r="K18" s="15">
        <v>480</v>
      </c>
      <c r="L18" s="15">
        <v>1</v>
      </c>
      <c r="M18" s="18">
        <v>1</v>
      </c>
      <c r="N18" s="51">
        <v>480</v>
      </c>
      <c r="P18" s="53" t="s">
        <v>143</v>
      </c>
      <c r="Q18" s="18" t="s">
        <v>118</v>
      </c>
      <c r="R18" s="15">
        <v>40</v>
      </c>
      <c r="S18" s="15" t="s">
        <v>65</v>
      </c>
      <c r="T18" s="15">
        <v>8</v>
      </c>
      <c r="U18" s="15"/>
      <c r="V18" s="15">
        <v>2</v>
      </c>
      <c r="W18" s="15"/>
      <c r="X18" s="15">
        <v>39</v>
      </c>
      <c r="Y18" s="15" t="s">
        <v>65</v>
      </c>
      <c r="Z18" s="15">
        <v>8</v>
      </c>
      <c r="AA18" s="15"/>
      <c r="AB18" s="15">
        <v>2</v>
      </c>
      <c r="AC18" s="15"/>
    </row>
    <row r="19" spans="1:29" x14ac:dyDescent="0.25">
      <c r="A19" s="37">
        <v>2949</v>
      </c>
      <c r="B19" s="37"/>
      <c r="C19" s="37" t="s">
        <v>626</v>
      </c>
      <c r="D19" s="37" t="s">
        <v>627</v>
      </c>
      <c r="E19" s="37" t="s">
        <v>628</v>
      </c>
      <c r="F19" s="37">
        <v>2019</v>
      </c>
      <c r="G19" s="37" t="s">
        <v>629</v>
      </c>
      <c r="H19" s="15" t="s">
        <v>32</v>
      </c>
      <c r="I19" s="15" t="s">
        <v>33</v>
      </c>
      <c r="J19" s="32"/>
      <c r="K19" s="15">
        <v>480</v>
      </c>
      <c r="L19" s="15">
        <v>1</v>
      </c>
      <c r="M19" s="18">
        <v>3</v>
      </c>
      <c r="N19" s="51">
        <v>1440</v>
      </c>
      <c r="P19" s="53" t="s">
        <v>143</v>
      </c>
      <c r="Q19" s="18" t="s">
        <v>118</v>
      </c>
      <c r="R19" s="15">
        <v>40</v>
      </c>
      <c r="S19" s="15" t="s">
        <v>65</v>
      </c>
      <c r="T19" s="15">
        <v>8</v>
      </c>
      <c r="U19" s="15"/>
      <c r="V19" s="15">
        <v>2</v>
      </c>
      <c r="W19" s="15"/>
      <c r="X19" s="15">
        <v>33</v>
      </c>
      <c r="Y19" s="15" t="s">
        <v>65</v>
      </c>
      <c r="Z19" s="15">
        <v>8</v>
      </c>
      <c r="AA19" s="15"/>
      <c r="AB19" s="15">
        <v>2</v>
      </c>
      <c r="AC19" s="15"/>
    </row>
    <row r="20" spans="1:29" x14ac:dyDescent="0.25">
      <c r="A20" s="37">
        <v>2949</v>
      </c>
      <c r="B20" s="37"/>
      <c r="C20" s="37" t="s">
        <v>626</v>
      </c>
      <c r="D20" s="37" t="s">
        <v>627</v>
      </c>
      <c r="E20" s="37" t="s">
        <v>628</v>
      </c>
      <c r="F20" s="37">
        <v>2019</v>
      </c>
      <c r="G20" s="37" t="s">
        <v>629</v>
      </c>
      <c r="H20" s="15" t="s">
        <v>32</v>
      </c>
      <c r="I20" s="15" t="s">
        <v>33</v>
      </c>
      <c r="J20" s="32"/>
      <c r="K20" s="15">
        <v>480</v>
      </c>
      <c r="L20" s="15">
        <v>1</v>
      </c>
      <c r="M20" s="18">
        <v>7</v>
      </c>
      <c r="N20" s="51">
        <v>3360</v>
      </c>
      <c r="P20" s="53" t="s">
        <v>143</v>
      </c>
      <c r="Q20" s="18" t="s">
        <v>118</v>
      </c>
      <c r="R20" s="15">
        <v>40</v>
      </c>
      <c r="S20" s="15" t="s">
        <v>65</v>
      </c>
      <c r="T20" s="15">
        <v>8</v>
      </c>
      <c r="U20" s="15"/>
      <c r="V20" s="15">
        <v>2</v>
      </c>
      <c r="W20" s="15"/>
      <c r="X20" s="15">
        <v>26</v>
      </c>
      <c r="Y20" s="15" t="s">
        <v>65</v>
      </c>
      <c r="Z20" s="15">
        <v>8</v>
      </c>
      <c r="AA20" s="15"/>
      <c r="AB20" s="15">
        <v>1.5</v>
      </c>
      <c r="AC20" s="15"/>
    </row>
    <row r="21" spans="1:29" x14ac:dyDescent="0.25">
      <c r="A21" s="37">
        <v>2949</v>
      </c>
      <c r="B21" s="37"/>
      <c r="C21" s="37" t="s">
        <v>626</v>
      </c>
      <c r="D21" s="37" t="s">
        <v>627</v>
      </c>
      <c r="E21" s="37" t="s">
        <v>628</v>
      </c>
      <c r="F21" s="37">
        <v>2019</v>
      </c>
      <c r="G21" s="37" t="s">
        <v>629</v>
      </c>
      <c r="H21" s="15" t="s">
        <v>32</v>
      </c>
      <c r="I21" s="15" t="s">
        <v>33</v>
      </c>
      <c r="J21" s="32"/>
      <c r="K21" s="15">
        <v>480</v>
      </c>
      <c r="L21" s="15">
        <v>1</v>
      </c>
      <c r="M21" s="18">
        <v>14</v>
      </c>
      <c r="N21" s="51">
        <v>6720</v>
      </c>
      <c r="P21" s="53" t="s">
        <v>143</v>
      </c>
      <c r="Q21" s="18" t="s">
        <v>118</v>
      </c>
      <c r="R21" s="15">
        <v>40</v>
      </c>
      <c r="S21" s="15" t="s">
        <v>65</v>
      </c>
      <c r="T21" s="15">
        <v>8</v>
      </c>
      <c r="U21" s="15"/>
      <c r="V21" s="15">
        <v>2</v>
      </c>
      <c r="W21" s="15"/>
      <c r="X21" s="15">
        <v>21</v>
      </c>
      <c r="Y21" s="15" t="s">
        <v>65</v>
      </c>
      <c r="Z21" s="15">
        <v>8</v>
      </c>
      <c r="AA21" s="15"/>
      <c r="AB21" s="15">
        <v>2</v>
      </c>
      <c r="AC21" s="15"/>
    </row>
    <row r="22" spans="1:29" x14ac:dyDescent="0.25">
      <c r="A22" s="15">
        <v>3209</v>
      </c>
      <c r="C22" s="40" t="s">
        <v>630</v>
      </c>
      <c r="D22" s="40" t="s">
        <v>631</v>
      </c>
      <c r="E22" s="40" t="s">
        <v>632</v>
      </c>
      <c r="F22" s="40">
        <v>2018</v>
      </c>
      <c r="G22" s="41" t="s">
        <v>633</v>
      </c>
      <c r="H22" s="15" t="s">
        <v>45</v>
      </c>
      <c r="I22" s="15" t="s">
        <v>33</v>
      </c>
      <c r="J22" s="32"/>
      <c r="K22" s="15">
        <v>360</v>
      </c>
      <c r="L22" s="15">
        <v>1</v>
      </c>
      <c r="M22" s="18">
        <v>21</v>
      </c>
      <c r="N22" s="18">
        <v>7560</v>
      </c>
      <c r="O22" s="15"/>
      <c r="P22" s="15">
        <v>5</v>
      </c>
      <c r="Q22" s="18">
        <v>6</v>
      </c>
      <c r="R22" s="15">
        <v>103</v>
      </c>
      <c r="S22" s="15">
        <v>11</v>
      </c>
      <c r="T22" s="15">
        <v>6</v>
      </c>
      <c r="U22" s="15">
        <v>6</v>
      </c>
      <c r="V22" s="35">
        <f>S22*(SQRT(U22))</f>
        <v>26.944387170614956</v>
      </c>
      <c r="W22" s="15"/>
      <c r="X22" s="15">
        <v>57</v>
      </c>
      <c r="Y22" s="15">
        <v>3</v>
      </c>
      <c r="Z22" s="15">
        <v>6</v>
      </c>
      <c r="AA22" s="15">
        <v>6</v>
      </c>
      <c r="AB22" s="35">
        <f>Y22*(SQRT(AA22))</f>
        <v>7.3484692283495336</v>
      </c>
      <c r="AC22" s="15"/>
    </row>
    <row r="23" spans="1:29" x14ac:dyDescent="0.25">
      <c r="A23" s="15">
        <v>3263</v>
      </c>
      <c r="C23" s="15" t="s">
        <v>128</v>
      </c>
      <c r="D23" s="15" t="s">
        <v>129</v>
      </c>
      <c r="E23" s="15" t="s">
        <v>130</v>
      </c>
      <c r="F23" s="15">
        <v>2023</v>
      </c>
      <c r="G23" s="15" t="s">
        <v>131</v>
      </c>
      <c r="H23" s="15" t="s">
        <v>45</v>
      </c>
      <c r="I23" s="15" t="s">
        <v>33</v>
      </c>
      <c r="J23" s="32"/>
      <c r="K23" s="42" t="s">
        <v>132</v>
      </c>
      <c r="L23" s="42"/>
      <c r="M23" s="42"/>
      <c r="N23" s="18">
        <v>98</v>
      </c>
      <c r="O23" s="15"/>
      <c r="P23" s="15">
        <v>5</v>
      </c>
      <c r="Q23" s="33"/>
      <c r="R23" s="53"/>
      <c r="S23" s="53"/>
      <c r="T23" s="53"/>
      <c r="U23" s="53"/>
      <c r="V23" s="53"/>
      <c r="W23" s="15"/>
      <c r="X23" s="53"/>
      <c r="Y23" s="53"/>
      <c r="Z23" s="53"/>
      <c r="AA23" s="53"/>
      <c r="AB23" s="53"/>
      <c r="AC23" s="15"/>
    </row>
    <row r="24" spans="1:29" x14ac:dyDescent="0.25">
      <c r="A24" s="15">
        <v>3459</v>
      </c>
      <c r="B24" s="15">
        <v>30458283</v>
      </c>
      <c r="C24" s="15" t="s">
        <v>634</v>
      </c>
      <c r="D24" s="15" t="s">
        <v>635</v>
      </c>
      <c r="E24" s="15" t="s">
        <v>636</v>
      </c>
      <c r="F24" s="15">
        <v>2019</v>
      </c>
      <c r="G24" s="15" t="s">
        <v>637</v>
      </c>
      <c r="H24" s="15" t="s">
        <v>45</v>
      </c>
      <c r="I24" s="15" t="s">
        <v>33</v>
      </c>
      <c r="J24" s="32"/>
      <c r="K24" s="15">
        <v>360</v>
      </c>
      <c r="L24" s="15">
        <v>1</v>
      </c>
      <c r="M24" s="18">
        <v>10</v>
      </c>
      <c r="N24" s="18">
        <v>3600</v>
      </c>
      <c r="O24" s="15"/>
      <c r="P24" s="15">
        <v>5</v>
      </c>
      <c r="Q24" s="18" t="s">
        <v>288</v>
      </c>
      <c r="R24" s="15">
        <v>81</v>
      </c>
      <c r="S24" s="15">
        <v>11</v>
      </c>
      <c r="T24" s="32" t="s">
        <v>638</v>
      </c>
      <c r="U24" s="15">
        <v>12</v>
      </c>
      <c r="V24" s="35">
        <f>S24*(SQRT(U24))</f>
        <v>38.105117766515299</v>
      </c>
      <c r="W24" s="15"/>
      <c r="X24" s="15">
        <v>80</v>
      </c>
      <c r="Y24" s="15">
        <v>12</v>
      </c>
      <c r="Z24" s="32" t="s">
        <v>639</v>
      </c>
      <c r="AA24" s="15">
        <v>11</v>
      </c>
      <c r="AB24" s="35">
        <f>Y24*(SQRT(AA24))</f>
        <v>39.799497484264798</v>
      </c>
      <c r="AC24" s="15"/>
    </row>
    <row r="25" spans="1:29" x14ac:dyDescent="0.25">
      <c r="A25" s="15">
        <v>3733</v>
      </c>
      <c r="C25" s="15" t="s">
        <v>640</v>
      </c>
      <c r="D25" s="15" t="s">
        <v>641</v>
      </c>
      <c r="E25" s="15" t="s">
        <v>642</v>
      </c>
      <c r="F25" s="15">
        <v>2025</v>
      </c>
      <c r="G25" s="15" t="s">
        <v>643</v>
      </c>
      <c r="H25" s="15" t="s">
        <v>45</v>
      </c>
      <c r="I25" s="15" t="s">
        <v>33</v>
      </c>
      <c r="J25" s="32"/>
      <c r="K25" s="15">
        <v>360</v>
      </c>
      <c r="L25" s="15">
        <v>1</v>
      </c>
      <c r="M25" s="18">
        <v>21</v>
      </c>
      <c r="N25" s="18">
        <v>7560</v>
      </c>
      <c r="O25" s="15"/>
      <c r="P25" s="15">
        <v>5</v>
      </c>
      <c r="Q25" s="18">
        <v>5</v>
      </c>
      <c r="R25" s="15">
        <v>107</v>
      </c>
      <c r="S25" s="15">
        <v>24</v>
      </c>
      <c r="T25" s="15">
        <v>8</v>
      </c>
      <c r="U25" s="15">
        <v>8</v>
      </c>
      <c r="V25" s="35">
        <f>S25*(SQRT(U25))</f>
        <v>67.882250993908571</v>
      </c>
      <c r="W25" s="15"/>
      <c r="X25" s="15">
        <v>28</v>
      </c>
      <c r="Y25" s="53"/>
      <c r="Z25" s="15">
        <v>8</v>
      </c>
      <c r="AA25" s="15">
        <v>8</v>
      </c>
      <c r="AB25" s="35">
        <f>Y25*(SQRT(AA25))</f>
        <v>0</v>
      </c>
      <c r="AC25" s="15"/>
    </row>
    <row r="26" spans="1:29" x14ac:dyDescent="0.25">
      <c r="A26" s="15">
        <v>3772</v>
      </c>
      <c r="C26" s="15" t="s">
        <v>644</v>
      </c>
      <c r="D26" s="15" t="s">
        <v>645</v>
      </c>
      <c r="E26" s="15" t="s">
        <v>646</v>
      </c>
      <c r="F26" s="15">
        <v>2023</v>
      </c>
      <c r="G26" s="15" t="s">
        <v>647</v>
      </c>
      <c r="H26" s="15" t="s">
        <v>32</v>
      </c>
      <c r="I26" s="15" t="s">
        <v>33</v>
      </c>
      <c r="J26" s="32"/>
      <c r="K26" s="15">
        <v>360</v>
      </c>
      <c r="L26" s="15">
        <v>1</v>
      </c>
      <c r="M26" s="18">
        <v>7</v>
      </c>
      <c r="N26" s="18">
        <v>2520</v>
      </c>
      <c r="O26" s="15"/>
      <c r="P26" s="15">
        <v>5</v>
      </c>
      <c r="Q26" s="18" t="s">
        <v>134</v>
      </c>
      <c r="R26" s="53"/>
      <c r="S26" s="53"/>
      <c r="T26" s="53"/>
      <c r="U26" s="53"/>
      <c r="V26" s="53"/>
      <c r="W26" s="15"/>
      <c r="X26" s="53"/>
      <c r="Y26" s="53"/>
      <c r="Z26" s="53"/>
      <c r="AA26" s="53"/>
      <c r="AB26" s="53"/>
      <c r="AC26" s="15"/>
    </row>
    <row r="27" spans="1:29" x14ac:dyDescent="0.25">
      <c r="A27" s="15">
        <v>3822</v>
      </c>
      <c r="C27" s="15" t="s">
        <v>648</v>
      </c>
      <c r="D27" s="15" t="s">
        <v>649</v>
      </c>
      <c r="E27" s="15" t="s">
        <v>43</v>
      </c>
      <c r="F27" s="15">
        <v>2019</v>
      </c>
      <c r="G27" s="15" t="s">
        <v>650</v>
      </c>
      <c r="H27" s="15" t="s">
        <v>45</v>
      </c>
      <c r="I27" s="15" t="s">
        <v>33</v>
      </c>
      <c r="J27" s="32"/>
      <c r="K27" s="15">
        <v>360</v>
      </c>
      <c r="L27" s="15">
        <v>1</v>
      </c>
      <c r="M27" s="18">
        <v>21</v>
      </c>
      <c r="N27" s="18">
        <v>7560</v>
      </c>
      <c r="O27" s="15"/>
      <c r="P27" s="15">
        <v>5</v>
      </c>
      <c r="Q27" s="18" t="s">
        <v>180</v>
      </c>
      <c r="R27" s="15">
        <v>24</v>
      </c>
      <c r="S27" s="15">
        <v>2</v>
      </c>
      <c r="T27" s="15">
        <v>10</v>
      </c>
      <c r="U27" s="15">
        <v>10</v>
      </c>
      <c r="V27" s="35">
        <f>S27*(SQRT(U27))</f>
        <v>6.324555320336759</v>
      </c>
      <c r="W27" s="15"/>
      <c r="X27" s="15">
        <v>12</v>
      </c>
      <c r="Y27" s="15">
        <v>3</v>
      </c>
      <c r="Z27" s="15">
        <v>10</v>
      </c>
      <c r="AA27" s="15">
        <v>10</v>
      </c>
      <c r="AB27" s="35">
        <f>Y27*(SQRT(AA27))</f>
        <v>9.4868329805051381</v>
      </c>
      <c r="AC27" s="15"/>
    </row>
    <row r="28" spans="1:29" x14ac:dyDescent="0.25">
      <c r="A28" s="15">
        <v>3856</v>
      </c>
      <c r="C28" s="15" t="s">
        <v>651</v>
      </c>
      <c r="D28" s="15" t="s">
        <v>652</v>
      </c>
      <c r="E28" s="15" t="s">
        <v>68</v>
      </c>
      <c r="F28" s="15">
        <v>2015</v>
      </c>
      <c r="G28" s="15" t="s">
        <v>653</v>
      </c>
      <c r="H28" s="15" t="s">
        <v>654</v>
      </c>
      <c r="I28" s="15" t="s">
        <v>33</v>
      </c>
      <c r="J28" s="32" t="s">
        <v>159</v>
      </c>
      <c r="K28" s="15">
        <v>120</v>
      </c>
      <c r="L28" s="15">
        <v>1</v>
      </c>
      <c r="M28" s="18">
        <v>21</v>
      </c>
      <c r="N28" s="18">
        <v>2520</v>
      </c>
      <c r="O28" s="15"/>
      <c r="P28" s="15">
        <v>5</v>
      </c>
      <c r="Q28" s="18">
        <v>1</v>
      </c>
      <c r="R28" s="15">
        <v>8</v>
      </c>
      <c r="S28" s="15">
        <v>3</v>
      </c>
      <c r="T28" s="15">
        <v>8</v>
      </c>
      <c r="U28" s="15">
        <v>8</v>
      </c>
      <c r="V28" s="35">
        <f>S28*(SQRT(U28))</f>
        <v>8.4852813742385713</v>
      </c>
      <c r="W28" s="15"/>
      <c r="X28" s="15">
        <v>12</v>
      </c>
      <c r="Y28" s="15">
        <v>6</v>
      </c>
      <c r="Z28" s="15">
        <v>8</v>
      </c>
      <c r="AA28" s="15">
        <v>8</v>
      </c>
      <c r="AB28" s="35">
        <f>Y28*(SQRT(AA28))</f>
        <v>16.970562748477143</v>
      </c>
      <c r="AC28" s="15"/>
    </row>
    <row r="29" spans="1:29" x14ac:dyDescent="0.25">
      <c r="A29" s="37">
        <v>3926</v>
      </c>
      <c r="B29" s="37"/>
      <c r="C29" s="37" t="s">
        <v>154</v>
      </c>
      <c r="D29" s="37" t="s">
        <v>155</v>
      </c>
      <c r="E29" s="37" t="s">
        <v>156</v>
      </c>
      <c r="F29" s="37">
        <v>2023</v>
      </c>
      <c r="G29" s="37" t="s">
        <v>157</v>
      </c>
      <c r="H29" s="15" t="s">
        <v>32</v>
      </c>
      <c r="I29" s="37" t="s">
        <v>33</v>
      </c>
      <c r="J29" s="32" t="s">
        <v>158</v>
      </c>
      <c r="K29" s="15">
        <v>240</v>
      </c>
      <c r="L29" s="15">
        <v>1</v>
      </c>
      <c r="M29" s="18">
        <v>21</v>
      </c>
      <c r="N29" s="18">
        <v>5040</v>
      </c>
      <c r="O29" s="15"/>
      <c r="P29" s="15">
        <v>10</v>
      </c>
      <c r="Q29" s="18" t="s">
        <v>39</v>
      </c>
      <c r="R29" s="15">
        <v>18</v>
      </c>
      <c r="S29" s="15">
        <v>8</v>
      </c>
      <c r="T29" s="15">
        <v>6</v>
      </c>
      <c r="U29" s="15">
        <v>6</v>
      </c>
      <c r="V29" s="35">
        <f>S29*(SQRT(U29))</f>
        <v>19.595917942265423</v>
      </c>
      <c r="W29" s="15"/>
      <c r="X29" s="15">
        <v>4</v>
      </c>
      <c r="Y29" s="15">
        <v>5</v>
      </c>
      <c r="Z29" s="15">
        <v>6</v>
      </c>
      <c r="AA29" s="15">
        <v>6</v>
      </c>
      <c r="AB29" s="35">
        <f>Y29*(SQRT(AA29))</f>
        <v>12.24744871391589</v>
      </c>
      <c r="AC29" s="15"/>
    </row>
    <row r="30" spans="1:29" x14ac:dyDescent="0.25">
      <c r="A30" s="37">
        <v>3926</v>
      </c>
      <c r="B30" s="37"/>
      <c r="C30" s="37" t="s">
        <v>154</v>
      </c>
      <c r="D30" s="37" t="s">
        <v>155</v>
      </c>
      <c r="E30" s="37" t="s">
        <v>156</v>
      </c>
      <c r="F30" s="37">
        <v>2023</v>
      </c>
      <c r="G30" s="37" t="s">
        <v>157</v>
      </c>
      <c r="H30" s="15" t="s">
        <v>32</v>
      </c>
      <c r="I30" s="37" t="s">
        <v>91</v>
      </c>
      <c r="J30" s="32" t="s">
        <v>158</v>
      </c>
      <c r="K30" s="15">
        <v>240</v>
      </c>
      <c r="L30" s="15">
        <v>1</v>
      </c>
      <c r="M30" s="18">
        <v>21</v>
      </c>
      <c r="N30" s="18">
        <v>5040</v>
      </c>
      <c r="O30" s="15"/>
      <c r="P30" s="15">
        <v>10</v>
      </c>
      <c r="Q30" s="62"/>
      <c r="R30" s="57"/>
      <c r="S30" s="57"/>
      <c r="T30" s="57"/>
      <c r="U30" s="57"/>
      <c r="V30" s="57"/>
      <c r="W30" s="15"/>
      <c r="X30" s="57"/>
      <c r="Y30" s="57"/>
      <c r="Z30" s="57"/>
      <c r="AA30" s="57"/>
      <c r="AB30" s="57"/>
      <c r="AC30" s="15"/>
    </row>
    <row r="31" spans="1:29" x14ac:dyDescent="0.25">
      <c r="A31" s="37">
        <v>3972</v>
      </c>
      <c r="B31" s="37">
        <v>32768618</v>
      </c>
      <c r="C31" s="37" t="s">
        <v>655</v>
      </c>
      <c r="D31" s="37" t="s">
        <v>656</v>
      </c>
      <c r="E31" s="37" t="s">
        <v>478</v>
      </c>
      <c r="F31" s="37">
        <v>2020</v>
      </c>
      <c r="G31" s="37" t="s">
        <v>657</v>
      </c>
      <c r="H31" s="37" t="s">
        <v>117</v>
      </c>
      <c r="I31" s="15" t="s">
        <v>33</v>
      </c>
      <c r="J31" s="32" t="s">
        <v>191</v>
      </c>
      <c r="K31" s="15">
        <v>120</v>
      </c>
      <c r="L31" s="15">
        <v>1</v>
      </c>
      <c r="M31" s="18">
        <v>14</v>
      </c>
      <c r="N31" s="18">
        <v>1680</v>
      </c>
      <c r="O31" s="15"/>
      <c r="P31" s="15">
        <v>5</v>
      </c>
      <c r="Q31" s="33"/>
      <c r="R31" s="53"/>
      <c r="S31" s="53"/>
      <c r="T31" s="53"/>
      <c r="U31" s="53"/>
      <c r="V31" s="53"/>
      <c r="W31" s="15"/>
      <c r="X31" s="53"/>
      <c r="Y31" s="53"/>
      <c r="Z31" s="53"/>
      <c r="AA31" s="53"/>
      <c r="AB31" s="53"/>
      <c r="AC31" s="15"/>
    </row>
    <row r="32" spans="1:29" x14ac:dyDescent="0.25">
      <c r="A32" s="37">
        <v>3972</v>
      </c>
      <c r="B32" s="37">
        <v>32768618</v>
      </c>
      <c r="C32" s="37" t="s">
        <v>655</v>
      </c>
      <c r="D32" s="37" t="s">
        <v>656</v>
      </c>
      <c r="E32" s="37" t="s">
        <v>478</v>
      </c>
      <c r="F32" s="37">
        <v>2020</v>
      </c>
      <c r="G32" s="37" t="s">
        <v>657</v>
      </c>
      <c r="H32" s="37" t="s">
        <v>658</v>
      </c>
      <c r="I32" s="15" t="s">
        <v>33</v>
      </c>
      <c r="J32" s="32" t="s">
        <v>191</v>
      </c>
      <c r="K32" s="15">
        <v>120</v>
      </c>
      <c r="L32" s="15">
        <v>1</v>
      </c>
      <c r="M32" s="18">
        <v>14</v>
      </c>
      <c r="N32" s="18">
        <v>1680</v>
      </c>
      <c r="O32" s="15"/>
      <c r="P32" s="15">
        <v>5</v>
      </c>
      <c r="Q32" s="33"/>
      <c r="R32" s="53"/>
      <c r="S32" s="53"/>
      <c r="T32" s="53"/>
      <c r="U32" s="53"/>
      <c r="V32" s="53"/>
      <c r="W32" s="15"/>
      <c r="X32" s="53"/>
      <c r="Y32" s="53"/>
      <c r="Z32" s="53"/>
      <c r="AA32" s="53"/>
      <c r="AB32" s="53"/>
      <c r="AC32" s="15"/>
    </row>
    <row r="33" spans="1:29" x14ac:dyDescent="0.25">
      <c r="A33" s="15">
        <v>4027</v>
      </c>
      <c r="B33" s="15">
        <v>39411919</v>
      </c>
      <c r="C33" s="15" t="s">
        <v>171</v>
      </c>
      <c r="D33" s="15" t="s">
        <v>172</v>
      </c>
      <c r="E33" s="15" t="s">
        <v>173</v>
      </c>
      <c r="F33" s="15">
        <v>2025</v>
      </c>
      <c r="G33" s="15" t="s">
        <v>174</v>
      </c>
      <c r="H33" s="15" t="s">
        <v>32</v>
      </c>
      <c r="I33" s="15" t="s">
        <v>33</v>
      </c>
      <c r="J33" s="32" t="s">
        <v>55</v>
      </c>
      <c r="K33" s="15">
        <v>120</v>
      </c>
      <c r="L33" s="15">
        <v>1</v>
      </c>
      <c r="M33" s="18">
        <v>10</v>
      </c>
      <c r="N33" s="18">
        <v>1200</v>
      </c>
      <c r="O33" s="15"/>
      <c r="P33" s="15">
        <v>5</v>
      </c>
      <c r="Q33" s="18" t="s">
        <v>53</v>
      </c>
      <c r="R33" s="15">
        <v>85</v>
      </c>
      <c r="S33" s="15">
        <v>17</v>
      </c>
      <c r="T33" s="15">
        <v>4</v>
      </c>
      <c r="U33" s="15">
        <v>4</v>
      </c>
      <c r="V33" s="35">
        <f>S33*(SQRT(U33))</f>
        <v>34</v>
      </c>
      <c r="W33" s="15"/>
      <c r="X33" s="15">
        <v>45</v>
      </c>
      <c r="Y33" s="15">
        <v>6</v>
      </c>
      <c r="Z33" s="15">
        <v>4</v>
      </c>
      <c r="AA33" s="15">
        <v>4</v>
      </c>
      <c r="AB33" s="35">
        <f>Y33*(SQRT(AA33))</f>
        <v>12</v>
      </c>
      <c r="AC33" s="15"/>
    </row>
    <row r="34" spans="1:29" x14ac:dyDescent="0.25">
      <c r="A34" s="15">
        <v>4070</v>
      </c>
      <c r="B34" s="15">
        <v>29317595</v>
      </c>
      <c r="C34" s="15" t="s">
        <v>181</v>
      </c>
      <c r="D34" s="15" t="s">
        <v>182</v>
      </c>
      <c r="E34" s="15" t="s">
        <v>183</v>
      </c>
      <c r="F34" s="15">
        <v>2018</v>
      </c>
      <c r="G34" s="15" t="s">
        <v>184</v>
      </c>
      <c r="H34" s="15" t="s">
        <v>32</v>
      </c>
      <c r="I34" s="15" t="s">
        <v>33</v>
      </c>
      <c r="J34" s="32"/>
      <c r="K34" s="15">
        <v>360</v>
      </c>
      <c r="L34" s="15">
        <v>1</v>
      </c>
      <c r="M34" s="18">
        <v>21</v>
      </c>
      <c r="N34" s="18">
        <v>7560</v>
      </c>
      <c r="O34" s="15"/>
      <c r="P34" s="15">
        <v>5</v>
      </c>
      <c r="Q34" s="18" t="s">
        <v>659</v>
      </c>
      <c r="R34" s="53"/>
      <c r="S34" s="53"/>
      <c r="T34" s="53"/>
      <c r="U34" s="53"/>
      <c r="V34" s="53"/>
      <c r="W34" s="15"/>
      <c r="X34" s="53"/>
      <c r="Y34" s="53"/>
      <c r="Z34" s="53"/>
      <c r="AA34" s="53"/>
      <c r="AB34" s="53"/>
      <c r="AC34" s="15"/>
    </row>
    <row r="35" spans="1:29" x14ac:dyDescent="0.25">
      <c r="A35" s="15">
        <v>4265</v>
      </c>
      <c r="C35" s="15" t="s">
        <v>660</v>
      </c>
      <c r="D35" s="15" t="s">
        <v>661</v>
      </c>
      <c r="E35" s="15" t="s">
        <v>68</v>
      </c>
      <c r="F35" s="15">
        <v>2020</v>
      </c>
      <c r="G35" s="15" t="s">
        <v>662</v>
      </c>
      <c r="H35" s="15" t="s">
        <v>32</v>
      </c>
      <c r="I35" s="15" t="s">
        <v>33</v>
      </c>
      <c r="J35" s="32"/>
      <c r="K35" s="15">
        <v>360</v>
      </c>
      <c r="L35" s="15">
        <v>1</v>
      </c>
      <c r="M35" s="18">
        <v>21</v>
      </c>
      <c r="N35" s="18">
        <v>7560</v>
      </c>
      <c r="O35" s="15"/>
      <c r="P35" s="15">
        <v>5</v>
      </c>
      <c r="Q35" s="18" t="s">
        <v>64</v>
      </c>
      <c r="R35" s="15">
        <v>95</v>
      </c>
      <c r="S35" s="15" t="s">
        <v>65</v>
      </c>
      <c r="T35" s="15">
        <v>12</v>
      </c>
      <c r="U35" s="15"/>
      <c r="V35" s="15">
        <v>17</v>
      </c>
      <c r="W35" s="15"/>
      <c r="X35" s="15">
        <v>67</v>
      </c>
      <c r="Y35" s="15" t="s">
        <v>65</v>
      </c>
      <c r="Z35" s="15">
        <v>12</v>
      </c>
      <c r="AA35" s="15"/>
      <c r="AB35" s="15">
        <v>12</v>
      </c>
      <c r="AC35" s="15"/>
    </row>
    <row r="36" spans="1:29" x14ac:dyDescent="0.25">
      <c r="A36" s="15">
        <v>4485</v>
      </c>
      <c r="C36" s="15" t="s">
        <v>663</v>
      </c>
      <c r="D36" s="15" t="s">
        <v>664</v>
      </c>
      <c r="E36" s="15" t="s">
        <v>50</v>
      </c>
      <c r="F36" s="15">
        <v>2023</v>
      </c>
      <c r="G36" s="15" t="s">
        <v>665</v>
      </c>
      <c r="H36" s="15" t="s">
        <v>45</v>
      </c>
      <c r="I36" s="15" t="s">
        <v>33</v>
      </c>
      <c r="J36" s="32"/>
      <c r="K36" s="15">
        <v>60</v>
      </c>
      <c r="L36" s="15">
        <v>1</v>
      </c>
      <c r="M36" s="18">
        <v>15</v>
      </c>
      <c r="N36" s="18">
        <v>900</v>
      </c>
      <c r="O36" s="15" t="s">
        <v>70</v>
      </c>
      <c r="P36" s="15">
        <v>5</v>
      </c>
      <c r="Q36" s="33"/>
      <c r="R36" s="53"/>
      <c r="S36" s="53"/>
      <c r="T36" s="53"/>
      <c r="U36" s="53"/>
      <c r="V36" s="53"/>
      <c r="W36" s="15"/>
      <c r="X36" s="53"/>
      <c r="Y36" s="53"/>
      <c r="Z36" s="53"/>
      <c r="AA36" s="53"/>
      <c r="AB36" s="53"/>
      <c r="AC36" s="15"/>
    </row>
    <row r="37" spans="1:29" x14ac:dyDescent="0.25">
      <c r="A37" s="15">
        <v>4548</v>
      </c>
      <c r="C37" s="15" t="s">
        <v>666</v>
      </c>
      <c r="D37" s="15" t="s">
        <v>667</v>
      </c>
      <c r="E37" s="15" t="s">
        <v>668</v>
      </c>
      <c r="F37" s="15">
        <v>2023</v>
      </c>
      <c r="G37" s="15" t="s">
        <v>669</v>
      </c>
      <c r="H37" s="15" t="s">
        <v>45</v>
      </c>
      <c r="I37" s="15" t="s">
        <v>33</v>
      </c>
      <c r="J37" s="32"/>
      <c r="K37" s="15">
        <v>240</v>
      </c>
      <c r="L37" s="15">
        <v>1</v>
      </c>
      <c r="M37" s="18">
        <v>14</v>
      </c>
      <c r="N37" s="18">
        <v>3360</v>
      </c>
      <c r="O37" s="15"/>
      <c r="P37" s="15">
        <v>5</v>
      </c>
      <c r="Q37" s="18" t="s">
        <v>83</v>
      </c>
      <c r="R37" s="15">
        <v>11</v>
      </c>
      <c r="S37" s="15">
        <v>0.5</v>
      </c>
      <c r="T37" s="15">
        <v>8</v>
      </c>
      <c r="U37" s="15">
        <v>8</v>
      </c>
      <c r="V37" s="35">
        <f>S37*(SQRT(U37))</f>
        <v>1.4142135623730951</v>
      </c>
      <c r="W37" s="15"/>
      <c r="X37" s="15">
        <v>3</v>
      </c>
      <c r="Y37" s="15">
        <v>0.7</v>
      </c>
      <c r="Z37" s="15">
        <v>8</v>
      </c>
      <c r="AA37" s="15">
        <v>8</v>
      </c>
      <c r="AB37" s="35">
        <f>Y37*(SQRT(AA37))</f>
        <v>1.9798989873223332</v>
      </c>
      <c r="AC37" s="15"/>
    </row>
    <row r="38" spans="1:29" x14ac:dyDescent="0.25">
      <c r="A38" s="15">
        <v>4560</v>
      </c>
      <c r="C38" s="15" t="s">
        <v>670</v>
      </c>
      <c r="D38" s="15" t="s">
        <v>671</v>
      </c>
      <c r="E38" s="15" t="s">
        <v>672</v>
      </c>
      <c r="F38" s="15">
        <v>2015</v>
      </c>
      <c r="G38" s="15" t="s">
        <v>673</v>
      </c>
      <c r="H38" s="15" t="s">
        <v>45</v>
      </c>
      <c r="I38" s="15" t="s">
        <v>33</v>
      </c>
      <c r="J38" s="32"/>
      <c r="K38" s="15">
        <v>60</v>
      </c>
      <c r="L38" s="15">
        <v>1</v>
      </c>
      <c r="M38" s="18">
        <v>15</v>
      </c>
      <c r="N38" s="18">
        <v>900</v>
      </c>
      <c r="O38" s="15"/>
      <c r="P38" s="15">
        <v>5</v>
      </c>
      <c r="Q38" s="18" t="s">
        <v>180</v>
      </c>
      <c r="R38" s="15"/>
      <c r="S38" s="15"/>
      <c r="T38" s="53"/>
      <c r="U38" s="53"/>
      <c r="V38" s="35"/>
      <c r="W38" s="15"/>
      <c r="X38" s="15"/>
      <c r="Y38" s="15"/>
      <c r="Z38" s="53"/>
      <c r="AA38" s="53"/>
      <c r="AB38" s="35"/>
      <c r="AC38" s="15"/>
    </row>
    <row r="39" spans="1:29" x14ac:dyDescent="0.25">
      <c r="A39" s="37">
        <v>4735</v>
      </c>
      <c r="B39" s="37"/>
      <c r="C39" s="37" t="s">
        <v>674</v>
      </c>
      <c r="D39" s="37" t="s">
        <v>675</v>
      </c>
      <c r="E39" s="37" t="s">
        <v>676</v>
      </c>
      <c r="F39" s="37">
        <v>2025</v>
      </c>
      <c r="G39" s="37" t="s">
        <v>677</v>
      </c>
      <c r="H39" s="15" t="s">
        <v>32</v>
      </c>
      <c r="I39" s="37" t="s">
        <v>33</v>
      </c>
      <c r="J39" s="32" t="s">
        <v>592</v>
      </c>
      <c r="K39" s="15">
        <v>360</v>
      </c>
      <c r="L39" s="15">
        <v>1</v>
      </c>
      <c r="M39" s="18">
        <v>10</v>
      </c>
      <c r="N39" s="18">
        <v>3600</v>
      </c>
      <c r="O39" s="15"/>
      <c r="P39" s="15">
        <v>5</v>
      </c>
      <c r="Q39" s="33"/>
      <c r="R39" s="53"/>
      <c r="S39" s="53"/>
      <c r="T39" s="53"/>
      <c r="U39" s="53"/>
      <c r="V39" s="53"/>
      <c r="W39" s="15"/>
      <c r="X39" s="53"/>
      <c r="Y39" s="53"/>
      <c r="Z39" s="53"/>
      <c r="AA39" s="53"/>
      <c r="AB39" s="53"/>
      <c r="AC39" s="15"/>
    </row>
    <row r="40" spans="1:29" x14ac:dyDescent="0.25">
      <c r="A40" s="37">
        <v>4735</v>
      </c>
      <c r="B40" s="37"/>
      <c r="C40" s="37" t="s">
        <v>674</v>
      </c>
      <c r="D40" s="37" t="s">
        <v>675</v>
      </c>
      <c r="E40" s="37" t="s">
        <v>676</v>
      </c>
      <c r="F40" s="37">
        <v>2025</v>
      </c>
      <c r="G40" s="37" t="s">
        <v>677</v>
      </c>
      <c r="H40" s="15" t="s">
        <v>32</v>
      </c>
      <c r="I40" s="37" t="s">
        <v>91</v>
      </c>
      <c r="J40" s="32" t="s">
        <v>592</v>
      </c>
      <c r="K40" s="15">
        <v>360</v>
      </c>
      <c r="L40" s="15">
        <v>1</v>
      </c>
      <c r="M40" s="18">
        <v>10</v>
      </c>
      <c r="N40" s="18">
        <v>3600</v>
      </c>
      <c r="O40" s="15"/>
      <c r="P40" s="15">
        <v>5</v>
      </c>
      <c r="Q40" s="33"/>
      <c r="R40" s="53"/>
      <c r="S40" s="53"/>
      <c r="T40" s="53"/>
      <c r="U40" s="53"/>
      <c r="V40" s="53"/>
      <c r="W40" s="15"/>
      <c r="X40" s="53"/>
      <c r="Y40" s="53"/>
      <c r="Z40" s="53"/>
      <c r="AA40" s="53"/>
      <c r="AB40" s="53"/>
      <c r="AC40" s="15"/>
    </row>
    <row r="41" spans="1:29" x14ac:dyDescent="0.25">
      <c r="A41" s="15">
        <v>4794</v>
      </c>
      <c r="B41" s="15">
        <v>35780963</v>
      </c>
      <c r="C41" s="15" t="s">
        <v>508</v>
      </c>
      <c r="D41" s="15" t="s">
        <v>509</v>
      </c>
      <c r="E41" s="15" t="s">
        <v>104</v>
      </c>
      <c r="F41" s="15">
        <v>2022</v>
      </c>
      <c r="G41" s="15" t="s">
        <v>510</v>
      </c>
      <c r="H41" s="15" t="s">
        <v>32</v>
      </c>
      <c r="I41" s="15" t="s">
        <v>33</v>
      </c>
      <c r="J41" s="32"/>
      <c r="K41" s="15">
        <v>360</v>
      </c>
      <c r="L41" s="15">
        <v>1</v>
      </c>
      <c r="M41" s="18">
        <v>21</v>
      </c>
      <c r="N41" s="18">
        <v>7560</v>
      </c>
      <c r="O41" s="15"/>
      <c r="P41" s="15">
        <v>5</v>
      </c>
      <c r="Q41" s="18" t="s">
        <v>678</v>
      </c>
      <c r="R41" s="15">
        <v>21</v>
      </c>
      <c r="S41" s="15">
        <v>7</v>
      </c>
      <c r="T41" s="15">
        <v>10</v>
      </c>
      <c r="U41" s="15">
        <v>10</v>
      </c>
      <c r="V41" s="35">
        <f t="shared" ref="V41:V47" si="2">S41*(SQRT(U41))</f>
        <v>22.135943621178658</v>
      </c>
      <c r="W41" s="15"/>
      <c r="X41" s="15">
        <v>21</v>
      </c>
      <c r="Y41" s="15">
        <v>10</v>
      </c>
      <c r="Z41" s="15">
        <v>10</v>
      </c>
      <c r="AA41" s="15">
        <v>10</v>
      </c>
      <c r="AB41" s="35">
        <f t="shared" ref="AB41:AB47" si="3">Y41*(SQRT(AA41))</f>
        <v>31.622776601683796</v>
      </c>
      <c r="AC41" s="15"/>
    </row>
    <row r="42" spans="1:29" x14ac:dyDescent="0.25">
      <c r="A42" s="15">
        <v>4832</v>
      </c>
      <c r="B42" s="15">
        <v>26555398</v>
      </c>
      <c r="C42" s="15" t="s">
        <v>186</v>
      </c>
      <c r="D42" s="15" t="s">
        <v>187</v>
      </c>
      <c r="E42" s="15" t="s">
        <v>188</v>
      </c>
      <c r="F42" s="15">
        <v>2016</v>
      </c>
      <c r="G42" s="15" t="s">
        <v>189</v>
      </c>
      <c r="H42" s="15" t="s">
        <v>32</v>
      </c>
      <c r="I42" s="15" t="s">
        <v>33</v>
      </c>
      <c r="J42" s="32"/>
      <c r="K42" s="15">
        <v>240</v>
      </c>
      <c r="L42" s="15">
        <v>1</v>
      </c>
      <c r="M42" s="18">
        <v>5</v>
      </c>
      <c r="N42" s="18">
        <v>1200</v>
      </c>
      <c r="O42" s="15" t="s">
        <v>190</v>
      </c>
      <c r="P42" s="15">
        <v>5</v>
      </c>
      <c r="Q42" s="18" t="s">
        <v>679</v>
      </c>
      <c r="R42" s="15">
        <v>27</v>
      </c>
      <c r="S42" s="15">
        <v>7</v>
      </c>
      <c r="T42" s="32" t="s">
        <v>638</v>
      </c>
      <c r="U42" s="15">
        <v>12</v>
      </c>
      <c r="V42" s="35">
        <f t="shared" si="2"/>
        <v>24.248711305964282</v>
      </c>
      <c r="W42" s="15"/>
      <c r="X42" s="15">
        <v>33</v>
      </c>
      <c r="Y42" s="15">
        <v>9</v>
      </c>
      <c r="Z42" s="32" t="s">
        <v>638</v>
      </c>
      <c r="AA42" s="15">
        <v>12</v>
      </c>
      <c r="AB42" s="35">
        <f t="shared" si="3"/>
        <v>31.176914536239789</v>
      </c>
      <c r="AC42" s="15"/>
    </row>
    <row r="43" spans="1:29" x14ac:dyDescent="0.25">
      <c r="A43" s="15">
        <v>4833</v>
      </c>
      <c r="C43" s="15" t="s">
        <v>680</v>
      </c>
      <c r="D43" s="15" t="s">
        <v>681</v>
      </c>
      <c r="E43" s="15" t="s">
        <v>37</v>
      </c>
      <c r="F43" s="15">
        <v>2022</v>
      </c>
      <c r="G43" s="15" t="s">
        <v>682</v>
      </c>
      <c r="H43" s="15" t="s">
        <v>45</v>
      </c>
      <c r="I43" s="15" t="s">
        <v>33</v>
      </c>
      <c r="J43" s="32"/>
      <c r="K43" s="15">
        <v>240</v>
      </c>
      <c r="L43" s="15">
        <v>1</v>
      </c>
      <c r="M43" s="18">
        <v>20</v>
      </c>
      <c r="N43" s="18">
        <v>4800</v>
      </c>
      <c r="O43" s="15"/>
      <c r="P43" s="15">
        <v>5</v>
      </c>
      <c r="Q43" s="18">
        <v>3</v>
      </c>
      <c r="R43" s="15">
        <v>85</v>
      </c>
      <c r="S43" s="15">
        <v>20</v>
      </c>
      <c r="T43" s="15">
        <v>10</v>
      </c>
      <c r="U43" s="15">
        <v>10</v>
      </c>
      <c r="V43" s="35">
        <f t="shared" si="2"/>
        <v>63.245553203367592</v>
      </c>
      <c r="W43" s="15"/>
      <c r="X43" s="15">
        <v>10</v>
      </c>
      <c r="Y43" s="15">
        <v>4</v>
      </c>
      <c r="Z43" s="15">
        <v>10</v>
      </c>
      <c r="AA43" s="15">
        <v>10</v>
      </c>
      <c r="AB43" s="35">
        <f t="shared" si="3"/>
        <v>12.649110640673518</v>
      </c>
      <c r="AC43" s="15"/>
    </row>
    <row r="44" spans="1:29" x14ac:dyDescent="0.25">
      <c r="A44" s="37">
        <v>4887</v>
      </c>
      <c r="B44" s="37">
        <v>36921909</v>
      </c>
      <c r="C44" s="37" t="s">
        <v>511</v>
      </c>
      <c r="D44" s="37" t="s">
        <v>512</v>
      </c>
      <c r="E44" s="37" t="s">
        <v>513</v>
      </c>
      <c r="F44" s="37">
        <v>2023</v>
      </c>
      <c r="G44" s="37" t="s">
        <v>514</v>
      </c>
      <c r="H44" s="15" t="s">
        <v>45</v>
      </c>
      <c r="I44" s="37" t="s">
        <v>33</v>
      </c>
      <c r="J44" s="32"/>
      <c r="K44" s="15">
        <v>360</v>
      </c>
      <c r="L44" s="15">
        <v>1</v>
      </c>
      <c r="M44" s="51">
        <v>11</v>
      </c>
      <c r="N44" s="18">
        <v>3960</v>
      </c>
      <c r="P44" s="15">
        <v>5</v>
      </c>
      <c r="Q44" s="18">
        <v>3</v>
      </c>
      <c r="R44" s="15">
        <v>24</v>
      </c>
      <c r="S44" s="15">
        <v>6</v>
      </c>
      <c r="T44" s="15">
        <v>10</v>
      </c>
      <c r="U44" s="15">
        <v>10</v>
      </c>
      <c r="V44" s="35">
        <f t="shared" si="2"/>
        <v>18.973665961010276</v>
      </c>
      <c r="W44" s="15"/>
      <c r="X44" s="15">
        <v>14</v>
      </c>
      <c r="Y44" s="15">
        <v>3</v>
      </c>
      <c r="Z44" s="15">
        <v>10</v>
      </c>
      <c r="AA44" s="15">
        <v>10</v>
      </c>
      <c r="AB44" s="35">
        <f t="shared" si="3"/>
        <v>9.4868329805051381</v>
      </c>
      <c r="AC44" s="15"/>
    </row>
    <row r="45" spans="1:29" x14ac:dyDescent="0.25">
      <c r="A45" s="37">
        <v>4887</v>
      </c>
      <c r="B45" s="37">
        <v>36921909</v>
      </c>
      <c r="C45" s="37" t="s">
        <v>511</v>
      </c>
      <c r="D45" s="37" t="s">
        <v>512</v>
      </c>
      <c r="E45" s="37" t="s">
        <v>513</v>
      </c>
      <c r="F45" s="37">
        <v>2023</v>
      </c>
      <c r="G45" s="37" t="s">
        <v>514</v>
      </c>
      <c r="H45" s="15" t="s">
        <v>45</v>
      </c>
      <c r="I45" s="37" t="s">
        <v>91</v>
      </c>
      <c r="J45" s="32"/>
      <c r="K45" s="15">
        <v>360</v>
      </c>
      <c r="L45" s="15">
        <v>1</v>
      </c>
      <c r="M45" s="51">
        <v>11</v>
      </c>
      <c r="N45" s="18">
        <v>3960</v>
      </c>
      <c r="P45" s="15">
        <v>5</v>
      </c>
      <c r="Q45" s="18">
        <v>3</v>
      </c>
      <c r="R45" s="15">
        <v>31</v>
      </c>
      <c r="S45" s="15">
        <v>4</v>
      </c>
      <c r="T45" s="15">
        <v>10</v>
      </c>
      <c r="U45" s="15">
        <v>10</v>
      </c>
      <c r="V45" s="35">
        <f t="shared" si="2"/>
        <v>12.649110640673518</v>
      </c>
      <c r="W45" s="15"/>
      <c r="X45" s="15">
        <v>31</v>
      </c>
      <c r="Y45" s="15">
        <v>7</v>
      </c>
      <c r="Z45" s="15">
        <v>10</v>
      </c>
      <c r="AA45" s="15">
        <v>10</v>
      </c>
      <c r="AB45" s="35">
        <f t="shared" si="3"/>
        <v>22.135943621178658</v>
      </c>
      <c r="AC45" s="15"/>
    </row>
    <row r="46" spans="1:29" x14ac:dyDescent="0.25">
      <c r="A46" s="37">
        <v>4887</v>
      </c>
      <c r="B46" s="37">
        <v>36921909</v>
      </c>
      <c r="C46" s="37" t="s">
        <v>511</v>
      </c>
      <c r="D46" s="37" t="s">
        <v>512</v>
      </c>
      <c r="E46" s="37" t="s">
        <v>513</v>
      </c>
      <c r="F46" s="37">
        <v>2023</v>
      </c>
      <c r="G46" s="37" t="s">
        <v>514</v>
      </c>
      <c r="H46" s="15" t="s">
        <v>45</v>
      </c>
      <c r="I46" s="37" t="s">
        <v>33</v>
      </c>
      <c r="J46" s="32"/>
      <c r="K46" s="15">
        <v>360</v>
      </c>
      <c r="L46" s="15">
        <v>1</v>
      </c>
      <c r="M46" s="51">
        <v>22</v>
      </c>
      <c r="N46" s="18">
        <v>7920</v>
      </c>
      <c r="P46" s="15">
        <v>5</v>
      </c>
      <c r="Q46" s="18">
        <v>3</v>
      </c>
      <c r="R46" s="15">
        <v>29</v>
      </c>
      <c r="S46" s="15">
        <v>7</v>
      </c>
      <c r="T46" s="15">
        <v>10</v>
      </c>
      <c r="U46" s="15">
        <v>10</v>
      </c>
      <c r="V46" s="35">
        <f t="shared" si="2"/>
        <v>22.135943621178658</v>
      </c>
      <c r="W46" s="15"/>
      <c r="X46" s="15">
        <v>36</v>
      </c>
      <c r="Y46" s="15">
        <v>2</v>
      </c>
      <c r="Z46" s="15">
        <v>10</v>
      </c>
      <c r="AA46" s="15">
        <v>10</v>
      </c>
      <c r="AB46" s="35">
        <f t="shared" si="3"/>
        <v>6.324555320336759</v>
      </c>
      <c r="AC46" s="15"/>
    </row>
    <row r="47" spans="1:29" x14ac:dyDescent="0.25">
      <c r="A47" s="37">
        <v>4887</v>
      </c>
      <c r="B47" s="37">
        <v>36921909</v>
      </c>
      <c r="C47" s="37" t="s">
        <v>511</v>
      </c>
      <c r="D47" s="37" t="s">
        <v>512</v>
      </c>
      <c r="E47" s="37" t="s">
        <v>513</v>
      </c>
      <c r="F47" s="37">
        <v>2023</v>
      </c>
      <c r="G47" s="37" t="s">
        <v>514</v>
      </c>
      <c r="H47" s="15" t="s">
        <v>45</v>
      </c>
      <c r="I47" s="37" t="s">
        <v>91</v>
      </c>
      <c r="J47" s="32"/>
      <c r="K47" s="15">
        <v>360</v>
      </c>
      <c r="L47" s="15">
        <v>1</v>
      </c>
      <c r="M47" s="51">
        <v>22</v>
      </c>
      <c r="N47" s="18">
        <v>7920</v>
      </c>
      <c r="P47" s="15">
        <v>5</v>
      </c>
      <c r="Q47" s="18">
        <v>3</v>
      </c>
      <c r="R47" s="15">
        <v>35</v>
      </c>
      <c r="S47" s="15">
        <v>3</v>
      </c>
      <c r="T47" s="15">
        <v>10</v>
      </c>
      <c r="U47" s="15">
        <v>10</v>
      </c>
      <c r="V47" s="35">
        <f t="shared" si="2"/>
        <v>9.4868329805051381</v>
      </c>
      <c r="W47" s="15"/>
      <c r="X47" s="15">
        <v>24</v>
      </c>
      <c r="Y47" s="15">
        <v>4</v>
      </c>
      <c r="Z47" s="15">
        <v>10</v>
      </c>
      <c r="AA47" s="15">
        <v>10</v>
      </c>
      <c r="AB47" s="35">
        <f t="shared" si="3"/>
        <v>12.649110640673518</v>
      </c>
      <c r="AC47" s="15"/>
    </row>
    <row r="48" spans="1:29" x14ac:dyDescent="0.25">
      <c r="A48" s="15">
        <v>4961</v>
      </c>
      <c r="B48" s="15">
        <v>38882046</v>
      </c>
      <c r="C48" s="15" t="s">
        <v>203</v>
      </c>
      <c r="D48" s="15" t="s">
        <v>204</v>
      </c>
      <c r="E48" s="15" t="s">
        <v>205</v>
      </c>
      <c r="F48" s="15">
        <v>2024</v>
      </c>
      <c r="G48" s="15" t="s">
        <v>206</v>
      </c>
      <c r="H48" s="15" t="s">
        <v>32</v>
      </c>
      <c r="I48" s="15" t="s">
        <v>33</v>
      </c>
      <c r="J48" s="32"/>
      <c r="K48" s="15">
        <v>180</v>
      </c>
      <c r="L48" s="15">
        <v>1</v>
      </c>
      <c r="M48" s="18">
        <v>28</v>
      </c>
      <c r="N48" s="18">
        <v>5040</v>
      </c>
      <c r="O48" s="15"/>
      <c r="P48" s="15">
        <v>5</v>
      </c>
      <c r="Q48" s="18" t="s">
        <v>484</v>
      </c>
      <c r="R48" s="15">
        <v>27</v>
      </c>
      <c r="S48" s="15" t="s">
        <v>65</v>
      </c>
      <c r="T48" s="15">
        <v>6</v>
      </c>
      <c r="V48" s="15">
        <v>5.5</v>
      </c>
      <c r="W48" s="15"/>
      <c r="X48" s="15">
        <v>20</v>
      </c>
      <c r="Y48" s="15" t="s">
        <v>65</v>
      </c>
      <c r="Z48" s="15">
        <v>6</v>
      </c>
      <c r="AA48" s="15"/>
      <c r="AB48" s="15">
        <v>2.7</v>
      </c>
      <c r="AC48" s="15"/>
    </row>
    <row r="49" spans="1:29" x14ac:dyDescent="0.25">
      <c r="A49" s="15">
        <v>4973</v>
      </c>
      <c r="C49" s="40" t="s">
        <v>208</v>
      </c>
      <c r="D49" s="40" t="s">
        <v>209</v>
      </c>
      <c r="E49" s="40" t="s">
        <v>210</v>
      </c>
      <c r="F49" s="40">
        <v>2022</v>
      </c>
      <c r="G49" s="41" t="s">
        <v>211</v>
      </c>
      <c r="H49" s="15" t="s">
        <v>32</v>
      </c>
      <c r="I49" s="15" t="s">
        <v>33</v>
      </c>
      <c r="J49" s="32"/>
      <c r="K49" s="15">
        <v>150</v>
      </c>
      <c r="L49" s="15">
        <v>1</v>
      </c>
      <c r="M49" s="18">
        <v>13</v>
      </c>
      <c r="N49" s="18">
        <v>1950</v>
      </c>
      <c r="O49" s="15"/>
      <c r="P49" s="15">
        <v>5</v>
      </c>
      <c r="Q49" s="18" t="s">
        <v>165</v>
      </c>
      <c r="R49" s="15">
        <v>3.7</v>
      </c>
      <c r="S49" s="15">
        <v>1</v>
      </c>
      <c r="T49" s="15">
        <v>16</v>
      </c>
      <c r="U49" s="15">
        <v>16</v>
      </c>
      <c r="V49" s="35">
        <f>S49*(SQRT(U49))</f>
        <v>4</v>
      </c>
      <c r="W49" s="15"/>
      <c r="X49" s="15">
        <v>9.6</v>
      </c>
      <c r="Y49" s="15">
        <v>2</v>
      </c>
      <c r="Z49" s="15">
        <v>20</v>
      </c>
      <c r="AA49" s="15">
        <v>20</v>
      </c>
      <c r="AB49" s="35">
        <f>Y49*(SQRT(AA49))</f>
        <v>8.9442719099991592</v>
      </c>
      <c r="AC49" s="15"/>
    </row>
    <row r="50" spans="1:29" x14ac:dyDescent="0.25">
      <c r="A50" s="15">
        <v>5014</v>
      </c>
      <c r="B50" s="15">
        <v>38703343</v>
      </c>
      <c r="C50" s="15" t="s">
        <v>212</v>
      </c>
      <c r="D50" s="15" t="s">
        <v>213</v>
      </c>
      <c r="E50" s="15" t="s">
        <v>214</v>
      </c>
      <c r="F50" s="15">
        <v>2024</v>
      </c>
      <c r="G50" s="15" t="s">
        <v>215</v>
      </c>
      <c r="H50" s="15" t="s">
        <v>45</v>
      </c>
      <c r="I50" s="15" t="s">
        <v>33</v>
      </c>
      <c r="J50" s="32" t="s">
        <v>88</v>
      </c>
      <c r="K50" s="15">
        <v>360</v>
      </c>
      <c r="L50" s="15">
        <v>1</v>
      </c>
      <c r="M50" s="18">
        <v>21</v>
      </c>
      <c r="N50" s="18">
        <v>7560</v>
      </c>
      <c r="O50" s="15"/>
      <c r="P50" s="15">
        <v>5</v>
      </c>
      <c r="Q50" s="18" t="s">
        <v>683</v>
      </c>
      <c r="R50" s="53" t="s">
        <v>684</v>
      </c>
      <c r="S50" s="53"/>
      <c r="T50" s="53"/>
      <c r="U50" s="53"/>
      <c r="V50" s="53"/>
      <c r="W50" s="15"/>
      <c r="X50" s="53" t="s">
        <v>684</v>
      </c>
      <c r="Y50" s="53"/>
      <c r="Z50" s="53"/>
      <c r="AA50" s="53"/>
      <c r="AB50" s="53"/>
      <c r="AC50" s="15"/>
    </row>
    <row r="51" spans="1:29" x14ac:dyDescent="0.25">
      <c r="A51" s="15">
        <v>5278</v>
      </c>
      <c r="C51" s="15" t="s">
        <v>685</v>
      </c>
      <c r="D51" s="15" t="s">
        <v>686</v>
      </c>
      <c r="E51" s="15" t="s">
        <v>687</v>
      </c>
      <c r="F51" s="15">
        <v>2017</v>
      </c>
      <c r="G51" s="15" t="s">
        <v>688</v>
      </c>
      <c r="H51" s="15" t="s">
        <v>45</v>
      </c>
      <c r="I51" s="15" t="s">
        <v>33</v>
      </c>
      <c r="J51" s="15" t="s">
        <v>34</v>
      </c>
      <c r="K51" s="15">
        <v>180</v>
      </c>
      <c r="L51" s="15">
        <v>1</v>
      </c>
      <c r="M51" s="18">
        <v>14</v>
      </c>
      <c r="N51" s="18">
        <v>2520</v>
      </c>
      <c r="O51" s="15"/>
      <c r="P51" s="15">
        <v>5</v>
      </c>
      <c r="Q51" s="18" t="s">
        <v>71</v>
      </c>
      <c r="R51" s="15">
        <v>80</v>
      </c>
      <c r="S51" s="15">
        <v>30</v>
      </c>
      <c r="T51" s="15">
        <v>10</v>
      </c>
      <c r="U51" s="15">
        <v>10</v>
      </c>
      <c r="V51" s="35">
        <f>S51*(SQRT(U51))</f>
        <v>94.868329805051388</v>
      </c>
      <c r="W51" s="15"/>
      <c r="X51" s="15">
        <v>21</v>
      </c>
      <c r="Y51" s="15">
        <v>14</v>
      </c>
      <c r="Z51" s="15">
        <v>10</v>
      </c>
      <c r="AA51" s="15">
        <v>10</v>
      </c>
      <c r="AB51" s="35">
        <f>Y51*(SQRT(AA51))</f>
        <v>44.271887242357316</v>
      </c>
      <c r="AC51" s="15"/>
    </row>
    <row r="52" spans="1:29" x14ac:dyDescent="0.25">
      <c r="A52" s="15">
        <v>5304</v>
      </c>
      <c r="C52" s="15" t="s">
        <v>689</v>
      </c>
      <c r="D52" s="15" t="s">
        <v>690</v>
      </c>
      <c r="E52" s="15" t="s">
        <v>691</v>
      </c>
      <c r="F52" s="15">
        <v>2017</v>
      </c>
      <c r="G52" s="15" t="s">
        <v>692</v>
      </c>
      <c r="H52" s="15" t="s">
        <v>32</v>
      </c>
      <c r="I52" s="15" t="s">
        <v>33</v>
      </c>
      <c r="J52" s="32"/>
      <c r="K52" s="15">
        <v>60</v>
      </c>
      <c r="L52" s="15">
        <v>1</v>
      </c>
      <c r="M52" s="18">
        <v>16</v>
      </c>
      <c r="N52" s="18">
        <v>960</v>
      </c>
      <c r="O52" s="15" t="s">
        <v>693</v>
      </c>
      <c r="P52" s="15">
        <v>5</v>
      </c>
      <c r="Q52" s="18">
        <v>1</v>
      </c>
      <c r="R52" s="53"/>
      <c r="S52" s="53"/>
      <c r="T52" s="53"/>
      <c r="U52" s="53"/>
      <c r="V52" s="53"/>
      <c r="W52" s="15"/>
      <c r="X52" s="53"/>
      <c r="Y52" s="53"/>
      <c r="Z52" s="53"/>
      <c r="AA52" s="53"/>
      <c r="AB52" s="53"/>
      <c r="AC52" s="15"/>
    </row>
    <row r="53" spans="1:29" x14ac:dyDescent="0.25">
      <c r="A53" s="37">
        <v>5533</v>
      </c>
      <c r="B53" s="37">
        <v>30464774</v>
      </c>
      <c r="C53" s="37" t="s">
        <v>694</v>
      </c>
      <c r="D53" s="37" t="s">
        <v>695</v>
      </c>
      <c r="E53" s="37" t="s">
        <v>696</v>
      </c>
      <c r="F53" s="37">
        <v>2018</v>
      </c>
      <c r="G53" s="37" t="s">
        <v>697</v>
      </c>
      <c r="H53" s="15" t="s">
        <v>45</v>
      </c>
      <c r="I53" s="15" t="s">
        <v>33</v>
      </c>
      <c r="J53" s="32"/>
      <c r="K53" s="15">
        <v>180</v>
      </c>
      <c r="L53" s="15">
        <v>1</v>
      </c>
      <c r="M53" s="51">
        <v>7</v>
      </c>
      <c r="N53" s="18">
        <v>1260</v>
      </c>
      <c r="P53" s="15">
        <v>5</v>
      </c>
      <c r="Q53" s="18" t="s">
        <v>134</v>
      </c>
      <c r="R53" s="15">
        <v>8</v>
      </c>
      <c r="S53" s="19">
        <v>2</v>
      </c>
      <c r="T53" s="15">
        <v>7</v>
      </c>
      <c r="U53" s="15">
        <v>7</v>
      </c>
      <c r="V53" s="35">
        <f>S53*(SQRT(U53))</f>
        <v>5.2915026221291814</v>
      </c>
      <c r="W53" s="15"/>
      <c r="X53" s="15">
        <v>7</v>
      </c>
      <c r="Y53" s="15">
        <v>4</v>
      </c>
      <c r="Z53" s="15">
        <v>7</v>
      </c>
      <c r="AA53" s="15">
        <v>7</v>
      </c>
      <c r="AB53" s="35">
        <f>Y53*(SQRT(AA53))</f>
        <v>10.583005244258363</v>
      </c>
      <c r="AC53" s="15"/>
    </row>
    <row r="54" spans="1:29" x14ac:dyDescent="0.25">
      <c r="A54" s="37">
        <v>5533</v>
      </c>
      <c r="B54" s="37">
        <v>30464774</v>
      </c>
      <c r="C54" s="37" t="s">
        <v>694</v>
      </c>
      <c r="D54" s="37" t="s">
        <v>695</v>
      </c>
      <c r="E54" s="37" t="s">
        <v>696</v>
      </c>
      <c r="F54" s="37">
        <v>2018</v>
      </c>
      <c r="G54" s="37" t="s">
        <v>697</v>
      </c>
      <c r="H54" s="15" t="s">
        <v>45</v>
      </c>
      <c r="I54" s="15" t="s">
        <v>33</v>
      </c>
      <c r="J54" s="32"/>
      <c r="K54" s="15">
        <v>180</v>
      </c>
      <c r="L54" s="15">
        <v>1</v>
      </c>
      <c r="M54" s="51">
        <v>28</v>
      </c>
      <c r="N54" s="18">
        <v>5040</v>
      </c>
      <c r="P54" s="15">
        <v>5</v>
      </c>
      <c r="Q54" s="18" t="s">
        <v>134</v>
      </c>
      <c r="R54" s="15">
        <v>7</v>
      </c>
      <c r="S54" s="15">
        <v>2</v>
      </c>
      <c r="T54" s="15">
        <v>7</v>
      </c>
      <c r="U54" s="15">
        <v>7</v>
      </c>
      <c r="V54" s="35">
        <f>S54*(SQRT(U54))</f>
        <v>5.2915026221291814</v>
      </c>
      <c r="W54" s="15"/>
      <c r="X54" s="15">
        <v>7</v>
      </c>
      <c r="Y54" s="15">
        <v>2</v>
      </c>
      <c r="Z54" s="15">
        <v>7</v>
      </c>
      <c r="AA54" s="15">
        <v>7</v>
      </c>
      <c r="AB54" s="35">
        <f>Y54*(SQRT(AA54))</f>
        <v>5.2915026221291814</v>
      </c>
      <c r="AC54" s="15"/>
    </row>
    <row r="55" spans="1:29" x14ac:dyDescent="0.25">
      <c r="A55" s="15">
        <v>5610</v>
      </c>
      <c r="C55" s="40" t="s">
        <v>260</v>
      </c>
      <c r="D55" s="40" t="s">
        <v>261</v>
      </c>
      <c r="E55" s="40" t="s">
        <v>262</v>
      </c>
      <c r="F55" s="40">
        <v>2025</v>
      </c>
      <c r="G55" s="41" t="s">
        <v>263</v>
      </c>
      <c r="H55" s="15" t="s">
        <v>45</v>
      </c>
      <c r="I55" s="15" t="s">
        <v>33</v>
      </c>
      <c r="J55" s="32"/>
      <c r="K55" s="15">
        <v>480</v>
      </c>
      <c r="L55" s="15">
        <v>1</v>
      </c>
      <c r="M55" s="18">
        <v>14</v>
      </c>
      <c r="N55" s="18">
        <v>6720</v>
      </c>
      <c r="P55" s="15">
        <v>6</v>
      </c>
      <c r="Q55" s="18" t="s">
        <v>698</v>
      </c>
      <c r="R55" s="15">
        <v>30</v>
      </c>
      <c r="S55" s="15">
        <v>5</v>
      </c>
      <c r="T55" s="15">
        <v>8</v>
      </c>
      <c r="U55" s="15">
        <v>8</v>
      </c>
      <c r="V55" s="35">
        <f>S55*(SQRT(U55))</f>
        <v>14.142135623730951</v>
      </c>
      <c r="W55" s="15"/>
      <c r="X55" s="15">
        <v>5</v>
      </c>
      <c r="Y55" s="15">
        <v>1</v>
      </c>
      <c r="Z55" s="15">
        <v>8</v>
      </c>
      <c r="AA55" s="15">
        <v>8</v>
      </c>
      <c r="AB55" s="35">
        <f>Y55*(SQRT(AA55))</f>
        <v>2.8284271247461903</v>
      </c>
      <c r="AC55" s="15"/>
    </row>
    <row r="56" spans="1:29" x14ac:dyDescent="0.25">
      <c r="A56" s="15">
        <v>5687</v>
      </c>
      <c r="C56" s="15" t="s">
        <v>275</v>
      </c>
      <c r="D56" s="15" t="s">
        <v>276</v>
      </c>
      <c r="E56" s="15" t="s">
        <v>277</v>
      </c>
      <c r="F56" s="15">
        <v>2022</v>
      </c>
      <c r="G56" s="15" t="s">
        <v>278</v>
      </c>
      <c r="H56" s="15" t="s">
        <v>32</v>
      </c>
      <c r="I56" s="15" t="s">
        <v>91</v>
      </c>
      <c r="J56" s="32" t="s">
        <v>78</v>
      </c>
      <c r="K56" s="15">
        <v>450</v>
      </c>
      <c r="L56" s="15">
        <v>1</v>
      </c>
      <c r="M56" s="18">
        <v>21</v>
      </c>
      <c r="N56" s="18">
        <v>9450</v>
      </c>
      <c r="P56" s="53"/>
      <c r="Q56" s="33"/>
      <c r="R56" s="53"/>
      <c r="S56" s="53"/>
      <c r="T56" s="53"/>
      <c r="U56" s="53"/>
      <c r="V56" s="53"/>
      <c r="W56" s="15"/>
      <c r="X56" s="53"/>
      <c r="Y56" s="53"/>
      <c r="Z56" s="53"/>
      <c r="AA56" s="53"/>
      <c r="AB56" s="53"/>
      <c r="AC56" s="15"/>
    </row>
    <row r="57" spans="1:29" x14ac:dyDescent="0.25">
      <c r="A57" s="15">
        <v>5729</v>
      </c>
      <c r="B57" s="15">
        <v>39214423</v>
      </c>
      <c r="C57" s="15" t="s">
        <v>699</v>
      </c>
      <c r="D57" s="15" t="s">
        <v>700</v>
      </c>
      <c r="E57" s="15" t="s">
        <v>267</v>
      </c>
      <c r="F57" s="15">
        <v>2024</v>
      </c>
      <c r="G57" s="15" t="s">
        <v>701</v>
      </c>
      <c r="H57" s="15" t="s">
        <v>32</v>
      </c>
      <c r="I57" s="15" t="s">
        <v>33</v>
      </c>
      <c r="J57" s="32"/>
      <c r="K57" s="15">
        <v>360</v>
      </c>
      <c r="L57" s="15">
        <v>1</v>
      </c>
      <c r="M57" s="18">
        <v>28</v>
      </c>
      <c r="N57" s="18">
        <v>10080</v>
      </c>
      <c r="P57" s="15">
        <v>5</v>
      </c>
      <c r="Q57" s="18" t="s">
        <v>112</v>
      </c>
      <c r="R57" s="15">
        <v>37</v>
      </c>
      <c r="S57" s="15">
        <v>2.4</v>
      </c>
      <c r="T57" s="15">
        <v>6</v>
      </c>
      <c r="U57" s="15">
        <v>6</v>
      </c>
      <c r="V57" s="35">
        <f>S57*(SQRT(U57))</f>
        <v>5.8787753826796267</v>
      </c>
      <c r="W57" s="15"/>
      <c r="X57" s="15">
        <v>11</v>
      </c>
      <c r="Y57" s="15">
        <v>0.8</v>
      </c>
      <c r="Z57" s="15">
        <v>6</v>
      </c>
      <c r="AA57" s="15">
        <v>6</v>
      </c>
      <c r="AB57" s="35">
        <f>Y57*(SQRT(AA57))</f>
        <v>1.9595917942265424</v>
      </c>
      <c r="AC57" s="15"/>
    </row>
    <row r="58" spans="1:29" x14ac:dyDescent="0.25">
      <c r="A58" s="15">
        <v>5740</v>
      </c>
      <c r="C58" s="15" t="s">
        <v>702</v>
      </c>
      <c r="D58" s="15" t="s">
        <v>703</v>
      </c>
      <c r="E58" s="15" t="s">
        <v>375</v>
      </c>
      <c r="F58" s="15">
        <v>2024</v>
      </c>
      <c r="G58" s="15" t="s">
        <v>704</v>
      </c>
      <c r="H58" s="15" t="s">
        <v>45</v>
      </c>
      <c r="I58" s="15" t="s">
        <v>33</v>
      </c>
      <c r="J58" s="32" t="s">
        <v>40</v>
      </c>
      <c r="K58" s="15">
        <v>120</v>
      </c>
      <c r="L58" s="15">
        <v>1</v>
      </c>
      <c r="M58" s="18">
        <v>14</v>
      </c>
      <c r="N58" s="18">
        <v>1680</v>
      </c>
      <c r="P58" s="15">
        <v>5</v>
      </c>
      <c r="Q58" s="18" t="s">
        <v>229</v>
      </c>
      <c r="R58" s="15">
        <v>41</v>
      </c>
      <c r="S58" s="15">
        <v>7</v>
      </c>
      <c r="T58" s="15">
        <v>8</v>
      </c>
      <c r="U58" s="15">
        <v>8</v>
      </c>
      <c r="V58" s="35">
        <f>S58*(SQRT(U58))</f>
        <v>19.798989873223331</v>
      </c>
      <c r="W58" s="15"/>
      <c r="X58" s="15">
        <v>21</v>
      </c>
      <c r="Y58" s="15">
        <v>3</v>
      </c>
      <c r="Z58" s="15">
        <v>8</v>
      </c>
      <c r="AA58" s="15">
        <v>8</v>
      </c>
      <c r="AB58" s="35">
        <f>Y58*(SQRT(AA58))</f>
        <v>8.4852813742385713</v>
      </c>
      <c r="AC58" s="15"/>
    </row>
    <row r="59" spans="1:29" x14ac:dyDescent="0.25">
      <c r="A59" s="15">
        <v>5759</v>
      </c>
      <c r="C59" s="15" t="s">
        <v>705</v>
      </c>
      <c r="D59" s="15" t="s">
        <v>706</v>
      </c>
      <c r="E59" s="15" t="s">
        <v>68</v>
      </c>
      <c r="F59" s="15">
        <v>2022</v>
      </c>
      <c r="G59" s="15" t="s">
        <v>707</v>
      </c>
      <c r="H59" s="15" t="s">
        <v>45</v>
      </c>
      <c r="I59" s="15" t="s">
        <v>33</v>
      </c>
      <c r="J59" s="32"/>
      <c r="K59" s="15">
        <v>20</v>
      </c>
      <c r="L59" s="15">
        <v>1</v>
      </c>
      <c r="M59" s="18">
        <v>14</v>
      </c>
      <c r="N59" s="18">
        <v>280</v>
      </c>
      <c r="P59" s="15">
        <v>5</v>
      </c>
      <c r="Q59" s="18" t="s">
        <v>708</v>
      </c>
      <c r="R59" s="53"/>
      <c r="S59" s="53"/>
      <c r="T59" s="53"/>
      <c r="U59" s="53"/>
      <c r="V59" s="53"/>
      <c r="W59" s="15"/>
      <c r="X59" s="53"/>
      <c r="Y59" s="53"/>
      <c r="Z59" s="53"/>
      <c r="AA59" s="53"/>
      <c r="AB59" s="53"/>
      <c r="AC59" s="15"/>
    </row>
    <row r="60" spans="1:29" x14ac:dyDescent="0.25">
      <c r="A60" s="15">
        <v>5946</v>
      </c>
      <c r="C60" s="40" t="s">
        <v>709</v>
      </c>
      <c r="D60" s="40" t="s">
        <v>710</v>
      </c>
      <c r="E60" s="40" t="s">
        <v>711</v>
      </c>
      <c r="F60" s="40">
        <v>2022</v>
      </c>
      <c r="G60" s="41" t="s">
        <v>712</v>
      </c>
      <c r="H60" s="15" t="s">
        <v>713</v>
      </c>
      <c r="I60" s="15" t="s">
        <v>33</v>
      </c>
      <c r="J60" s="32" t="s">
        <v>461</v>
      </c>
      <c r="K60" s="15">
        <v>60</v>
      </c>
      <c r="L60" s="15">
        <v>1</v>
      </c>
      <c r="M60" s="18">
        <v>28</v>
      </c>
      <c r="N60" s="18">
        <v>1680</v>
      </c>
      <c r="P60" s="15">
        <v>5</v>
      </c>
      <c r="Q60" s="33"/>
      <c r="R60" s="53"/>
      <c r="S60" s="53"/>
      <c r="T60" s="53"/>
      <c r="U60" s="53"/>
      <c r="V60" s="53"/>
      <c r="W60" s="15"/>
      <c r="X60" s="53"/>
      <c r="Y60" s="53"/>
      <c r="Z60" s="53"/>
      <c r="AA60" s="53"/>
      <c r="AB60" s="53"/>
      <c r="AC60" s="15"/>
    </row>
    <row r="61" spans="1:29" x14ac:dyDescent="0.25">
      <c r="A61" s="15">
        <v>6148</v>
      </c>
      <c r="C61" s="15" t="s">
        <v>714</v>
      </c>
      <c r="D61" s="15" t="s">
        <v>715</v>
      </c>
      <c r="E61" s="15" t="s">
        <v>716</v>
      </c>
      <c r="F61" s="15">
        <v>2018</v>
      </c>
      <c r="G61" s="15" t="s">
        <v>717</v>
      </c>
      <c r="H61" s="15" t="s">
        <v>45</v>
      </c>
      <c r="I61" s="15" t="s">
        <v>33</v>
      </c>
      <c r="J61" s="32" t="s">
        <v>718</v>
      </c>
      <c r="K61" s="15">
        <v>120</v>
      </c>
      <c r="L61" s="15">
        <v>1</v>
      </c>
      <c r="M61" s="18">
        <v>10</v>
      </c>
      <c r="N61" s="18">
        <v>1200</v>
      </c>
      <c r="P61" s="15">
        <v>5</v>
      </c>
      <c r="Q61" s="18" t="s">
        <v>388</v>
      </c>
      <c r="R61" s="15">
        <v>19</v>
      </c>
      <c r="S61" s="15">
        <v>4</v>
      </c>
      <c r="T61" s="63" t="s">
        <v>719</v>
      </c>
      <c r="U61" s="15">
        <v>10</v>
      </c>
      <c r="V61" s="35">
        <f>S61*(SQRT(U61))</f>
        <v>12.649110640673518</v>
      </c>
      <c r="W61" s="15"/>
      <c r="X61" s="15">
        <v>0.3</v>
      </c>
      <c r="Y61" s="15">
        <v>0.2</v>
      </c>
      <c r="Z61" s="63" t="s">
        <v>719</v>
      </c>
      <c r="AA61" s="15">
        <v>10</v>
      </c>
      <c r="AB61" s="35">
        <f>Y61*(SQRT(AA61))</f>
        <v>0.63245553203367599</v>
      </c>
      <c r="AC61" s="15"/>
    </row>
    <row r="62" spans="1:29" x14ac:dyDescent="0.25">
      <c r="A62" s="15">
        <v>6180</v>
      </c>
      <c r="C62" s="15" t="s">
        <v>720</v>
      </c>
      <c r="D62" s="15" t="s">
        <v>721</v>
      </c>
      <c r="E62" s="15" t="s">
        <v>722</v>
      </c>
      <c r="F62" s="15">
        <v>2021</v>
      </c>
      <c r="G62" s="15" t="str">
        <f>HYPERLINK("http://dx.doi.org/10.3389/fnins.2021.646537.s001","http://dx.doi.org/10.3389/fnins.2021.646537.s001")</f>
        <v>http://dx.doi.org/10.3389/fnins.2021.646537.s001</v>
      </c>
      <c r="H62" s="15" t="s">
        <v>32</v>
      </c>
      <c r="I62" s="15" t="s">
        <v>33</v>
      </c>
      <c r="J62" s="32" t="s">
        <v>34</v>
      </c>
      <c r="K62" s="15">
        <v>360</v>
      </c>
      <c r="L62" s="15">
        <v>1</v>
      </c>
      <c r="M62" s="18">
        <v>14</v>
      </c>
      <c r="N62" s="18">
        <v>5040</v>
      </c>
      <c r="P62" s="33" t="s">
        <v>143</v>
      </c>
      <c r="Q62" s="18" t="s">
        <v>46</v>
      </c>
      <c r="R62" s="15">
        <v>31</v>
      </c>
      <c r="S62" s="15">
        <v>1.3</v>
      </c>
      <c r="T62" s="15">
        <v>10</v>
      </c>
      <c r="U62" s="15">
        <v>10</v>
      </c>
      <c r="V62" s="35">
        <f>S62*(SQRT(U62))</f>
        <v>4.110960958218894</v>
      </c>
      <c r="W62" s="15"/>
      <c r="X62" s="15">
        <v>3</v>
      </c>
      <c r="Y62" s="15">
        <v>0.4</v>
      </c>
      <c r="Z62" s="15">
        <v>10</v>
      </c>
      <c r="AA62" s="15">
        <v>10</v>
      </c>
      <c r="AB62" s="35">
        <f>Y62*(SQRT(AA62))</f>
        <v>1.264911064067352</v>
      </c>
      <c r="AC62" s="15"/>
    </row>
    <row r="63" spans="1:29" x14ac:dyDescent="0.25">
      <c r="A63" s="15">
        <v>6517</v>
      </c>
      <c r="C63" s="40" t="s">
        <v>542</v>
      </c>
      <c r="D63" s="40" t="s">
        <v>543</v>
      </c>
      <c r="E63" s="40" t="s">
        <v>544</v>
      </c>
      <c r="F63" s="40">
        <v>2024</v>
      </c>
      <c r="G63" s="41" t="s">
        <v>545</v>
      </c>
      <c r="H63" s="15" t="s">
        <v>32</v>
      </c>
      <c r="I63" s="15" t="s">
        <v>33</v>
      </c>
      <c r="J63" s="32"/>
      <c r="K63" s="15">
        <v>60</v>
      </c>
      <c r="L63" s="15">
        <v>2</v>
      </c>
      <c r="M63" s="18">
        <v>21</v>
      </c>
      <c r="N63" s="18">
        <v>2520</v>
      </c>
      <c r="P63" s="15">
        <v>10</v>
      </c>
      <c r="Q63" s="33"/>
      <c r="R63" s="53"/>
      <c r="S63" s="53"/>
      <c r="T63" s="53"/>
      <c r="U63" s="53"/>
      <c r="V63" s="53"/>
      <c r="W63" s="15"/>
      <c r="X63" s="53"/>
      <c r="Y63" s="53"/>
      <c r="Z63" s="53"/>
      <c r="AA63" s="53"/>
      <c r="AB63" s="53"/>
      <c r="AC63" s="15"/>
    </row>
    <row r="64" spans="1:29" x14ac:dyDescent="0.25">
      <c r="A64" s="15">
        <v>6584</v>
      </c>
      <c r="C64" s="15" t="s">
        <v>723</v>
      </c>
      <c r="D64" s="15" t="s">
        <v>724</v>
      </c>
      <c r="E64" s="15" t="s">
        <v>725</v>
      </c>
      <c r="F64" s="15">
        <v>2020</v>
      </c>
      <c r="G64" s="15" t="s">
        <v>726</v>
      </c>
      <c r="H64" s="15" t="s">
        <v>45</v>
      </c>
      <c r="I64" s="15" t="s">
        <v>33</v>
      </c>
      <c r="J64" s="32" t="s">
        <v>196</v>
      </c>
      <c r="K64" s="15">
        <v>120</v>
      </c>
      <c r="L64" s="15">
        <v>1</v>
      </c>
      <c r="M64" s="18">
        <v>1</v>
      </c>
      <c r="N64" s="18">
        <v>120</v>
      </c>
      <c r="P64" s="15">
        <v>5</v>
      </c>
      <c r="Q64" s="18" t="s">
        <v>388</v>
      </c>
      <c r="R64" s="15">
        <v>48</v>
      </c>
      <c r="S64" s="15">
        <v>3</v>
      </c>
      <c r="T64" s="15">
        <v>25</v>
      </c>
      <c r="U64" s="15">
        <v>25</v>
      </c>
      <c r="V64" s="35">
        <f>S64*(SQRT(U64))</f>
        <v>15</v>
      </c>
      <c r="W64" s="15"/>
      <c r="X64" s="15">
        <v>24</v>
      </c>
      <c r="Y64" s="15">
        <v>4</v>
      </c>
      <c r="Z64" s="15">
        <v>30</v>
      </c>
      <c r="AA64" s="15">
        <v>30</v>
      </c>
      <c r="AB64" s="35">
        <f>Y64*(SQRT(AA64))</f>
        <v>21.908902300206645</v>
      </c>
      <c r="AC64" s="15"/>
    </row>
    <row r="65" spans="1:29" x14ac:dyDescent="0.25">
      <c r="A65" s="15">
        <v>6666</v>
      </c>
      <c r="C65" s="15" t="s">
        <v>727</v>
      </c>
      <c r="D65" s="15" t="s">
        <v>728</v>
      </c>
      <c r="E65" s="15" t="s">
        <v>729</v>
      </c>
      <c r="F65" s="15">
        <v>2017</v>
      </c>
      <c r="G65" s="15" t="s">
        <v>730</v>
      </c>
      <c r="H65" s="15" t="s">
        <v>45</v>
      </c>
      <c r="I65" s="15" t="s">
        <v>33</v>
      </c>
      <c r="J65" s="32" t="s">
        <v>158</v>
      </c>
      <c r="K65" s="15">
        <v>360</v>
      </c>
      <c r="L65" s="15">
        <v>1</v>
      </c>
      <c r="M65" s="18">
        <v>21</v>
      </c>
      <c r="N65" s="18">
        <v>7560</v>
      </c>
      <c r="P65" s="15">
        <v>2</v>
      </c>
      <c r="Q65" s="18" t="s">
        <v>53</v>
      </c>
      <c r="R65" s="53"/>
      <c r="S65" s="53"/>
      <c r="T65" s="53"/>
      <c r="U65" s="53"/>
      <c r="V65" s="53"/>
      <c r="W65" s="15"/>
      <c r="X65" s="53"/>
      <c r="Y65" s="53"/>
      <c r="Z65" s="53"/>
      <c r="AA65" s="53"/>
      <c r="AB65" s="53"/>
      <c r="AC65" s="15"/>
    </row>
    <row r="66" spans="1:29" x14ac:dyDescent="0.25">
      <c r="A66" s="15">
        <v>6728</v>
      </c>
      <c r="B66" s="15">
        <v>35873784</v>
      </c>
      <c r="C66" s="15" t="s">
        <v>546</v>
      </c>
      <c r="D66" s="15" t="s">
        <v>547</v>
      </c>
      <c r="E66" s="15" t="s">
        <v>548</v>
      </c>
      <c r="F66" s="15">
        <v>2022</v>
      </c>
      <c r="G66" s="15" t="s">
        <v>549</v>
      </c>
      <c r="H66" s="15" t="s">
        <v>32</v>
      </c>
      <c r="I66" s="15" t="s">
        <v>33</v>
      </c>
      <c r="J66" s="32"/>
      <c r="K66" s="15">
        <v>180</v>
      </c>
      <c r="L66" s="15">
        <v>1</v>
      </c>
      <c r="M66" s="18">
        <v>21</v>
      </c>
      <c r="N66" s="18">
        <v>3780</v>
      </c>
      <c r="P66" s="15">
        <v>5</v>
      </c>
      <c r="Q66" s="18" t="s">
        <v>180</v>
      </c>
      <c r="R66" s="15">
        <v>26</v>
      </c>
      <c r="S66" s="15" t="s">
        <v>65</v>
      </c>
      <c r="T66" s="15">
        <v>8</v>
      </c>
      <c r="U66" s="15"/>
      <c r="V66" s="15">
        <v>17</v>
      </c>
      <c r="W66" s="15"/>
      <c r="X66" s="15">
        <v>6</v>
      </c>
      <c r="Y66" s="15" t="s">
        <v>65</v>
      </c>
      <c r="Z66" s="15">
        <v>8</v>
      </c>
      <c r="AA66" s="15"/>
      <c r="AB66" s="15">
        <v>7</v>
      </c>
      <c r="AC66" s="15"/>
    </row>
    <row r="67" spans="1:29" x14ac:dyDescent="0.25">
      <c r="A67" s="15">
        <v>6826</v>
      </c>
      <c r="B67" s="15">
        <v>34025340</v>
      </c>
      <c r="C67" s="15" t="s">
        <v>731</v>
      </c>
      <c r="D67" s="15" t="s">
        <v>732</v>
      </c>
      <c r="E67" s="15" t="s">
        <v>315</v>
      </c>
      <c r="F67" s="15">
        <v>2021</v>
      </c>
      <c r="G67" s="15" t="s">
        <v>733</v>
      </c>
      <c r="H67" s="15" t="s">
        <v>32</v>
      </c>
      <c r="I67" s="15" t="s">
        <v>33</v>
      </c>
      <c r="J67" s="32"/>
      <c r="K67" s="15">
        <v>360</v>
      </c>
      <c r="L67" s="15">
        <v>1</v>
      </c>
      <c r="M67" s="18">
        <v>14</v>
      </c>
      <c r="N67" s="18">
        <v>5040</v>
      </c>
      <c r="P67" s="53"/>
      <c r="Q67" s="33"/>
      <c r="R67" s="53"/>
      <c r="S67" s="53"/>
      <c r="T67" s="53"/>
      <c r="U67" s="53"/>
      <c r="V67" s="53"/>
      <c r="W67" s="15"/>
      <c r="X67" s="53"/>
      <c r="Y67" s="53"/>
      <c r="Z67" s="53"/>
      <c r="AA67" s="53"/>
      <c r="AB67" s="53"/>
      <c r="AC67" s="15"/>
    </row>
    <row r="68" spans="1:29" x14ac:dyDescent="0.25">
      <c r="A68" s="15">
        <v>6987</v>
      </c>
      <c r="B68" s="15">
        <v>33276022</v>
      </c>
      <c r="C68" s="15" t="s">
        <v>318</v>
      </c>
      <c r="D68" s="15" t="s">
        <v>319</v>
      </c>
      <c r="E68" s="15" t="s">
        <v>299</v>
      </c>
      <c r="F68" s="15">
        <v>2021</v>
      </c>
      <c r="G68" s="15" t="s">
        <v>320</v>
      </c>
      <c r="H68" s="15" t="s">
        <v>32</v>
      </c>
      <c r="I68" s="15" t="s">
        <v>33</v>
      </c>
      <c r="J68" s="32">
        <v>12</v>
      </c>
      <c r="K68" s="15">
        <v>390</v>
      </c>
      <c r="L68" s="15">
        <v>1</v>
      </c>
      <c r="M68" s="18">
        <v>21</v>
      </c>
      <c r="N68" s="18">
        <v>8190</v>
      </c>
      <c r="P68" s="15">
        <v>5</v>
      </c>
      <c r="Q68" s="18" t="s">
        <v>734</v>
      </c>
      <c r="R68" s="15">
        <v>69</v>
      </c>
      <c r="S68" s="15">
        <v>23</v>
      </c>
      <c r="T68" s="15">
        <v>5</v>
      </c>
      <c r="U68" s="15">
        <v>5</v>
      </c>
      <c r="V68" s="35">
        <f>S68*(SQRT(U68))</f>
        <v>51.429563482495169</v>
      </c>
      <c r="W68" s="15"/>
      <c r="X68" s="15">
        <v>7</v>
      </c>
      <c r="Y68" s="15">
        <v>2</v>
      </c>
      <c r="Z68" s="15">
        <v>6</v>
      </c>
      <c r="AA68" s="15">
        <v>6</v>
      </c>
      <c r="AB68" s="35">
        <f>Y68*(SQRT(AA68))</f>
        <v>4.8989794855663558</v>
      </c>
      <c r="AC68" s="15"/>
    </row>
    <row r="69" spans="1:29" x14ac:dyDescent="0.25">
      <c r="A69" s="15">
        <v>7023</v>
      </c>
      <c r="B69" s="15">
        <v>26947756</v>
      </c>
      <c r="C69" s="15" t="s">
        <v>329</v>
      </c>
      <c r="D69" s="15" t="s">
        <v>330</v>
      </c>
      <c r="E69" s="15" t="s">
        <v>267</v>
      </c>
      <c r="F69" s="15">
        <v>2016</v>
      </c>
      <c r="G69" s="15" t="s">
        <v>331</v>
      </c>
      <c r="H69" s="15" t="s">
        <v>32</v>
      </c>
      <c r="I69" s="15" t="s">
        <v>33</v>
      </c>
      <c r="J69" s="32"/>
      <c r="K69" s="15">
        <v>360</v>
      </c>
      <c r="L69" s="15">
        <v>1</v>
      </c>
      <c r="M69" s="18">
        <v>21</v>
      </c>
      <c r="N69" s="18">
        <v>7560</v>
      </c>
      <c r="P69" s="15">
        <v>5</v>
      </c>
      <c r="Q69" s="18" t="s">
        <v>185</v>
      </c>
      <c r="R69" s="15">
        <v>33</v>
      </c>
      <c r="S69" s="15">
        <v>12</v>
      </c>
      <c r="T69" s="15">
        <v>8</v>
      </c>
      <c r="U69" s="15">
        <v>8</v>
      </c>
      <c r="V69" s="35">
        <f>S69*(SQRT(U69))</f>
        <v>33.941125496954285</v>
      </c>
      <c r="W69" s="15"/>
      <c r="X69" s="15">
        <v>26</v>
      </c>
      <c r="Y69" s="15">
        <v>16</v>
      </c>
      <c r="Z69" s="15">
        <v>8</v>
      </c>
      <c r="AA69" s="15">
        <v>8</v>
      </c>
      <c r="AB69" s="35">
        <f>Y69*(SQRT(AA69))</f>
        <v>45.254833995939045</v>
      </c>
      <c r="AC69" s="15"/>
    </row>
    <row r="70" spans="1:29" x14ac:dyDescent="0.25">
      <c r="A70" s="15">
        <v>7075</v>
      </c>
      <c r="C70" s="40" t="s">
        <v>735</v>
      </c>
      <c r="D70" s="40" t="s">
        <v>736</v>
      </c>
      <c r="E70" s="40" t="s">
        <v>737</v>
      </c>
      <c r="F70" s="40">
        <v>2019</v>
      </c>
      <c r="G70" s="41" t="s">
        <v>738</v>
      </c>
      <c r="H70" s="15" t="s">
        <v>45</v>
      </c>
      <c r="I70" s="15" t="s">
        <v>33</v>
      </c>
      <c r="J70" s="32"/>
      <c r="K70" s="15">
        <v>360</v>
      </c>
      <c r="L70" s="15">
        <v>1</v>
      </c>
      <c r="M70" s="18">
        <v>21</v>
      </c>
      <c r="N70" s="18">
        <v>7560</v>
      </c>
      <c r="P70" s="15">
        <v>5</v>
      </c>
      <c r="Q70" s="33"/>
      <c r="R70" s="53"/>
      <c r="S70" s="53"/>
      <c r="T70" s="53"/>
      <c r="U70" s="53"/>
      <c r="V70" s="53"/>
      <c r="W70" s="15"/>
      <c r="X70" s="53"/>
      <c r="Y70" s="53"/>
      <c r="Z70" s="53"/>
      <c r="AA70" s="53"/>
      <c r="AB70" s="53"/>
      <c r="AC70" s="15"/>
    </row>
    <row r="71" spans="1:29" x14ac:dyDescent="0.25">
      <c r="A71" s="37">
        <v>7291</v>
      </c>
      <c r="B71" s="37">
        <v>39178027</v>
      </c>
      <c r="C71" s="37" t="s">
        <v>739</v>
      </c>
      <c r="D71" s="37" t="s">
        <v>740</v>
      </c>
      <c r="E71" s="37" t="s">
        <v>741</v>
      </c>
      <c r="F71" s="37">
        <v>2024</v>
      </c>
      <c r="G71" s="37" t="s">
        <v>742</v>
      </c>
      <c r="H71" s="15" t="s">
        <v>45</v>
      </c>
      <c r="I71" s="37" t="s">
        <v>33</v>
      </c>
      <c r="J71" s="32">
        <v>10</v>
      </c>
      <c r="K71" s="15">
        <v>60</v>
      </c>
      <c r="L71" s="15">
        <v>1</v>
      </c>
      <c r="M71" s="18">
        <v>28</v>
      </c>
      <c r="N71" s="18">
        <v>1680</v>
      </c>
      <c r="P71" s="15">
        <v>5</v>
      </c>
      <c r="Q71" s="18" t="s">
        <v>71</v>
      </c>
      <c r="R71" s="15">
        <v>2.4</v>
      </c>
      <c r="S71" s="15" t="s">
        <v>65</v>
      </c>
      <c r="T71" s="15">
        <v>9</v>
      </c>
      <c r="U71" s="15"/>
      <c r="V71" s="15">
        <v>3.8</v>
      </c>
      <c r="W71" s="15"/>
      <c r="X71" s="15">
        <v>28.1</v>
      </c>
      <c r="Y71" s="15" t="s">
        <v>65</v>
      </c>
      <c r="Z71" s="15">
        <v>8</v>
      </c>
      <c r="AA71" s="15"/>
      <c r="AB71" s="15">
        <v>24</v>
      </c>
      <c r="AC71" s="15"/>
    </row>
    <row r="72" spans="1:29" x14ac:dyDescent="0.25">
      <c r="A72" s="37">
        <v>7291</v>
      </c>
      <c r="B72" s="37">
        <v>39178027</v>
      </c>
      <c r="C72" s="37" t="s">
        <v>739</v>
      </c>
      <c r="D72" s="37" t="s">
        <v>740</v>
      </c>
      <c r="E72" s="37" t="s">
        <v>741</v>
      </c>
      <c r="F72" s="37">
        <v>2024</v>
      </c>
      <c r="G72" s="37" t="s">
        <v>742</v>
      </c>
      <c r="H72" s="15" t="s">
        <v>45</v>
      </c>
      <c r="I72" s="37" t="s">
        <v>91</v>
      </c>
      <c r="J72" s="32">
        <v>10</v>
      </c>
      <c r="K72" s="15">
        <v>60</v>
      </c>
      <c r="L72" s="15">
        <v>1</v>
      </c>
      <c r="M72" s="18">
        <v>28</v>
      </c>
      <c r="N72" s="18">
        <v>1680</v>
      </c>
      <c r="P72" s="15">
        <v>5</v>
      </c>
      <c r="Q72" s="18" t="s">
        <v>71</v>
      </c>
      <c r="R72" s="15">
        <v>37.6</v>
      </c>
      <c r="S72" s="15" t="s">
        <v>65</v>
      </c>
      <c r="T72" s="15">
        <v>9</v>
      </c>
      <c r="U72" s="15"/>
      <c r="V72" s="15">
        <v>25.2</v>
      </c>
      <c r="W72" s="15"/>
      <c r="X72" s="15">
        <v>39</v>
      </c>
      <c r="Y72" s="15" t="s">
        <v>65</v>
      </c>
      <c r="Z72" s="15">
        <v>9</v>
      </c>
      <c r="AA72" s="15"/>
      <c r="AB72" s="15">
        <v>29.6</v>
      </c>
      <c r="AC72" s="15"/>
    </row>
    <row r="73" spans="1:29" x14ac:dyDescent="0.25">
      <c r="A73" s="15">
        <v>7338</v>
      </c>
      <c r="B73" s="15">
        <v>34780859</v>
      </c>
      <c r="C73" s="15" t="s">
        <v>743</v>
      </c>
      <c r="D73" s="15" t="s">
        <v>744</v>
      </c>
      <c r="E73" s="15" t="s">
        <v>267</v>
      </c>
      <c r="F73" s="15">
        <v>2022</v>
      </c>
      <c r="G73" s="15" t="s">
        <v>745</v>
      </c>
      <c r="H73" s="15" t="s">
        <v>746</v>
      </c>
      <c r="I73" s="15" t="s">
        <v>33</v>
      </c>
      <c r="J73" s="32">
        <v>24</v>
      </c>
      <c r="K73" s="15">
        <v>60</v>
      </c>
      <c r="L73" s="15">
        <v>1</v>
      </c>
      <c r="M73" s="18">
        <v>14</v>
      </c>
      <c r="N73" s="18">
        <v>840</v>
      </c>
      <c r="O73" s="15"/>
      <c r="P73" s="15">
        <v>5</v>
      </c>
      <c r="Q73" s="18" t="s">
        <v>229</v>
      </c>
      <c r="R73" s="15">
        <v>126</v>
      </c>
      <c r="S73" s="15">
        <v>20</v>
      </c>
      <c r="T73" s="15">
        <v>14</v>
      </c>
      <c r="U73" s="15">
        <v>14</v>
      </c>
      <c r="V73" s="35">
        <f>S73*(SQRT(U73))</f>
        <v>74.833147735478832</v>
      </c>
      <c r="W73" s="15"/>
      <c r="X73" s="15">
        <v>61</v>
      </c>
      <c r="Y73" s="15">
        <v>9</v>
      </c>
      <c r="Z73" s="15">
        <v>15</v>
      </c>
      <c r="AA73" s="15">
        <v>15</v>
      </c>
      <c r="AB73" s="35">
        <f>Y73*(SQRT(AA73))</f>
        <v>34.856850115866756</v>
      </c>
      <c r="AC73" s="15"/>
    </row>
    <row r="74" spans="1:29" x14ac:dyDescent="0.25">
      <c r="A74" s="15">
        <v>7339</v>
      </c>
      <c r="C74" s="15" t="s">
        <v>336</v>
      </c>
      <c r="D74" s="15" t="s">
        <v>337</v>
      </c>
      <c r="E74" s="15" t="s">
        <v>338</v>
      </c>
      <c r="F74" s="15">
        <v>2022</v>
      </c>
      <c r="G74" s="15" t="s">
        <v>339</v>
      </c>
      <c r="H74" s="15" t="s">
        <v>45</v>
      </c>
      <c r="I74" s="15" t="s">
        <v>33</v>
      </c>
      <c r="J74" s="32"/>
      <c r="K74" s="15">
        <v>120</v>
      </c>
      <c r="L74" s="15">
        <v>1</v>
      </c>
      <c r="M74" s="18">
        <v>14</v>
      </c>
      <c r="N74" s="18">
        <v>1680</v>
      </c>
      <c r="O74" s="15"/>
      <c r="P74" s="15">
        <v>5</v>
      </c>
      <c r="Q74" s="18" t="s">
        <v>229</v>
      </c>
      <c r="R74" s="53"/>
      <c r="S74" s="53"/>
      <c r="T74" s="53"/>
      <c r="U74" s="53"/>
      <c r="V74" s="53"/>
      <c r="W74" s="15"/>
      <c r="X74" s="53"/>
      <c r="Y74" s="53"/>
      <c r="Z74" s="53"/>
      <c r="AA74" s="53"/>
      <c r="AB74" s="53"/>
      <c r="AC74" s="15"/>
    </row>
    <row r="75" spans="1:29" x14ac:dyDescent="0.25">
      <c r="A75" s="15">
        <v>7440</v>
      </c>
      <c r="B75" s="15">
        <v>37201894</v>
      </c>
      <c r="C75" s="15" t="s">
        <v>340</v>
      </c>
      <c r="D75" s="15" t="s">
        <v>341</v>
      </c>
      <c r="E75" s="15" t="s">
        <v>267</v>
      </c>
      <c r="F75" s="15">
        <v>2023</v>
      </c>
      <c r="G75" s="15" t="s">
        <v>342</v>
      </c>
      <c r="H75" s="15" t="s">
        <v>32</v>
      </c>
      <c r="I75" s="15" t="s">
        <v>33</v>
      </c>
      <c r="J75" s="32" t="s">
        <v>196</v>
      </c>
      <c r="K75" s="15">
        <v>240</v>
      </c>
      <c r="L75" s="15">
        <v>1</v>
      </c>
      <c r="M75" s="18">
        <v>35</v>
      </c>
      <c r="N75" s="18">
        <v>8400</v>
      </c>
      <c r="O75" s="15"/>
      <c r="P75" s="15">
        <v>5</v>
      </c>
      <c r="Q75" s="18" t="s">
        <v>118</v>
      </c>
      <c r="R75" s="15">
        <v>40</v>
      </c>
      <c r="S75" s="15" t="s">
        <v>65</v>
      </c>
      <c r="T75" s="15">
        <v>11</v>
      </c>
      <c r="U75" s="15"/>
      <c r="V75" s="15">
        <v>31</v>
      </c>
      <c r="W75" s="15"/>
      <c r="X75" s="15">
        <v>15</v>
      </c>
      <c r="Y75" s="15" t="s">
        <v>65</v>
      </c>
      <c r="Z75" s="15">
        <v>10</v>
      </c>
      <c r="AA75" s="15"/>
      <c r="AB75" s="15">
        <v>21</v>
      </c>
      <c r="AC75" s="15"/>
    </row>
    <row r="76" spans="1:29" x14ac:dyDescent="0.25">
      <c r="A76" s="15">
        <v>7660</v>
      </c>
      <c r="C76" s="15" t="s">
        <v>348</v>
      </c>
      <c r="D76" s="15" t="s">
        <v>349</v>
      </c>
      <c r="E76" s="15" t="s">
        <v>68</v>
      </c>
      <c r="F76" s="15">
        <v>2024</v>
      </c>
      <c r="G76" s="15" t="s">
        <v>350</v>
      </c>
      <c r="H76" s="15" t="s">
        <v>351</v>
      </c>
      <c r="I76" s="15" t="s">
        <v>351</v>
      </c>
      <c r="J76" s="15" t="s">
        <v>351</v>
      </c>
      <c r="K76" s="15">
        <v>360</v>
      </c>
      <c r="L76" s="15">
        <v>1</v>
      </c>
      <c r="M76" s="18">
        <v>21</v>
      </c>
      <c r="N76" s="18">
        <v>7560</v>
      </c>
      <c r="O76" s="15" t="s">
        <v>352</v>
      </c>
      <c r="P76" s="15">
        <v>5</v>
      </c>
      <c r="Q76" s="53"/>
      <c r="R76" s="53"/>
      <c r="S76" s="53"/>
      <c r="T76" s="53"/>
      <c r="U76" s="53"/>
      <c r="V76" s="53"/>
      <c r="W76" s="15"/>
      <c r="X76" s="53"/>
      <c r="Y76" s="53"/>
      <c r="Z76" s="53"/>
      <c r="AA76" s="53"/>
      <c r="AB76" s="53"/>
      <c r="AC76" s="15"/>
    </row>
    <row r="77" spans="1:29" x14ac:dyDescent="0.25">
      <c r="A77" s="15">
        <v>8266</v>
      </c>
      <c r="B77" s="15">
        <v>37152003</v>
      </c>
      <c r="C77" s="15" t="s">
        <v>747</v>
      </c>
      <c r="D77" s="15" t="s">
        <v>748</v>
      </c>
      <c r="E77" s="15" t="s">
        <v>749</v>
      </c>
      <c r="F77" s="15">
        <v>2023</v>
      </c>
      <c r="G77" s="15" t="s">
        <v>750</v>
      </c>
      <c r="H77" s="15" t="s">
        <v>45</v>
      </c>
      <c r="I77" s="15" t="s">
        <v>33</v>
      </c>
      <c r="J77" s="32"/>
      <c r="K77" s="15">
        <v>120</v>
      </c>
      <c r="L77" s="15">
        <v>1</v>
      </c>
      <c r="M77" s="18">
        <v>14</v>
      </c>
      <c r="N77" s="18">
        <v>1680</v>
      </c>
      <c r="O77" s="15"/>
      <c r="P77" s="15">
        <v>5</v>
      </c>
      <c r="Q77" s="18" t="s">
        <v>134</v>
      </c>
      <c r="R77" s="15">
        <v>43</v>
      </c>
      <c r="S77" s="15">
        <v>3</v>
      </c>
      <c r="T77" s="15">
        <v>8</v>
      </c>
      <c r="U77" s="15">
        <v>8</v>
      </c>
      <c r="V77" s="35">
        <f>S77*(SQRT(U77))</f>
        <v>8.4852813742385713</v>
      </c>
      <c r="W77" s="15"/>
      <c r="X77" s="15">
        <v>20</v>
      </c>
      <c r="Y77" s="15">
        <v>5</v>
      </c>
      <c r="Z77" s="15">
        <v>8</v>
      </c>
      <c r="AA77" s="15">
        <v>8</v>
      </c>
      <c r="AB77" s="35">
        <f>Y77*(SQRT(AA77))</f>
        <v>14.142135623730951</v>
      </c>
      <c r="AC77" s="15"/>
    </row>
    <row r="78" spans="1:29" x14ac:dyDescent="0.25">
      <c r="A78" s="15">
        <v>8548</v>
      </c>
      <c r="C78" s="15" t="s">
        <v>378</v>
      </c>
      <c r="D78" s="15" t="s">
        <v>379</v>
      </c>
      <c r="E78" s="15" t="s">
        <v>380</v>
      </c>
      <c r="F78" s="15">
        <v>2024</v>
      </c>
      <c r="G78" s="15" t="s">
        <v>381</v>
      </c>
      <c r="H78" s="15" t="s">
        <v>382</v>
      </c>
      <c r="I78" s="15" t="s">
        <v>33</v>
      </c>
      <c r="J78" s="32"/>
      <c r="K78" s="15">
        <v>120</v>
      </c>
      <c r="L78" s="15">
        <v>1</v>
      </c>
      <c r="M78" s="18">
        <v>14</v>
      </c>
      <c r="N78" s="18">
        <v>1680</v>
      </c>
      <c r="O78" s="15"/>
      <c r="P78" s="15">
        <v>5</v>
      </c>
      <c r="Q78" s="18" t="s">
        <v>234</v>
      </c>
      <c r="R78" s="15">
        <v>6</v>
      </c>
      <c r="S78" s="19">
        <v>2.7</v>
      </c>
      <c r="T78" s="15">
        <v>12</v>
      </c>
      <c r="U78" s="15">
        <v>12</v>
      </c>
      <c r="V78" s="35">
        <f>S78*(SQRT(U78))</f>
        <v>9.353074360871938</v>
      </c>
      <c r="W78" s="15"/>
      <c r="X78" s="15">
        <v>10</v>
      </c>
      <c r="Y78" s="15">
        <v>2.6</v>
      </c>
      <c r="Z78" s="15">
        <v>12</v>
      </c>
      <c r="AA78" s="15">
        <v>12</v>
      </c>
      <c r="AB78" s="35">
        <f>Y78*(SQRT(AA78))</f>
        <v>9.0066641993581609</v>
      </c>
      <c r="AC78" s="15"/>
    </row>
    <row r="79" spans="1:29" x14ac:dyDescent="0.25">
      <c r="A79" s="15">
        <v>8631</v>
      </c>
      <c r="B79" s="15">
        <v>32813905</v>
      </c>
      <c r="C79" s="15" t="s">
        <v>751</v>
      </c>
      <c r="D79" s="15" t="s">
        <v>752</v>
      </c>
      <c r="E79" s="15" t="s">
        <v>100</v>
      </c>
      <c r="F79" s="15">
        <v>2022</v>
      </c>
      <c r="G79" s="15" t="s">
        <v>753</v>
      </c>
      <c r="H79" s="15" t="s">
        <v>754</v>
      </c>
      <c r="I79" s="15" t="s">
        <v>33</v>
      </c>
      <c r="J79" s="32">
        <v>8</v>
      </c>
      <c r="K79" s="15">
        <v>240</v>
      </c>
      <c r="L79" s="15">
        <v>1</v>
      </c>
      <c r="M79" s="18">
        <v>15</v>
      </c>
      <c r="N79" s="18">
        <v>3600</v>
      </c>
      <c r="O79" s="15"/>
      <c r="P79" s="15">
        <v>8</v>
      </c>
      <c r="Q79" s="18" t="s">
        <v>165</v>
      </c>
      <c r="R79" s="15">
        <v>132</v>
      </c>
      <c r="S79" s="15">
        <v>11</v>
      </c>
      <c r="T79" s="15">
        <v>10</v>
      </c>
      <c r="U79" s="15">
        <v>10</v>
      </c>
      <c r="V79" s="35">
        <f>S79*(SQRT(U79))</f>
        <v>34.785054261852174</v>
      </c>
      <c r="W79" s="15"/>
      <c r="X79" s="15">
        <v>100</v>
      </c>
      <c r="Y79" s="15">
        <v>11</v>
      </c>
      <c r="Z79" s="15">
        <v>10</v>
      </c>
      <c r="AA79" s="15">
        <v>10</v>
      </c>
      <c r="AB79" s="35">
        <f>Y79*(SQRT(AA79))</f>
        <v>34.785054261852174</v>
      </c>
      <c r="AC79" s="15"/>
    </row>
    <row r="80" spans="1:29" x14ac:dyDescent="0.25">
      <c r="A80" s="15">
        <v>8709</v>
      </c>
      <c r="C80" s="15" t="s">
        <v>755</v>
      </c>
      <c r="D80" s="15" t="s">
        <v>756</v>
      </c>
      <c r="E80" s="15" t="s">
        <v>757</v>
      </c>
      <c r="F80" s="15">
        <v>2023</v>
      </c>
      <c r="G80" s="15" t="s">
        <v>758</v>
      </c>
      <c r="H80" s="15" t="s">
        <v>32</v>
      </c>
      <c r="I80" s="15" t="s">
        <v>91</v>
      </c>
      <c r="J80" s="32" t="s">
        <v>592</v>
      </c>
      <c r="K80" s="15">
        <v>60</v>
      </c>
      <c r="L80" s="15">
        <v>1</v>
      </c>
      <c r="M80" s="18">
        <v>56</v>
      </c>
      <c r="N80" s="18">
        <v>3360</v>
      </c>
      <c r="O80" s="15"/>
      <c r="P80" s="15">
        <v>5</v>
      </c>
      <c r="Q80" s="33"/>
      <c r="R80" s="53"/>
      <c r="S80" s="53"/>
      <c r="T80" s="53"/>
      <c r="U80" s="53"/>
      <c r="V80" s="53"/>
      <c r="W80" s="15"/>
      <c r="X80" s="53"/>
      <c r="Y80" s="53"/>
      <c r="Z80" s="53"/>
      <c r="AA80" s="53"/>
      <c r="AB80" s="53"/>
      <c r="AC80" s="15"/>
    </row>
    <row r="81" spans="1:29" x14ac:dyDescent="0.25">
      <c r="A81" s="15">
        <v>8743</v>
      </c>
      <c r="C81" s="40" t="s">
        <v>394</v>
      </c>
      <c r="D81" s="40" t="s">
        <v>395</v>
      </c>
      <c r="E81" s="40" t="s">
        <v>396</v>
      </c>
      <c r="F81" s="40">
        <v>2020</v>
      </c>
      <c r="G81" s="41" t="s">
        <v>397</v>
      </c>
      <c r="H81" s="15" t="s">
        <v>32</v>
      </c>
      <c r="I81" s="15" t="s">
        <v>33</v>
      </c>
      <c r="J81" s="32"/>
      <c r="K81" s="15">
        <v>150</v>
      </c>
      <c r="L81" s="15">
        <v>1</v>
      </c>
      <c r="M81" s="18">
        <v>13</v>
      </c>
      <c r="N81" s="18">
        <v>1950</v>
      </c>
      <c r="O81" s="15"/>
      <c r="P81" s="15">
        <v>5</v>
      </c>
      <c r="Q81" s="18">
        <v>3</v>
      </c>
      <c r="R81" s="53"/>
      <c r="S81" s="53"/>
      <c r="T81" s="53"/>
      <c r="U81" s="53"/>
      <c r="V81" s="53"/>
      <c r="W81" s="15"/>
      <c r="X81" s="53"/>
      <c r="Y81" s="53"/>
      <c r="Z81" s="53"/>
      <c r="AA81" s="53"/>
      <c r="AB81" s="53"/>
      <c r="AC81" s="15"/>
    </row>
    <row r="82" spans="1:29" x14ac:dyDescent="0.25">
      <c r="A82" s="15">
        <v>8977</v>
      </c>
      <c r="C82" s="15" t="s">
        <v>579</v>
      </c>
      <c r="D82" s="15" t="s">
        <v>580</v>
      </c>
      <c r="E82" s="15" t="s">
        <v>581</v>
      </c>
      <c r="F82" s="15">
        <v>2020</v>
      </c>
      <c r="G82" s="15" t="s">
        <v>582</v>
      </c>
      <c r="H82" s="15" t="s">
        <v>32</v>
      </c>
      <c r="I82" s="15" t="s">
        <v>392</v>
      </c>
      <c r="J82" s="32" t="s">
        <v>34</v>
      </c>
      <c r="K82" s="15">
        <v>45</v>
      </c>
      <c r="L82" s="15">
        <v>3</v>
      </c>
      <c r="M82" s="18">
        <v>7</v>
      </c>
      <c r="N82" s="18">
        <v>945</v>
      </c>
      <c r="O82" s="15" t="s">
        <v>583</v>
      </c>
      <c r="P82" s="15">
        <v>5</v>
      </c>
      <c r="Q82" s="33"/>
      <c r="R82" s="53"/>
      <c r="S82" s="53"/>
      <c r="T82" s="53"/>
      <c r="U82" s="53"/>
      <c r="V82" s="53"/>
      <c r="W82" s="15"/>
      <c r="X82" s="53"/>
      <c r="Y82" s="53"/>
      <c r="Z82" s="53"/>
      <c r="AA82" s="53"/>
      <c r="AB82" s="53"/>
      <c r="AC82" s="15"/>
    </row>
    <row r="83" spans="1:29" x14ac:dyDescent="0.25">
      <c r="A83" s="15">
        <v>9120</v>
      </c>
      <c r="C83" s="40" t="s">
        <v>425</v>
      </c>
      <c r="D83" s="40" t="s">
        <v>426</v>
      </c>
      <c r="E83" s="40" t="s">
        <v>427</v>
      </c>
      <c r="F83" s="40">
        <v>2023</v>
      </c>
      <c r="G83" s="41" t="s">
        <v>428</v>
      </c>
      <c r="H83" s="15" t="s">
        <v>429</v>
      </c>
      <c r="I83" s="15" t="s">
        <v>33</v>
      </c>
      <c r="J83" s="32" t="s">
        <v>159</v>
      </c>
      <c r="K83" s="15">
        <v>30</v>
      </c>
      <c r="L83" s="15">
        <v>1</v>
      </c>
      <c r="M83" s="18">
        <v>10</v>
      </c>
      <c r="N83" s="18">
        <v>300</v>
      </c>
      <c r="O83" s="15"/>
      <c r="P83" s="33" t="s">
        <v>143</v>
      </c>
      <c r="Q83" s="18">
        <v>3</v>
      </c>
      <c r="R83" s="53"/>
      <c r="S83" s="53"/>
      <c r="T83" s="53"/>
      <c r="U83" s="53"/>
      <c r="V83" s="53"/>
      <c r="W83" s="15"/>
      <c r="X83" s="53"/>
      <c r="Y83" s="53"/>
      <c r="Z83" s="53"/>
      <c r="AA83" s="53"/>
      <c r="AB83" s="53"/>
      <c r="AC83" s="15"/>
    </row>
    <row r="84" spans="1:29" x14ac:dyDescent="0.25">
      <c r="A84" s="15">
        <v>9536</v>
      </c>
      <c r="B84" s="15">
        <v>28662512</v>
      </c>
      <c r="C84" s="15" t="s">
        <v>759</v>
      </c>
      <c r="D84" s="15" t="s">
        <v>760</v>
      </c>
      <c r="E84" s="15" t="s">
        <v>761</v>
      </c>
      <c r="F84" s="15">
        <v>2017</v>
      </c>
      <c r="G84" s="15" t="s">
        <v>762</v>
      </c>
      <c r="H84" s="15" t="s">
        <v>32</v>
      </c>
      <c r="I84" s="15" t="s">
        <v>33</v>
      </c>
      <c r="J84" s="32" t="s">
        <v>158</v>
      </c>
      <c r="K84" s="15">
        <v>360</v>
      </c>
      <c r="L84" s="15">
        <v>1</v>
      </c>
      <c r="M84" s="18">
        <v>21</v>
      </c>
      <c r="N84" s="18">
        <v>7560</v>
      </c>
      <c r="O84" s="15"/>
      <c r="P84" s="15">
        <v>5</v>
      </c>
      <c r="Q84" s="18" t="s">
        <v>134</v>
      </c>
      <c r="R84" s="15">
        <v>11</v>
      </c>
      <c r="S84" s="15" t="s">
        <v>65</v>
      </c>
      <c r="T84" s="15">
        <v>20</v>
      </c>
      <c r="U84" s="15"/>
      <c r="V84" s="15">
        <v>6</v>
      </c>
      <c r="W84" s="15"/>
      <c r="X84" s="15">
        <v>3</v>
      </c>
      <c r="Y84" s="15" t="s">
        <v>65</v>
      </c>
      <c r="Z84" s="15">
        <v>20</v>
      </c>
      <c r="AA84" s="15"/>
      <c r="AB84" s="15">
        <v>1</v>
      </c>
      <c r="AC84" s="15"/>
    </row>
    <row r="85" spans="1:29" x14ac:dyDescent="0.25">
      <c r="A85" s="37">
        <v>9542</v>
      </c>
      <c r="B85" s="37"/>
      <c r="C85" s="37" t="s">
        <v>438</v>
      </c>
      <c r="D85" s="37" t="s">
        <v>439</v>
      </c>
      <c r="E85" s="37" t="s">
        <v>50</v>
      </c>
      <c r="F85" s="37">
        <v>2025</v>
      </c>
      <c r="G85" s="37" t="s">
        <v>440</v>
      </c>
      <c r="H85" s="15" t="s">
        <v>45</v>
      </c>
      <c r="I85" s="15" t="s">
        <v>33</v>
      </c>
      <c r="J85" s="32" t="s">
        <v>88</v>
      </c>
      <c r="K85" s="15">
        <v>360</v>
      </c>
      <c r="L85" s="15">
        <v>1</v>
      </c>
      <c r="M85" s="51">
        <v>15</v>
      </c>
      <c r="N85" s="18">
        <v>5400</v>
      </c>
      <c r="O85" s="15"/>
      <c r="P85" s="15">
        <v>5</v>
      </c>
      <c r="Q85" s="18" t="s">
        <v>112</v>
      </c>
      <c r="R85" s="15">
        <v>58</v>
      </c>
      <c r="S85" s="15">
        <v>3</v>
      </c>
      <c r="T85" s="15">
        <v>7</v>
      </c>
      <c r="U85" s="15">
        <v>7</v>
      </c>
      <c r="V85" s="35">
        <f t="shared" ref="V85:V86" si="4">S85*(SQRT(U85))</f>
        <v>7.9372539331937721</v>
      </c>
      <c r="W85" s="15"/>
      <c r="X85" s="15">
        <v>24</v>
      </c>
      <c r="Y85" s="15">
        <v>2</v>
      </c>
      <c r="Z85" s="15">
        <v>7</v>
      </c>
      <c r="AA85" s="15">
        <v>7</v>
      </c>
      <c r="AB85" s="35">
        <f t="shared" ref="AB85:AB89" si="5">Y85*(SQRT(AA85))</f>
        <v>5.2915026221291814</v>
      </c>
      <c r="AC85" s="15"/>
    </row>
    <row r="86" spans="1:29" x14ac:dyDescent="0.25">
      <c r="A86" s="37">
        <v>9542</v>
      </c>
      <c r="B86" s="37"/>
      <c r="C86" s="37" t="s">
        <v>438</v>
      </c>
      <c r="D86" s="37" t="s">
        <v>439</v>
      </c>
      <c r="E86" s="37" t="s">
        <v>50</v>
      </c>
      <c r="F86" s="37">
        <v>2025</v>
      </c>
      <c r="G86" s="37" t="s">
        <v>440</v>
      </c>
      <c r="H86" s="15" t="s">
        <v>45</v>
      </c>
      <c r="I86" s="15" t="s">
        <v>33</v>
      </c>
      <c r="J86" s="32" t="s">
        <v>88</v>
      </c>
      <c r="K86" s="15">
        <v>360</v>
      </c>
      <c r="L86" s="15">
        <v>1</v>
      </c>
      <c r="M86" s="51">
        <v>30</v>
      </c>
      <c r="N86" s="18">
        <v>10800</v>
      </c>
      <c r="O86" s="15"/>
      <c r="P86" s="15">
        <v>5</v>
      </c>
      <c r="Q86" s="18" t="s">
        <v>112</v>
      </c>
      <c r="R86" s="15">
        <v>58</v>
      </c>
      <c r="S86" s="15">
        <v>2</v>
      </c>
      <c r="T86" s="15">
        <v>7</v>
      </c>
      <c r="U86" s="15">
        <v>7</v>
      </c>
      <c r="V86" s="35">
        <f t="shared" si="4"/>
        <v>5.2915026221291814</v>
      </c>
      <c r="W86" s="15"/>
      <c r="X86" s="15">
        <v>13</v>
      </c>
      <c r="Y86" s="15">
        <v>3</v>
      </c>
      <c r="Z86" s="15">
        <v>7</v>
      </c>
      <c r="AA86" s="15">
        <v>7</v>
      </c>
      <c r="AB86" s="35">
        <f t="shared" si="5"/>
        <v>7.9372539331937721</v>
      </c>
      <c r="AC86" s="15"/>
    </row>
    <row r="87" spans="1:29" x14ac:dyDescent="0.25">
      <c r="A87" s="37">
        <v>9663</v>
      </c>
      <c r="B87" s="37"/>
      <c r="C87" s="37" t="s">
        <v>455</v>
      </c>
      <c r="D87" s="37" t="s">
        <v>456</v>
      </c>
      <c r="E87" s="37" t="s">
        <v>457</v>
      </c>
      <c r="F87" s="37">
        <v>2015</v>
      </c>
      <c r="G87" s="37" t="s">
        <v>458</v>
      </c>
      <c r="H87" s="15" t="s">
        <v>32</v>
      </c>
      <c r="I87" s="15" t="s">
        <v>33</v>
      </c>
      <c r="J87" s="32"/>
      <c r="K87" s="15">
        <v>120</v>
      </c>
      <c r="L87" s="15">
        <v>1</v>
      </c>
      <c r="M87" s="18">
        <v>10</v>
      </c>
      <c r="N87" s="18">
        <v>1200</v>
      </c>
      <c r="O87" s="37" t="s">
        <v>459</v>
      </c>
      <c r="P87" s="15">
        <v>5</v>
      </c>
      <c r="Q87" s="18" t="s">
        <v>388</v>
      </c>
      <c r="R87" s="15">
        <v>27</v>
      </c>
      <c r="S87" s="15">
        <v>3</v>
      </c>
      <c r="T87" s="63" t="s">
        <v>460</v>
      </c>
      <c r="U87" s="15">
        <v>11</v>
      </c>
      <c r="V87" s="35">
        <f>S87*(SQRT(U87))</f>
        <v>9.9498743710661994</v>
      </c>
      <c r="W87" s="15"/>
      <c r="X87" s="15">
        <v>15</v>
      </c>
      <c r="Y87" s="15">
        <v>4</v>
      </c>
      <c r="Z87" s="63" t="s">
        <v>460</v>
      </c>
      <c r="AA87" s="15">
        <v>11</v>
      </c>
      <c r="AB87" s="35">
        <f t="shared" si="5"/>
        <v>13.266499161421599</v>
      </c>
      <c r="AC87" s="15"/>
    </row>
    <row r="88" spans="1:29" x14ac:dyDescent="0.25">
      <c r="A88" s="37">
        <v>9663</v>
      </c>
      <c r="B88" s="37"/>
      <c r="C88" s="37" t="s">
        <v>455</v>
      </c>
      <c r="D88" s="37" t="s">
        <v>456</v>
      </c>
      <c r="E88" s="37" t="s">
        <v>457</v>
      </c>
      <c r="F88" s="37">
        <v>2015</v>
      </c>
      <c r="G88" s="37" t="s">
        <v>458</v>
      </c>
      <c r="H88" s="15" t="s">
        <v>32</v>
      </c>
      <c r="I88" s="15" t="s">
        <v>33</v>
      </c>
      <c r="J88" s="32"/>
      <c r="K88" s="15">
        <v>120</v>
      </c>
      <c r="L88" s="15">
        <v>1</v>
      </c>
      <c r="M88" s="18">
        <v>10</v>
      </c>
      <c r="N88" s="18">
        <v>1200</v>
      </c>
      <c r="O88" s="37" t="s">
        <v>462</v>
      </c>
      <c r="P88" s="15">
        <v>5</v>
      </c>
      <c r="Q88" s="18" t="s">
        <v>388</v>
      </c>
      <c r="R88" s="15">
        <v>27</v>
      </c>
      <c r="S88" s="15">
        <v>3</v>
      </c>
      <c r="T88" s="63" t="s">
        <v>460</v>
      </c>
      <c r="U88" s="15">
        <v>11</v>
      </c>
      <c r="V88" s="35">
        <f>S88*(SQRT(U88))</f>
        <v>9.9498743710661994</v>
      </c>
      <c r="W88" s="15"/>
      <c r="X88" s="15">
        <v>14</v>
      </c>
      <c r="Y88" s="15">
        <v>4</v>
      </c>
      <c r="Z88" s="63" t="s">
        <v>460</v>
      </c>
      <c r="AA88" s="15">
        <v>11</v>
      </c>
      <c r="AB88" s="35">
        <f t="shared" si="5"/>
        <v>13.266499161421599</v>
      </c>
      <c r="AC88" s="15"/>
    </row>
    <row r="89" spans="1:29" x14ac:dyDescent="0.25">
      <c r="A89" s="15">
        <v>9688</v>
      </c>
      <c r="C89" s="15" t="s">
        <v>763</v>
      </c>
      <c r="D89" s="15" t="s">
        <v>764</v>
      </c>
      <c r="E89" s="15" t="s">
        <v>765</v>
      </c>
      <c r="F89" s="15">
        <v>2025</v>
      </c>
      <c r="G89" s="15" t="s">
        <v>766</v>
      </c>
      <c r="H89" s="15" t="s">
        <v>45</v>
      </c>
      <c r="I89" s="15" t="s">
        <v>33</v>
      </c>
      <c r="J89" s="32"/>
      <c r="K89" s="15">
        <v>360</v>
      </c>
      <c r="L89" s="15">
        <v>1</v>
      </c>
      <c r="M89" s="18">
        <v>14</v>
      </c>
      <c r="N89" s="18">
        <v>5040</v>
      </c>
      <c r="P89" s="15">
        <v>5</v>
      </c>
      <c r="Q89" s="18" t="s">
        <v>134</v>
      </c>
      <c r="R89" s="15">
        <v>27</v>
      </c>
      <c r="S89" s="15">
        <v>2</v>
      </c>
      <c r="T89" s="15">
        <v>7</v>
      </c>
      <c r="U89" s="15">
        <v>7</v>
      </c>
      <c r="V89" s="35">
        <f t="shared" ref="V89" si="6">S89*(SQRT(U89))</f>
        <v>5.2915026221291814</v>
      </c>
      <c r="W89" s="15"/>
      <c r="X89" s="15">
        <v>11</v>
      </c>
      <c r="Y89" s="15">
        <v>1</v>
      </c>
      <c r="Z89" s="15">
        <v>7</v>
      </c>
      <c r="AA89" s="15">
        <v>7</v>
      </c>
      <c r="AB89" s="35">
        <f t="shared" si="5"/>
        <v>2.6457513110645907</v>
      </c>
      <c r="AC89" s="15"/>
    </row>
    <row r="90" spans="1:29" x14ac:dyDescent="0.25">
      <c r="A90" s="15">
        <v>9788</v>
      </c>
      <c r="B90" s="15">
        <v>34167364</v>
      </c>
      <c r="C90" s="15" t="s">
        <v>594</v>
      </c>
      <c r="D90" s="15" t="s">
        <v>595</v>
      </c>
      <c r="E90" s="15" t="s">
        <v>596</v>
      </c>
      <c r="F90" s="15">
        <v>2021</v>
      </c>
      <c r="G90" s="15" t="s">
        <v>597</v>
      </c>
      <c r="H90" s="15" t="s">
        <v>45</v>
      </c>
      <c r="I90" s="15" t="s">
        <v>33</v>
      </c>
      <c r="J90" s="32"/>
      <c r="K90" s="15">
        <v>120</v>
      </c>
      <c r="L90" s="15">
        <v>1</v>
      </c>
      <c r="M90" s="18">
        <v>21</v>
      </c>
      <c r="N90" s="18">
        <v>2520</v>
      </c>
      <c r="P90" s="15">
        <v>5</v>
      </c>
      <c r="Q90" s="18" t="s">
        <v>180</v>
      </c>
      <c r="R90" s="15">
        <v>32</v>
      </c>
      <c r="S90" s="15">
        <v>1.5</v>
      </c>
      <c r="T90" s="15">
        <v>7</v>
      </c>
      <c r="U90" s="15">
        <v>7</v>
      </c>
      <c r="V90" s="35">
        <f>S90*(SQRT(U90))</f>
        <v>3.9686269665968861</v>
      </c>
      <c r="W90" s="15"/>
      <c r="X90" s="15">
        <v>11</v>
      </c>
      <c r="Y90" s="15">
        <v>1.3</v>
      </c>
      <c r="Z90" s="15">
        <v>7</v>
      </c>
      <c r="AA90" s="15">
        <v>7</v>
      </c>
      <c r="AB90" s="35">
        <f>Y90*(SQRT(AA90))</f>
        <v>3.439476704383968</v>
      </c>
      <c r="AC90" s="15"/>
    </row>
    <row r="91" spans="1:29" x14ac:dyDescent="0.25">
      <c r="A91" s="15">
        <v>9808</v>
      </c>
      <c r="B91" s="15">
        <v>35613108</v>
      </c>
      <c r="C91" s="15" t="s">
        <v>767</v>
      </c>
      <c r="D91" s="15" t="s">
        <v>768</v>
      </c>
      <c r="E91" s="15" t="s">
        <v>366</v>
      </c>
      <c r="F91" s="15">
        <v>2022</v>
      </c>
      <c r="G91" s="15" t="s">
        <v>769</v>
      </c>
      <c r="H91" s="15" t="s">
        <v>32</v>
      </c>
      <c r="I91" s="15" t="s">
        <v>33</v>
      </c>
      <c r="J91" s="32" t="s">
        <v>159</v>
      </c>
      <c r="K91" s="15">
        <v>240</v>
      </c>
      <c r="L91" s="15">
        <v>1</v>
      </c>
      <c r="M91" s="18">
        <v>30</v>
      </c>
      <c r="N91" s="18">
        <v>7200</v>
      </c>
      <c r="P91" s="15">
        <v>10</v>
      </c>
      <c r="Q91" s="18" t="s">
        <v>106</v>
      </c>
      <c r="R91" s="53"/>
      <c r="S91" s="53"/>
      <c r="T91" s="53"/>
      <c r="U91" s="53"/>
      <c r="V91" s="53"/>
      <c r="W91" s="15"/>
      <c r="X91" s="53"/>
      <c r="Y91" s="53"/>
      <c r="Z91" s="53"/>
      <c r="AA91" s="53"/>
      <c r="AB91" s="53"/>
      <c r="AC91" s="15"/>
    </row>
    <row r="92" spans="1:29" x14ac:dyDescent="0.25">
      <c r="A92" s="15">
        <v>9892</v>
      </c>
      <c r="B92" s="15">
        <v>34646421</v>
      </c>
      <c r="C92" s="15" t="s">
        <v>770</v>
      </c>
      <c r="D92" s="15" t="s">
        <v>771</v>
      </c>
      <c r="E92" s="15" t="s">
        <v>772</v>
      </c>
      <c r="F92" s="15">
        <v>2021</v>
      </c>
      <c r="G92" s="15" t="s">
        <v>773</v>
      </c>
      <c r="H92" s="15" t="s">
        <v>45</v>
      </c>
      <c r="I92" s="15" t="s">
        <v>33</v>
      </c>
      <c r="J92" s="32" t="s">
        <v>158</v>
      </c>
      <c r="K92" s="15">
        <v>360</v>
      </c>
      <c r="L92" s="15">
        <v>1</v>
      </c>
      <c r="M92" s="18">
        <v>21</v>
      </c>
      <c r="N92" s="18">
        <v>7560</v>
      </c>
      <c r="P92" s="15">
        <v>5</v>
      </c>
      <c r="Q92" s="18" t="s">
        <v>46</v>
      </c>
      <c r="R92" s="15">
        <v>40</v>
      </c>
      <c r="S92" s="15">
        <v>3</v>
      </c>
      <c r="T92" s="15">
        <v>10</v>
      </c>
      <c r="U92" s="15">
        <v>10</v>
      </c>
      <c r="V92" s="35">
        <f>S92*(SQRT(U92))</f>
        <v>9.4868329805051381</v>
      </c>
      <c r="W92" s="15"/>
      <c r="X92" s="15">
        <v>24</v>
      </c>
      <c r="Y92" s="15">
        <v>3</v>
      </c>
      <c r="Z92" s="15">
        <v>7</v>
      </c>
      <c r="AA92" s="15">
        <v>7</v>
      </c>
      <c r="AB92" s="35">
        <f>Y92*(SQRT(AA92))</f>
        <v>7.9372539331937721</v>
      </c>
      <c r="AC92" s="15"/>
    </row>
    <row r="93" spans="1:29" x14ac:dyDescent="0.25">
      <c r="A93" s="15">
        <v>9937</v>
      </c>
      <c r="C93" s="15" t="s">
        <v>774</v>
      </c>
      <c r="D93" s="15" t="s">
        <v>775</v>
      </c>
      <c r="E93" s="15" t="s">
        <v>495</v>
      </c>
      <c r="F93" s="15">
        <v>2024</v>
      </c>
      <c r="G93" s="15" t="s">
        <v>776</v>
      </c>
      <c r="H93" s="15" t="s">
        <v>45</v>
      </c>
      <c r="I93" s="15" t="s">
        <v>33</v>
      </c>
      <c r="J93" s="32"/>
      <c r="K93" s="15">
        <v>240</v>
      </c>
      <c r="L93" s="15">
        <v>1</v>
      </c>
      <c r="M93" s="18">
        <v>14</v>
      </c>
      <c r="N93" s="18">
        <v>3360</v>
      </c>
      <c r="P93" s="15">
        <v>5</v>
      </c>
      <c r="Q93" s="18" t="s">
        <v>229</v>
      </c>
      <c r="R93" s="15">
        <v>10</v>
      </c>
      <c r="S93" s="15">
        <v>0.5</v>
      </c>
      <c r="T93" s="15">
        <v>8</v>
      </c>
      <c r="U93" s="15">
        <v>8</v>
      </c>
      <c r="V93" s="35">
        <f>S93*(SQRT(U93))</f>
        <v>1.4142135623730951</v>
      </c>
      <c r="W93" s="15"/>
      <c r="X93" s="15">
        <v>3</v>
      </c>
      <c r="Y93" s="19">
        <v>0.4</v>
      </c>
      <c r="Z93" s="15">
        <v>8</v>
      </c>
      <c r="AA93" s="15">
        <v>8</v>
      </c>
      <c r="AB93" s="35">
        <f>Y93*(SQRT(AA93))</f>
        <v>1.1313708498984762</v>
      </c>
      <c r="AC93" s="15"/>
    </row>
    <row r="94" spans="1:29" x14ac:dyDescent="0.25">
      <c r="Y94" s="15"/>
    </row>
  </sheetData>
  <sortState xmlns:xlrd2="http://schemas.microsoft.com/office/spreadsheetml/2017/richdata2" ref="A3:T95">
    <sortCondition ref="A3:A95"/>
  </sortState>
  <hyperlinks>
    <hyperlink ref="G55" r:id="rId1" xr:uid="{F11E35C0-00D4-4B79-A2B1-B18C52CC32B5}"/>
    <hyperlink ref="G63" r:id="rId2" xr:uid="{8767AA0D-386E-4411-BEA7-9E758A98FB0C}"/>
    <hyperlink ref="G83" r:id="rId3" xr:uid="{CF47F916-FD97-457B-9B3C-B3E4DF115881}"/>
    <hyperlink ref="G49" r:id="rId4" xr:uid="{06CDE5C2-6C4F-4FC3-821C-45DBDFCDA3B6}"/>
    <hyperlink ref="G60" r:id="rId5" xr:uid="{6CD6AED6-ED6F-44E2-B8D7-4DFF98F64EF8}"/>
    <hyperlink ref="G81" r:id="rId6" xr:uid="{BD3EF070-16C4-4449-A4DE-15F93C434A95}"/>
    <hyperlink ref="G11" r:id="rId7" xr:uid="{2A105C48-2100-4A00-81C5-F15902BD1566}"/>
    <hyperlink ref="G70" r:id="rId8" xr:uid="{4D1338E8-ED46-4960-B3B1-2B368BAE691A}"/>
    <hyperlink ref="G22" r:id="rId9" xr:uid="{5E6E3E5A-41A5-4078-872F-48792DB09EE8}"/>
    <hyperlink ref="G5" r:id="rId10" xr:uid="{A79E0BC8-A400-4747-BF3A-84160ACC9A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D388-3ED6-46E2-ADFD-0F05EF56C44D}">
  <dimension ref="A1:AG148"/>
  <sheetViews>
    <sheetView workbookViewId="0"/>
  </sheetViews>
  <sheetFormatPr defaultRowHeight="15" x14ac:dyDescent="0.25"/>
  <cols>
    <col min="1" max="1" width="10.85546875" style="15" customWidth="1"/>
    <col min="2" max="2" width="9.140625" style="15"/>
    <col min="3" max="3" width="33" style="15" customWidth="1"/>
    <col min="4" max="4" width="12.140625" style="15" customWidth="1"/>
    <col min="5" max="5" width="15.5703125" style="15" customWidth="1"/>
    <col min="6" max="6" width="9.140625" style="15"/>
    <col min="7" max="7" width="29.140625" style="15" customWidth="1"/>
    <col min="8" max="8" width="4.5703125" style="15" customWidth="1"/>
    <col min="9" max="9" width="20.5703125" style="15" bestFit="1" customWidth="1"/>
    <col min="10" max="10" width="11.7109375" style="15" bestFit="1" customWidth="1"/>
    <col min="11" max="11" width="17.5703125" style="32" bestFit="1" customWidth="1"/>
    <col min="12" max="12" width="12.5703125" style="15" bestFit="1" customWidth="1"/>
    <col min="13" max="13" width="13.42578125" style="15" bestFit="1" customWidth="1"/>
    <col min="14" max="14" width="19.7109375" style="18" bestFit="1" customWidth="1"/>
    <col min="15" max="15" width="19" style="18" bestFit="1" customWidth="1"/>
    <col min="16" max="16" width="9.140625" style="15" customWidth="1"/>
    <col min="17" max="17" width="19.140625" style="18" bestFit="1" customWidth="1"/>
    <col min="18" max="18" width="9.28515625" style="15" customWidth="1"/>
    <col min="19" max="19" width="14" style="19" customWidth="1"/>
    <col min="20" max="20" width="11.85546875" style="19" bestFit="1" customWidth="1"/>
    <col min="21" max="22" width="8.85546875" style="34" customWidth="1"/>
    <col min="23" max="23" width="18.85546875" style="19" customWidth="1"/>
    <col min="24" max="24" width="2.7109375" style="19" customWidth="1"/>
    <col min="25" max="25" width="14.140625" style="19" customWidth="1"/>
    <col min="26" max="26" width="11.85546875" style="19" bestFit="1" customWidth="1"/>
    <col min="27" max="27" width="8.5703125" style="34" bestFit="1" customWidth="1"/>
    <col min="28" max="28" width="8.5703125" style="34" customWidth="1"/>
    <col min="29" max="29" width="18.85546875" style="19" customWidth="1"/>
    <col min="30" max="30" width="3.7109375" style="18" customWidth="1"/>
    <col min="31" max="31" width="42.7109375" customWidth="1"/>
    <col min="32" max="32" width="18.140625" customWidth="1"/>
    <col min="34" max="16384" width="9.140625" style="15"/>
  </cols>
  <sheetData>
    <row r="1" spans="1:33" x14ac:dyDescent="0.25">
      <c r="S1" s="29" t="s">
        <v>21</v>
      </c>
      <c r="T1" s="30" t="s">
        <v>22</v>
      </c>
      <c r="U1" s="31" t="s">
        <v>23</v>
      </c>
      <c r="V1" s="31" t="s">
        <v>24</v>
      </c>
      <c r="W1" s="30" t="s">
        <v>25</v>
      </c>
      <c r="Y1" s="48" t="s">
        <v>26</v>
      </c>
      <c r="Z1" s="49" t="s">
        <v>27</v>
      </c>
      <c r="AA1" s="50" t="s">
        <v>23</v>
      </c>
      <c r="AB1" s="50" t="s">
        <v>24</v>
      </c>
      <c r="AC1" s="49" t="s">
        <v>25</v>
      </c>
    </row>
    <row r="2" spans="1:33" x14ac:dyDescent="0.25">
      <c r="A2" s="21" t="s">
        <v>2</v>
      </c>
      <c r="B2" s="21" t="s">
        <v>3</v>
      </c>
      <c r="C2" s="21" t="s">
        <v>4</v>
      </c>
      <c r="D2" s="21" t="s">
        <v>5</v>
      </c>
      <c r="E2" s="21" t="s">
        <v>6</v>
      </c>
      <c r="F2" s="21" t="s">
        <v>7</v>
      </c>
      <c r="G2" s="21" t="s">
        <v>8</v>
      </c>
      <c r="H2" s="21" t="s">
        <v>777</v>
      </c>
      <c r="I2" s="21" t="s">
        <v>10</v>
      </c>
      <c r="J2" s="21" t="s">
        <v>11</v>
      </c>
      <c r="K2" s="26" t="s">
        <v>12</v>
      </c>
      <c r="L2" s="21" t="s">
        <v>13</v>
      </c>
      <c r="M2" s="21" t="s">
        <v>14</v>
      </c>
      <c r="N2" s="27" t="s">
        <v>15</v>
      </c>
      <c r="O2" s="27" t="s">
        <v>16</v>
      </c>
      <c r="P2" s="21" t="s">
        <v>17</v>
      </c>
      <c r="Q2" s="27" t="s">
        <v>778</v>
      </c>
      <c r="R2" s="21" t="s">
        <v>20</v>
      </c>
      <c r="S2" s="23" t="s">
        <v>779</v>
      </c>
      <c r="T2" s="24"/>
      <c r="U2" s="25"/>
      <c r="V2" s="25"/>
      <c r="W2" s="24"/>
      <c r="X2" s="22"/>
      <c r="Y2" s="45" t="s">
        <v>780</v>
      </c>
      <c r="Z2" s="46"/>
      <c r="AA2" s="47"/>
      <c r="AB2" s="47"/>
      <c r="AC2" s="46"/>
      <c r="AD2" s="22"/>
    </row>
    <row r="3" spans="1:33" customFormat="1" x14ac:dyDescent="0.25">
      <c r="A3">
        <v>1016</v>
      </c>
      <c r="B3" s="15"/>
      <c r="C3" s="15" t="s">
        <v>903</v>
      </c>
      <c r="D3" s="15" t="s">
        <v>904</v>
      </c>
      <c r="E3" s="15" t="s">
        <v>905</v>
      </c>
      <c r="F3" s="15">
        <v>2022</v>
      </c>
      <c r="G3" s="15" t="s">
        <v>906</v>
      </c>
      <c r="H3">
        <v>1</v>
      </c>
      <c r="I3" t="s">
        <v>32</v>
      </c>
      <c r="J3" t="s">
        <v>33</v>
      </c>
      <c r="K3" s="2" t="s">
        <v>158</v>
      </c>
      <c r="L3">
        <v>360</v>
      </c>
      <c r="M3">
        <v>1</v>
      </c>
      <c r="N3" s="3">
        <v>28</v>
      </c>
      <c r="O3" s="18">
        <f>N3*L3</f>
        <v>10080</v>
      </c>
      <c r="R3" s="53"/>
      <c r="S3" s="53"/>
      <c r="T3" s="53"/>
      <c r="U3" s="53"/>
      <c r="V3" s="53"/>
      <c r="W3" s="53"/>
      <c r="X3" s="15"/>
      <c r="Y3" s="53"/>
      <c r="Z3" s="53"/>
      <c r="AA3" s="53"/>
      <c r="AB3" s="53"/>
      <c r="AC3" s="53"/>
      <c r="AD3" s="15"/>
    </row>
    <row r="4" spans="1:33" x14ac:dyDescent="0.25">
      <c r="A4" s="15">
        <v>1030</v>
      </c>
      <c r="C4" s="15" t="s">
        <v>605</v>
      </c>
      <c r="D4" s="15" t="s">
        <v>606</v>
      </c>
      <c r="E4" s="15" t="s">
        <v>607</v>
      </c>
      <c r="F4" s="15">
        <v>2024</v>
      </c>
      <c r="G4" s="15" t="s">
        <v>608</v>
      </c>
      <c r="H4" s="15">
        <v>1</v>
      </c>
      <c r="I4" s="15" t="s">
        <v>45</v>
      </c>
      <c r="J4" s="15" t="s">
        <v>33</v>
      </c>
      <c r="K4" s="32" t="s">
        <v>88</v>
      </c>
      <c r="L4" s="15">
        <v>120</v>
      </c>
      <c r="M4" s="15">
        <v>1</v>
      </c>
      <c r="N4" s="18">
        <v>14</v>
      </c>
      <c r="O4" s="18">
        <f>L4*M4*N4</f>
        <v>1680</v>
      </c>
      <c r="Q4" s="18">
        <v>5</v>
      </c>
      <c r="R4" s="15" t="s">
        <v>175</v>
      </c>
      <c r="S4" s="15">
        <v>57</v>
      </c>
      <c r="T4" s="15">
        <v>10</v>
      </c>
      <c r="U4" s="15">
        <v>8</v>
      </c>
      <c r="V4" s="15">
        <v>8</v>
      </c>
      <c r="W4" s="35">
        <f>T4*(SQRT(V4))</f>
        <v>28.284271247461902</v>
      </c>
      <c r="X4" s="15"/>
      <c r="Y4" s="15">
        <v>19</v>
      </c>
      <c r="Z4" s="15">
        <v>10</v>
      </c>
      <c r="AA4" s="15">
        <v>8</v>
      </c>
      <c r="AB4" s="15">
        <v>8</v>
      </c>
      <c r="AC4" s="35">
        <f>Z4*(SQRT(AB4))</f>
        <v>28.284271247461902</v>
      </c>
      <c r="AD4" s="15"/>
    </row>
    <row r="5" spans="1:33" s="21" customFormat="1" x14ac:dyDescent="0.25">
      <c r="A5" s="15">
        <v>1129</v>
      </c>
      <c r="B5" s="15"/>
      <c r="C5" s="40" t="s">
        <v>476</v>
      </c>
      <c r="D5" s="40" t="s">
        <v>477</v>
      </c>
      <c r="E5" s="40" t="s">
        <v>478</v>
      </c>
      <c r="F5" s="40">
        <v>2015</v>
      </c>
      <c r="G5" s="41" t="s">
        <v>479</v>
      </c>
      <c r="H5" s="15">
        <v>1</v>
      </c>
      <c r="I5" s="15" t="s">
        <v>32</v>
      </c>
      <c r="J5" s="15" t="s">
        <v>33</v>
      </c>
      <c r="K5" s="32"/>
      <c r="L5" s="15">
        <v>360</v>
      </c>
      <c r="M5" s="15">
        <v>1</v>
      </c>
      <c r="N5" s="18">
        <v>21</v>
      </c>
      <c r="O5" s="18">
        <f>L5*M5*N5</f>
        <v>7560</v>
      </c>
      <c r="P5" s="15"/>
      <c r="Q5" s="18">
        <v>5</v>
      </c>
      <c r="R5" s="15" t="s">
        <v>625</v>
      </c>
      <c r="S5" s="15">
        <v>21</v>
      </c>
      <c r="T5" s="15">
        <v>3</v>
      </c>
      <c r="U5" s="15">
        <v>8</v>
      </c>
      <c r="V5" s="15">
        <v>8</v>
      </c>
      <c r="W5" s="35">
        <f>T5*(SQRT(V5))</f>
        <v>8.4852813742385713</v>
      </c>
      <c r="X5" s="15"/>
      <c r="Y5" s="15">
        <v>9</v>
      </c>
      <c r="Z5" s="15">
        <v>0.7</v>
      </c>
      <c r="AA5" s="15">
        <v>8</v>
      </c>
      <c r="AB5" s="15">
        <v>8</v>
      </c>
      <c r="AC5" s="35">
        <f>Z5*(SQRT(AB5))</f>
        <v>1.9798989873223332</v>
      </c>
      <c r="AD5" s="15"/>
      <c r="AE5"/>
      <c r="AF5"/>
      <c r="AG5"/>
    </row>
    <row r="6" spans="1:33" x14ac:dyDescent="0.25">
      <c r="A6" s="15">
        <v>1287</v>
      </c>
      <c r="C6" s="15" t="s">
        <v>28</v>
      </c>
      <c r="D6" s="15" t="s">
        <v>29</v>
      </c>
      <c r="E6" s="15" t="s">
        <v>30</v>
      </c>
      <c r="F6" s="15">
        <v>2024</v>
      </c>
      <c r="G6" s="15" t="s">
        <v>31</v>
      </c>
      <c r="H6" s="15">
        <v>1</v>
      </c>
      <c r="I6" s="15" t="s">
        <v>32</v>
      </c>
      <c r="J6" s="15" t="s">
        <v>33</v>
      </c>
      <c r="K6" s="32" t="s">
        <v>34</v>
      </c>
      <c r="L6" s="15">
        <v>300</v>
      </c>
      <c r="M6" s="15">
        <v>1</v>
      </c>
      <c r="N6" s="18">
        <v>21</v>
      </c>
      <c r="O6" s="18">
        <f>L6*M6*N6</f>
        <v>6300</v>
      </c>
      <c r="Q6" s="18">
        <v>5</v>
      </c>
      <c r="R6" s="53"/>
      <c r="S6" s="53"/>
      <c r="T6" s="53"/>
      <c r="U6" s="53"/>
      <c r="V6" s="53"/>
      <c r="W6" s="53"/>
      <c r="X6" s="15"/>
      <c r="Y6" s="53"/>
      <c r="Z6" s="53"/>
      <c r="AA6" s="53"/>
      <c r="AB6" s="53"/>
      <c r="AC6" s="53"/>
      <c r="AD6" s="15"/>
    </row>
    <row r="7" spans="1:33" x14ac:dyDescent="0.25">
      <c r="A7" s="15">
        <v>1407</v>
      </c>
      <c r="C7" s="15" t="s">
        <v>35</v>
      </c>
      <c r="D7" s="15" t="s">
        <v>36</v>
      </c>
      <c r="E7" s="15" t="s">
        <v>37</v>
      </c>
      <c r="F7" s="15">
        <v>2021</v>
      </c>
      <c r="G7" s="15" t="s">
        <v>38</v>
      </c>
      <c r="H7" s="15">
        <v>1</v>
      </c>
      <c r="I7" s="15" t="s">
        <v>32</v>
      </c>
      <c r="J7" s="15" t="s">
        <v>33</v>
      </c>
      <c r="K7" s="32" t="s">
        <v>34</v>
      </c>
      <c r="L7" s="15">
        <v>60</v>
      </c>
      <c r="M7" s="15">
        <v>1</v>
      </c>
      <c r="N7" s="18">
        <v>14</v>
      </c>
      <c r="O7" s="18">
        <f>L7*M7*N7</f>
        <v>840</v>
      </c>
      <c r="Q7" s="18">
        <v>5</v>
      </c>
      <c r="R7" s="15" t="s">
        <v>64</v>
      </c>
      <c r="S7" s="15">
        <v>12</v>
      </c>
      <c r="T7" s="15">
        <v>8</v>
      </c>
      <c r="U7" s="15">
        <v>8</v>
      </c>
      <c r="V7" s="15">
        <v>8</v>
      </c>
      <c r="W7" s="35">
        <f>T7*(SQRT(V7))</f>
        <v>22.627416997969522</v>
      </c>
      <c r="X7" s="15"/>
      <c r="Y7" s="15">
        <v>24</v>
      </c>
      <c r="Z7" s="15">
        <v>18</v>
      </c>
      <c r="AA7" s="15">
        <v>8</v>
      </c>
      <c r="AB7" s="15">
        <v>8</v>
      </c>
      <c r="AC7" s="35">
        <f>Z7*(SQRT(AB7))</f>
        <v>50.911688245431428</v>
      </c>
      <c r="AD7" s="15"/>
    </row>
    <row r="8" spans="1:33" x14ac:dyDescent="0.25">
      <c r="A8" s="15">
        <v>1420</v>
      </c>
      <c r="C8" s="40" t="s">
        <v>781</v>
      </c>
      <c r="D8" s="40" t="s">
        <v>782</v>
      </c>
      <c r="E8" s="40" t="s">
        <v>783</v>
      </c>
      <c r="F8" s="40">
        <v>2017</v>
      </c>
      <c r="G8" s="41" t="s">
        <v>784</v>
      </c>
      <c r="H8" s="15">
        <v>1</v>
      </c>
      <c r="I8" s="15" t="s">
        <v>45</v>
      </c>
      <c r="J8" s="15" t="s">
        <v>33</v>
      </c>
      <c r="K8" s="32" t="s">
        <v>40</v>
      </c>
      <c r="L8" s="15">
        <v>360</v>
      </c>
      <c r="M8" s="15">
        <v>1</v>
      </c>
      <c r="N8" s="18">
        <v>21</v>
      </c>
      <c r="O8" s="18">
        <f>L8*M8*N8</f>
        <v>7560</v>
      </c>
      <c r="Q8" s="18">
        <v>5</v>
      </c>
      <c r="R8" s="53"/>
      <c r="S8" s="53"/>
      <c r="T8" s="53"/>
      <c r="U8" s="53"/>
      <c r="V8" s="53"/>
      <c r="W8" s="53"/>
      <c r="X8" s="15"/>
      <c r="Y8" s="53"/>
      <c r="Z8" s="53"/>
      <c r="AA8" s="53"/>
      <c r="AB8" s="53"/>
      <c r="AC8" s="53"/>
      <c r="AD8" s="15"/>
    </row>
    <row r="9" spans="1:33" x14ac:dyDescent="0.25">
      <c r="A9" s="15">
        <v>1422</v>
      </c>
      <c r="B9" s="15">
        <v>35727683</v>
      </c>
      <c r="C9" s="15" t="s">
        <v>480</v>
      </c>
      <c r="D9" s="15" t="s">
        <v>481</v>
      </c>
      <c r="E9" s="15" t="s">
        <v>482</v>
      </c>
      <c r="F9" s="15">
        <v>2022</v>
      </c>
      <c r="G9" s="15" t="s">
        <v>483</v>
      </c>
      <c r="H9" s="15">
        <v>1</v>
      </c>
      <c r="I9" s="15" t="s">
        <v>32</v>
      </c>
      <c r="J9" s="15" t="s">
        <v>33</v>
      </c>
      <c r="L9" s="15">
        <v>360</v>
      </c>
      <c r="M9" s="15">
        <v>1</v>
      </c>
      <c r="N9" s="18" t="s">
        <v>34</v>
      </c>
      <c r="Q9" s="18">
        <v>5</v>
      </c>
      <c r="R9" s="53"/>
      <c r="S9" s="53"/>
      <c r="T9" s="53"/>
      <c r="U9" s="53"/>
      <c r="V9" s="53"/>
      <c r="W9" s="53"/>
      <c r="X9" s="15"/>
      <c r="Y9" s="53"/>
      <c r="Z9" s="53"/>
      <c r="AA9" s="53"/>
      <c r="AB9" s="53"/>
      <c r="AC9" s="53"/>
      <c r="AD9" s="15"/>
    </row>
    <row r="10" spans="1:33" x14ac:dyDescent="0.25">
      <c r="A10" s="15">
        <v>1502</v>
      </c>
      <c r="C10" s="15" t="s">
        <v>41</v>
      </c>
      <c r="D10" s="15" t="s">
        <v>42</v>
      </c>
      <c r="E10" s="15" t="s">
        <v>43</v>
      </c>
      <c r="F10" s="15">
        <v>2018</v>
      </c>
      <c r="G10" s="15" t="s">
        <v>44</v>
      </c>
      <c r="H10" s="15">
        <v>1</v>
      </c>
      <c r="I10" s="15" t="s">
        <v>45</v>
      </c>
      <c r="J10" s="32" t="s">
        <v>34</v>
      </c>
      <c r="L10" s="15">
        <v>360</v>
      </c>
      <c r="M10" s="15">
        <v>1</v>
      </c>
      <c r="N10" s="18">
        <v>7</v>
      </c>
      <c r="O10" s="18">
        <f>L10*M10*N10</f>
        <v>2520</v>
      </c>
      <c r="Q10" s="18">
        <v>5</v>
      </c>
      <c r="R10" s="53"/>
      <c r="S10" s="53"/>
      <c r="T10" s="53"/>
      <c r="U10" s="53"/>
      <c r="V10" s="53"/>
      <c r="W10" s="53"/>
      <c r="X10" s="15"/>
      <c r="Y10" s="53"/>
      <c r="Z10" s="53"/>
      <c r="AA10" s="53"/>
      <c r="AB10" s="53"/>
      <c r="AC10" s="53"/>
      <c r="AD10" s="15"/>
    </row>
    <row r="11" spans="1:33" x14ac:dyDescent="0.25">
      <c r="A11" s="15">
        <v>1764</v>
      </c>
      <c r="B11" s="15">
        <v>30740068</v>
      </c>
      <c r="C11" s="15" t="s">
        <v>56</v>
      </c>
      <c r="D11" s="15" t="s">
        <v>57</v>
      </c>
      <c r="E11" s="15" t="s">
        <v>58</v>
      </c>
      <c r="F11" s="15">
        <v>2019</v>
      </c>
      <c r="G11" s="15" t="s">
        <v>59</v>
      </c>
      <c r="H11" s="15">
        <v>1</v>
      </c>
      <c r="I11" s="15" t="s">
        <v>32</v>
      </c>
      <c r="J11" s="15" t="s">
        <v>33</v>
      </c>
      <c r="K11" s="32" t="s">
        <v>40</v>
      </c>
      <c r="L11" s="15">
        <v>240</v>
      </c>
      <c r="M11" s="15">
        <v>1</v>
      </c>
      <c r="N11" s="18">
        <v>21</v>
      </c>
      <c r="O11" s="18">
        <f>N11*L11</f>
        <v>5040</v>
      </c>
      <c r="Q11" s="18">
        <v>5</v>
      </c>
      <c r="R11" s="53"/>
      <c r="S11" s="53"/>
      <c r="T11" s="53"/>
      <c r="U11" s="53"/>
      <c r="V11" s="53"/>
      <c r="W11" s="53"/>
      <c r="X11" s="15"/>
      <c r="Y11" s="53"/>
      <c r="Z11" s="53"/>
      <c r="AA11" s="53"/>
      <c r="AB11" s="53"/>
      <c r="AC11" s="53"/>
      <c r="AD11" s="15"/>
    </row>
    <row r="12" spans="1:33" x14ac:dyDescent="0.25">
      <c r="A12" s="15">
        <v>1767</v>
      </c>
      <c r="C12" s="40" t="s">
        <v>617</v>
      </c>
      <c r="D12" s="40" t="s">
        <v>618</v>
      </c>
      <c r="E12" s="40" t="s">
        <v>307</v>
      </c>
      <c r="F12" s="40">
        <v>2019</v>
      </c>
      <c r="G12" s="41" t="s">
        <v>619</v>
      </c>
      <c r="H12" s="15">
        <v>1</v>
      </c>
      <c r="I12" s="15" t="s">
        <v>32</v>
      </c>
      <c r="J12" s="15" t="s">
        <v>33</v>
      </c>
      <c r="L12" s="15">
        <v>360</v>
      </c>
      <c r="M12" s="15">
        <v>1</v>
      </c>
      <c r="N12" s="18">
        <v>14</v>
      </c>
      <c r="O12" s="18">
        <f>L12*M12*N12</f>
        <v>5040</v>
      </c>
      <c r="Q12" s="18">
        <v>30</v>
      </c>
      <c r="R12" s="53"/>
      <c r="S12" s="53"/>
      <c r="T12" s="53"/>
      <c r="U12" s="53"/>
      <c r="V12" s="53"/>
      <c r="W12" s="53"/>
      <c r="X12" s="15"/>
      <c r="Y12" s="53"/>
      <c r="Z12" s="53"/>
      <c r="AA12" s="53"/>
      <c r="AB12" s="53"/>
      <c r="AC12" s="53"/>
      <c r="AD12" s="15"/>
    </row>
    <row r="13" spans="1:33" x14ac:dyDescent="0.25">
      <c r="A13" s="15">
        <v>1983</v>
      </c>
      <c r="C13" s="15" t="s">
        <v>66</v>
      </c>
      <c r="D13" s="15" t="s">
        <v>67</v>
      </c>
      <c r="E13" s="15" t="s">
        <v>68</v>
      </c>
      <c r="F13" s="15">
        <v>2017</v>
      </c>
      <c r="G13" s="15" t="s">
        <v>69</v>
      </c>
      <c r="H13" s="15">
        <v>1</v>
      </c>
      <c r="I13" s="15" t="s">
        <v>45</v>
      </c>
      <c r="J13" s="15" t="s">
        <v>33</v>
      </c>
      <c r="L13" s="15">
        <v>180</v>
      </c>
      <c r="M13" s="15">
        <v>1</v>
      </c>
      <c r="N13" s="18">
        <v>15</v>
      </c>
      <c r="O13" s="18">
        <f>L13*M13*N13</f>
        <v>2700</v>
      </c>
      <c r="P13" s="15" t="s">
        <v>70</v>
      </c>
      <c r="Q13" s="18" t="s">
        <v>34</v>
      </c>
      <c r="R13" s="53"/>
      <c r="S13" s="53"/>
      <c r="T13" s="53"/>
      <c r="U13" s="53"/>
      <c r="V13" s="53"/>
      <c r="W13" s="53"/>
      <c r="X13" s="15"/>
      <c r="Y13" s="53"/>
      <c r="Z13" s="53"/>
      <c r="AA13" s="53"/>
      <c r="AB13" s="53"/>
      <c r="AC13" s="53"/>
      <c r="AD13" s="15"/>
    </row>
    <row r="14" spans="1:33" x14ac:dyDescent="0.25">
      <c r="A14" s="15">
        <v>2075</v>
      </c>
      <c r="B14" s="15">
        <v>35814204</v>
      </c>
      <c r="C14" s="15" t="s">
        <v>74</v>
      </c>
      <c r="D14" s="15" t="s">
        <v>75</v>
      </c>
      <c r="E14" s="15" t="s">
        <v>76</v>
      </c>
      <c r="F14" s="15">
        <v>2022</v>
      </c>
      <c r="G14" s="15" t="s">
        <v>77</v>
      </c>
      <c r="H14" s="15">
        <v>1</v>
      </c>
      <c r="I14" s="15" t="s">
        <v>32</v>
      </c>
      <c r="J14" s="15" t="s">
        <v>33</v>
      </c>
      <c r="K14" s="32" t="s">
        <v>40</v>
      </c>
      <c r="L14" s="15">
        <v>180</v>
      </c>
      <c r="M14" s="15">
        <v>1</v>
      </c>
      <c r="N14" s="18">
        <v>21</v>
      </c>
      <c r="O14" s="18">
        <f>N14*L14</f>
        <v>3780</v>
      </c>
      <c r="Q14" s="18">
        <v>10</v>
      </c>
      <c r="R14" s="53"/>
      <c r="S14" s="53"/>
      <c r="T14" s="53"/>
      <c r="U14" s="53"/>
      <c r="V14" s="53"/>
      <c r="W14" s="53"/>
      <c r="X14" s="15"/>
      <c r="Y14" s="53"/>
      <c r="Z14" s="53"/>
      <c r="AA14" s="53"/>
      <c r="AB14" s="53"/>
      <c r="AC14" s="53"/>
      <c r="AD14" s="15"/>
    </row>
    <row r="15" spans="1:33" x14ac:dyDescent="0.25">
      <c r="A15" s="15">
        <v>2165</v>
      </c>
      <c r="C15" s="15" t="s">
        <v>485</v>
      </c>
      <c r="D15" s="15" t="s">
        <v>486</v>
      </c>
      <c r="E15" s="15" t="s">
        <v>487</v>
      </c>
      <c r="F15" s="15">
        <v>2020</v>
      </c>
      <c r="G15" s="15" t="s">
        <v>488</v>
      </c>
      <c r="H15" s="15">
        <v>1</v>
      </c>
      <c r="I15" s="15" t="s">
        <v>32</v>
      </c>
      <c r="J15" s="15" t="s">
        <v>33</v>
      </c>
      <c r="K15" s="32" t="s">
        <v>73</v>
      </c>
      <c r="L15" s="15">
        <v>360</v>
      </c>
      <c r="M15" s="15">
        <v>1</v>
      </c>
      <c r="N15" s="18">
        <v>21</v>
      </c>
      <c r="O15" s="18">
        <f>L15*M15*N15</f>
        <v>7560</v>
      </c>
      <c r="Q15" s="18">
        <v>5</v>
      </c>
      <c r="R15" s="53"/>
      <c r="S15" s="53"/>
      <c r="T15" s="53"/>
      <c r="U15" s="53"/>
      <c r="V15" s="53"/>
      <c r="W15" s="53"/>
      <c r="X15" s="15"/>
      <c r="Y15" s="53"/>
      <c r="Z15" s="53"/>
      <c r="AA15" s="53"/>
      <c r="AB15" s="53"/>
      <c r="AC15" s="53"/>
      <c r="AD15" s="15"/>
    </row>
    <row r="16" spans="1:33" x14ac:dyDescent="0.25">
      <c r="A16" s="15">
        <v>2172</v>
      </c>
      <c r="B16" s="15">
        <v>26487859</v>
      </c>
      <c r="C16" s="15" t="s">
        <v>785</v>
      </c>
      <c r="D16" s="15" t="s">
        <v>786</v>
      </c>
      <c r="E16" s="15" t="s">
        <v>787</v>
      </c>
      <c r="F16" s="15">
        <v>2015</v>
      </c>
      <c r="G16" s="15" t="s">
        <v>788</v>
      </c>
      <c r="H16" s="15">
        <v>1</v>
      </c>
      <c r="I16" s="15" t="s">
        <v>32</v>
      </c>
      <c r="J16" s="15" t="s">
        <v>33</v>
      </c>
      <c r="K16" s="32" t="s">
        <v>47</v>
      </c>
      <c r="L16" s="15">
        <v>360</v>
      </c>
      <c r="M16" s="15">
        <v>1</v>
      </c>
      <c r="N16" s="18">
        <v>28</v>
      </c>
      <c r="O16" s="18">
        <f t="shared" ref="O16:O21" si="0">N16*L16</f>
        <v>10080</v>
      </c>
      <c r="Q16" s="18">
        <v>5</v>
      </c>
      <c r="R16" s="53"/>
      <c r="S16" s="53"/>
      <c r="T16" s="53"/>
      <c r="U16" s="53"/>
      <c r="V16" s="53"/>
      <c r="W16" s="53"/>
      <c r="X16" s="15"/>
      <c r="Y16" s="53"/>
      <c r="Z16" s="53"/>
      <c r="AA16" s="53"/>
      <c r="AB16" s="53"/>
      <c r="AC16" s="53"/>
      <c r="AD16" s="15"/>
    </row>
    <row r="17" spans="1:30" x14ac:dyDescent="0.25">
      <c r="A17" s="15">
        <v>2300</v>
      </c>
      <c r="B17" s="15">
        <v>29561292</v>
      </c>
      <c r="C17" s="15" t="s">
        <v>79</v>
      </c>
      <c r="D17" s="15" t="s">
        <v>80</v>
      </c>
      <c r="E17" s="15" t="s">
        <v>81</v>
      </c>
      <c r="F17" s="15">
        <v>2018</v>
      </c>
      <c r="G17" s="15" t="s">
        <v>82</v>
      </c>
      <c r="H17" s="15">
        <v>1</v>
      </c>
      <c r="I17" s="15" t="s">
        <v>45</v>
      </c>
      <c r="J17" s="15" t="s">
        <v>33</v>
      </c>
      <c r="L17" s="15">
        <v>360</v>
      </c>
      <c r="M17" s="15">
        <v>1</v>
      </c>
      <c r="N17" s="18">
        <v>28</v>
      </c>
      <c r="O17" s="18">
        <f t="shared" si="0"/>
        <v>10080</v>
      </c>
      <c r="Q17" s="18">
        <v>5</v>
      </c>
      <c r="R17" s="53"/>
      <c r="S17" s="53"/>
      <c r="T17" s="53"/>
      <c r="U17" s="53"/>
      <c r="V17" s="53"/>
      <c r="W17" s="53"/>
      <c r="X17" s="15"/>
      <c r="Y17" s="53"/>
      <c r="Z17" s="53"/>
      <c r="AA17" s="53"/>
      <c r="AB17" s="53"/>
      <c r="AC17" s="53"/>
      <c r="AD17" s="15"/>
    </row>
    <row r="18" spans="1:30" x14ac:dyDescent="0.25">
      <c r="A18" s="15">
        <v>2504</v>
      </c>
      <c r="B18" s="15">
        <v>36162616</v>
      </c>
      <c r="C18" s="15" t="s">
        <v>93</v>
      </c>
      <c r="D18" s="15" t="s">
        <v>94</v>
      </c>
      <c r="E18" s="15" t="s">
        <v>95</v>
      </c>
      <c r="F18" s="15">
        <v>2022</v>
      </c>
      <c r="G18" s="15" t="s">
        <v>96</v>
      </c>
      <c r="H18" s="15">
        <v>1</v>
      </c>
      <c r="I18" s="15" t="s">
        <v>45</v>
      </c>
      <c r="J18" s="15" t="s">
        <v>33</v>
      </c>
      <c r="L18" s="15">
        <v>360</v>
      </c>
      <c r="M18" s="15">
        <v>1</v>
      </c>
      <c r="N18" s="18">
        <v>21</v>
      </c>
      <c r="O18" s="18">
        <f t="shared" si="0"/>
        <v>7560</v>
      </c>
      <c r="Q18" s="18">
        <v>3</v>
      </c>
      <c r="R18" s="53"/>
      <c r="S18" s="53"/>
      <c r="T18" s="53"/>
      <c r="U18" s="53"/>
      <c r="V18" s="53"/>
      <c r="W18" s="53"/>
      <c r="X18" s="15"/>
      <c r="Y18" s="53"/>
      <c r="Z18" s="53"/>
      <c r="AA18" s="53"/>
      <c r="AB18" s="53"/>
      <c r="AC18" s="53"/>
      <c r="AD18" s="15"/>
    </row>
    <row r="19" spans="1:30" x14ac:dyDescent="0.25">
      <c r="A19" s="15">
        <v>2506</v>
      </c>
      <c r="B19" s="15">
        <v>30735600</v>
      </c>
      <c r="C19" s="15" t="s">
        <v>98</v>
      </c>
      <c r="D19" s="15" t="s">
        <v>99</v>
      </c>
      <c r="E19" s="15" t="s">
        <v>100</v>
      </c>
      <c r="F19" s="15">
        <v>2019</v>
      </c>
      <c r="G19" s="15" t="s">
        <v>101</v>
      </c>
      <c r="H19" s="15">
        <v>1</v>
      </c>
      <c r="I19" s="15" t="s">
        <v>32</v>
      </c>
      <c r="J19" s="15" t="s">
        <v>33</v>
      </c>
      <c r="L19" s="15">
        <v>360</v>
      </c>
      <c r="M19" s="15">
        <v>1</v>
      </c>
      <c r="N19" s="18">
        <v>14</v>
      </c>
      <c r="O19" s="18">
        <f t="shared" si="0"/>
        <v>5040</v>
      </c>
      <c r="Q19" s="18">
        <v>5</v>
      </c>
      <c r="R19" s="53"/>
      <c r="S19" s="53"/>
      <c r="T19" s="53"/>
      <c r="U19" s="53"/>
      <c r="V19" s="53"/>
      <c r="W19" s="53"/>
      <c r="X19" s="15"/>
      <c r="Y19" s="53"/>
      <c r="Z19" s="53"/>
      <c r="AA19" s="53"/>
      <c r="AB19" s="53"/>
      <c r="AC19" s="53"/>
      <c r="AD19" s="15"/>
    </row>
    <row r="20" spans="1:30" x14ac:dyDescent="0.25">
      <c r="A20" s="15">
        <v>2627</v>
      </c>
      <c r="B20" s="15">
        <v>32502515</v>
      </c>
      <c r="C20" s="15" t="s">
        <v>789</v>
      </c>
      <c r="D20" s="15" t="s">
        <v>790</v>
      </c>
      <c r="E20" s="15" t="s">
        <v>267</v>
      </c>
      <c r="F20" s="15">
        <v>2020</v>
      </c>
      <c r="G20" s="15" t="s">
        <v>791</v>
      </c>
      <c r="H20" s="15">
        <v>1</v>
      </c>
      <c r="I20" s="15" t="s">
        <v>32</v>
      </c>
      <c r="J20" s="15" t="s">
        <v>33</v>
      </c>
      <c r="L20" s="15">
        <v>480</v>
      </c>
      <c r="M20" s="15">
        <v>1</v>
      </c>
      <c r="N20" s="18">
        <v>21</v>
      </c>
      <c r="O20" s="18">
        <f t="shared" si="0"/>
        <v>10080</v>
      </c>
      <c r="Q20" s="18">
        <v>5</v>
      </c>
      <c r="R20" s="53"/>
      <c r="S20" s="53"/>
      <c r="T20" s="53"/>
      <c r="U20" s="53"/>
      <c r="V20" s="53"/>
      <c r="W20" s="53"/>
      <c r="X20" s="15"/>
      <c r="Y20" s="53"/>
      <c r="Z20" s="53"/>
      <c r="AA20" s="53"/>
      <c r="AB20" s="53"/>
      <c r="AC20" s="53"/>
      <c r="AD20" s="15"/>
    </row>
    <row r="21" spans="1:30" x14ac:dyDescent="0.25">
      <c r="A21" s="15">
        <v>2744</v>
      </c>
      <c r="B21" s="15">
        <v>37259443</v>
      </c>
      <c r="C21" s="15" t="s">
        <v>107</v>
      </c>
      <c r="D21" s="15" t="s">
        <v>108</v>
      </c>
      <c r="E21" s="15" t="s">
        <v>109</v>
      </c>
      <c r="F21" s="15">
        <v>2023</v>
      </c>
      <c r="G21" s="15" t="s">
        <v>110</v>
      </c>
      <c r="H21" s="15">
        <v>1</v>
      </c>
      <c r="I21" s="15" t="s">
        <v>45</v>
      </c>
      <c r="J21" s="15" t="s">
        <v>33</v>
      </c>
      <c r="L21" s="15">
        <v>360</v>
      </c>
      <c r="M21" s="15">
        <v>1</v>
      </c>
      <c r="N21" s="18">
        <v>21</v>
      </c>
      <c r="O21" s="18">
        <f t="shared" si="0"/>
        <v>7560</v>
      </c>
      <c r="Q21" s="18">
        <v>3</v>
      </c>
      <c r="R21" s="53"/>
      <c r="S21" s="53"/>
      <c r="T21" s="53"/>
      <c r="U21" s="53"/>
      <c r="V21" s="53"/>
      <c r="W21" s="53"/>
      <c r="X21" s="15"/>
      <c r="Y21" s="53"/>
      <c r="Z21" s="53"/>
      <c r="AA21" s="53"/>
      <c r="AB21" s="53"/>
      <c r="AC21" s="53"/>
      <c r="AD21" s="15"/>
    </row>
    <row r="22" spans="1:30" x14ac:dyDescent="0.25">
      <c r="A22" s="15">
        <v>2795</v>
      </c>
      <c r="C22" s="15" t="s">
        <v>113</v>
      </c>
      <c r="D22" s="15" t="s">
        <v>114</v>
      </c>
      <c r="E22" s="15" t="s">
        <v>115</v>
      </c>
      <c r="F22" s="15">
        <v>2022</v>
      </c>
      <c r="G22" s="15" t="s">
        <v>116</v>
      </c>
      <c r="H22" s="15">
        <v>1</v>
      </c>
      <c r="I22" s="15" t="s">
        <v>117</v>
      </c>
      <c r="J22" s="15" t="s">
        <v>33</v>
      </c>
      <c r="L22" s="15">
        <v>360</v>
      </c>
      <c r="M22" s="15">
        <v>1</v>
      </c>
      <c r="N22" s="18">
        <v>28</v>
      </c>
      <c r="O22" s="18">
        <f t="shared" ref="O22:O29" si="1">L22*M22*N22</f>
        <v>10080</v>
      </c>
      <c r="Q22" s="18">
        <v>10</v>
      </c>
      <c r="R22" s="53"/>
      <c r="S22" s="53"/>
      <c r="T22" s="53"/>
      <c r="U22" s="53"/>
      <c r="V22" s="53"/>
      <c r="W22" s="53"/>
      <c r="X22" s="15"/>
      <c r="Y22" s="53"/>
      <c r="Z22" s="53"/>
      <c r="AA22" s="53"/>
      <c r="AB22" s="53"/>
      <c r="AC22" s="53"/>
      <c r="AD22" s="15"/>
    </row>
    <row r="23" spans="1:30" x14ac:dyDescent="0.25">
      <c r="A23" s="37">
        <v>2949</v>
      </c>
      <c r="B23" s="37"/>
      <c r="C23" s="37" t="s">
        <v>626</v>
      </c>
      <c r="D23" s="37" t="s">
        <v>627</v>
      </c>
      <c r="E23" s="37" t="s">
        <v>628</v>
      </c>
      <c r="F23" s="37">
        <v>2019</v>
      </c>
      <c r="G23" s="37" t="s">
        <v>629</v>
      </c>
      <c r="H23" s="15">
        <v>1</v>
      </c>
      <c r="I23" s="15" t="s">
        <v>32</v>
      </c>
      <c r="J23" s="15" t="s">
        <v>33</v>
      </c>
      <c r="L23" s="15">
        <v>480</v>
      </c>
      <c r="M23" s="15">
        <v>1</v>
      </c>
      <c r="N23" s="18">
        <v>1</v>
      </c>
      <c r="O23" s="51">
        <f t="shared" si="1"/>
        <v>480</v>
      </c>
      <c r="Q23" s="18" t="s">
        <v>34</v>
      </c>
      <c r="R23" s="53"/>
      <c r="S23" s="53"/>
      <c r="T23" s="53"/>
      <c r="U23" s="53"/>
      <c r="V23" s="53"/>
      <c r="W23" s="53"/>
      <c r="X23" s="15"/>
      <c r="Y23" s="53"/>
      <c r="Z23" s="53"/>
      <c r="AA23" s="53"/>
      <c r="AB23" s="53"/>
      <c r="AC23" s="53"/>
      <c r="AD23" s="15"/>
    </row>
    <row r="24" spans="1:30" x14ac:dyDescent="0.25">
      <c r="A24" s="37">
        <v>2949</v>
      </c>
      <c r="B24" s="37"/>
      <c r="C24" s="37" t="s">
        <v>626</v>
      </c>
      <c r="D24" s="37" t="s">
        <v>627</v>
      </c>
      <c r="E24" s="37" t="s">
        <v>628</v>
      </c>
      <c r="F24" s="37">
        <v>2019</v>
      </c>
      <c r="G24" s="37" t="s">
        <v>629</v>
      </c>
      <c r="H24" s="15">
        <v>1</v>
      </c>
      <c r="I24" s="15" t="s">
        <v>32</v>
      </c>
      <c r="J24" s="15" t="s">
        <v>33</v>
      </c>
      <c r="L24" s="15">
        <v>480</v>
      </c>
      <c r="M24" s="15">
        <v>1</v>
      </c>
      <c r="N24" s="18">
        <v>3</v>
      </c>
      <c r="O24" s="51">
        <f t="shared" si="1"/>
        <v>1440</v>
      </c>
      <c r="Q24" s="18" t="s">
        <v>34</v>
      </c>
      <c r="R24" s="53"/>
      <c r="S24" s="53"/>
      <c r="T24" s="53"/>
      <c r="U24" s="53"/>
      <c r="V24" s="53"/>
      <c r="W24" s="53"/>
      <c r="X24" s="15"/>
      <c r="Y24" s="53"/>
      <c r="Z24" s="53"/>
      <c r="AA24" s="53"/>
      <c r="AB24" s="53"/>
      <c r="AC24" s="53"/>
      <c r="AD24" s="15"/>
    </row>
    <row r="25" spans="1:30" x14ac:dyDescent="0.25">
      <c r="A25" s="37">
        <v>2949</v>
      </c>
      <c r="B25" s="37"/>
      <c r="C25" s="37" t="s">
        <v>626</v>
      </c>
      <c r="D25" s="37" t="s">
        <v>627</v>
      </c>
      <c r="E25" s="37" t="s">
        <v>628</v>
      </c>
      <c r="F25" s="37">
        <v>2019</v>
      </c>
      <c r="G25" s="37" t="s">
        <v>629</v>
      </c>
      <c r="H25" s="15">
        <v>1</v>
      </c>
      <c r="I25" s="15" t="s">
        <v>32</v>
      </c>
      <c r="J25" s="15" t="s">
        <v>33</v>
      </c>
      <c r="L25" s="15">
        <v>480</v>
      </c>
      <c r="M25" s="15">
        <v>1</v>
      </c>
      <c r="N25" s="18">
        <v>5</v>
      </c>
      <c r="O25" s="51">
        <f t="shared" si="1"/>
        <v>2400</v>
      </c>
      <c r="Q25" s="18" t="s">
        <v>34</v>
      </c>
      <c r="R25" s="53"/>
      <c r="S25" s="53"/>
      <c r="T25" s="53"/>
      <c r="U25" s="53"/>
      <c r="V25" s="53"/>
      <c r="W25" s="53"/>
      <c r="X25" s="15"/>
      <c r="Y25" s="53"/>
      <c r="Z25" s="53"/>
      <c r="AA25" s="53"/>
      <c r="AB25" s="53"/>
      <c r="AC25" s="53"/>
      <c r="AD25" s="15"/>
    </row>
    <row r="26" spans="1:30" x14ac:dyDescent="0.25">
      <c r="A26" s="37">
        <v>2949</v>
      </c>
      <c r="B26" s="37"/>
      <c r="C26" s="37" t="s">
        <v>626</v>
      </c>
      <c r="D26" s="37" t="s">
        <v>627</v>
      </c>
      <c r="E26" s="37" t="s">
        <v>628</v>
      </c>
      <c r="F26" s="37">
        <v>2019</v>
      </c>
      <c r="G26" s="37" t="s">
        <v>629</v>
      </c>
      <c r="H26" s="15">
        <v>1</v>
      </c>
      <c r="I26" s="15" t="s">
        <v>32</v>
      </c>
      <c r="J26" s="15" t="s">
        <v>33</v>
      </c>
      <c r="L26" s="15">
        <v>480</v>
      </c>
      <c r="M26" s="15">
        <v>1</v>
      </c>
      <c r="N26" s="18">
        <v>7</v>
      </c>
      <c r="O26" s="51">
        <f t="shared" si="1"/>
        <v>3360</v>
      </c>
      <c r="Q26" s="18" t="s">
        <v>34</v>
      </c>
      <c r="R26" s="53"/>
      <c r="S26" s="53"/>
      <c r="T26" s="53"/>
      <c r="U26" s="53"/>
      <c r="V26" s="53"/>
      <c r="W26" s="53"/>
      <c r="X26" s="15"/>
      <c r="Y26" s="53"/>
      <c r="Z26" s="53"/>
      <c r="AA26" s="53"/>
      <c r="AB26" s="53"/>
      <c r="AC26" s="53"/>
      <c r="AD26" s="15"/>
    </row>
    <row r="27" spans="1:30" x14ac:dyDescent="0.25">
      <c r="A27" s="37">
        <v>2949</v>
      </c>
      <c r="B27" s="37"/>
      <c r="C27" s="37" t="s">
        <v>626</v>
      </c>
      <c r="D27" s="37" t="s">
        <v>627</v>
      </c>
      <c r="E27" s="37" t="s">
        <v>628</v>
      </c>
      <c r="F27" s="37">
        <v>2019</v>
      </c>
      <c r="G27" s="37" t="s">
        <v>629</v>
      </c>
      <c r="H27" s="15">
        <v>1</v>
      </c>
      <c r="I27" s="15" t="s">
        <v>32</v>
      </c>
      <c r="J27" s="15" t="s">
        <v>33</v>
      </c>
      <c r="L27" s="15">
        <v>480</v>
      </c>
      <c r="M27" s="15">
        <v>1</v>
      </c>
      <c r="N27" s="18">
        <v>9</v>
      </c>
      <c r="O27" s="51">
        <f t="shared" si="1"/>
        <v>4320</v>
      </c>
      <c r="Q27" s="18" t="s">
        <v>34</v>
      </c>
      <c r="R27" s="53"/>
      <c r="S27" s="53"/>
      <c r="T27" s="53"/>
      <c r="U27" s="53"/>
      <c r="V27" s="53"/>
      <c r="W27" s="53"/>
      <c r="X27" s="15"/>
      <c r="Y27" s="53"/>
      <c r="Z27" s="53"/>
      <c r="AA27" s="53"/>
      <c r="AB27" s="53"/>
      <c r="AC27" s="53"/>
      <c r="AD27" s="15"/>
    </row>
    <row r="28" spans="1:30" x14ac:dyDescent="0.25">
      <c r="A28" s="37">
        <v>2949</v>
      </c>
      <c r="B28" s="37"/>
      <c r="C28" s="37" t="s">
        <v>626</v>
      </c>
      <c r="D28" s="37" t="s">
        <v>627</v>
      </c>
      <c r="E28" s="37" t="s">
        <v>628</v>
      </c>
      <c r="F28" s="37">
        <v>2019</v>
      </c>
      <c r="G28" s="37" t="s">
        <v>629</v>
      </c>
      <c r="H28" s="15">
        <v>1</v>
      </c>
      <c r="I28" s="15" t="s">
        <v>32</v>
      </c>
      <c r="J28" s="15" t="s">
        <v>33</v>
      </c>
      <c r="L28" s="15">
        <v>480</v>
      </c>
      <c r="M28" s="15">
        <v>1</v>
      </c>
      <c r="N28" s="18">
        <v>11</v>
      </c>
      <c r="O28" s="51">
        <f t="shared" si="1"/>
        <v>5280</v>
      </c>
      <c r="Q28" s="18" t="s">
        <v>34</v>
      </c>
      <c r="R28" s="53"/>
      <c r="S28" s="53"/>
      <c r="T28" s="53"/>
      <c r="U28" s="53"/>
      <c r="V28" s="53"/>
      <c r="W28" s="53"/>
      <c r="X28" s="15"/>
      <c r="Y28" s="53"/>
      <c r="Z28" s="53"/>
      <c r="AA28" s="53"/>
      <c r="AB28" s="53"/>
      <c r="AC28" s="53"/>
      <c r="AD28" s="15"/>
    </row>
    <row r="29" spans="1:30" x14ac:dyDescent="0.25">
      <c r="A29" s="37">
        <v>2949</v>
      </c>
      <c r="B29" s="37"/>
      <c r="C29" s="37" t="s">
        <v>626</v>
      </c>
      <c r="D29" s="37" t="s">
        <v>627</v>
      </c>
      <c r="E29" s="37" t="s">
        <v>628</v>
      </c>
      <c r="F29" s="37">
        <v>2019</v>
      </c>
      <c r="G29" s="37" t="s">
        <v>629</v>
      </c>
      <c r="H29" s="15">
        <v>1</v>
      </c>
      <c r="I29" s="15" t="s">
        <v>32</v>
      </c>
      <c r="J29" s="15" t="s">
        <v>33</v>
      </c>
      <c r="L29" s="15">
        <v>480</v>
      </c>
      <c r="M29" s="15">
        <v>1</v>
      </c>
      <c r="N29" s="18">
        <v>14</v>
      </c>
      <c r="O29" s="51">
        <f t="shared" si="1"/>
        <v>6720</v>
      </c>
      <c r="Q29" s="18" t="s">
        <v>34</v>
      </c>
      <c r="R29" s="53"/>
      <c r="S29" s="53"/>
      <c r="T29" s="53"/>
      <c r="U29" s="53"/>
      <c r="V29" s="53"/>
      <c r="W29" s="53"/>
      <c r="X29" s="15"/>
      <c r="Y29" s="53"/>
      <c r="Z29" s="53"/>
      <c r="AA29" s="53"/>
      <c r="AB29" s="53"/>
      <c r="AC29" s="53"/>
      <c r="AD29" s="15"/>
    </row>
    <row r="30" spans="1:30" x14ac:dyDescent="0.25">
      <c r="A30" s="15">
        <v>3077</v>
      </c>
      <c r="B30" s="15">
        <v>28763303</v>
      </c>
      <c r="C30" s="15" t="s">
        <v>124</v>
      </c>
      <c r="D30" s="15" t="s">
        <v>125</v>
      </c>
      <c r="E30" s="15" t="s">
        <v>81</v>
      </c>
      <c r="F30" s="15">
        <v>2018</v>
      </c>
      <c r="G30" s="15" t="s">
        <v>126</v>
      </c>
      <c r="H30" s="15">
        <v>1</v>
      </c>
      <c r="I30" s="15" t="s">
        <v>45</v>
      </c>
      <c r="J30" s="15" t="s">
        <v>33</v>
      </c>
      <c r="L30" s="15">
        <v>360</v>
      </c>
      <c r="M30" s="15">
        <v>1</v>
      </c>
      <c r="N30" s="18">
        <v>28</v>
      </c>
      <c r="O30" s="18">
        <f>N30*L30</f>
        <v>10080</v>
      </c>
      <c r="Q30" s="18">
        <v>5</v>
      </c>
      <c r="R30" s="15" t="s">
        <v>409</v>
      </c>
      <c r="S30" s="57"/>
      <c r="T30" s="57"/>
      <c r="U30" s="57"/>
      <c r="V30" s="57"/>
      <c r="W30" s="57"/>
      <c r="X30" s="15"/>
      <c r="Y30" s="57"/>
      <c r="Z30" s="57"/>
      <c r="AA30" s="57"/>
      <c r="AB30" s="57"/>
      <c r="AC30" s="57"/>
      <c r="AD30" s="15"/>
    </row>
    <row r="31" spans="1:30" x14ac:dyDescent="0.25">
      <c r="A31" s="37">
        <v>3158</v>
      </c>
      <c r="B31" s="37"/>
      <c r="C31" s="37" t="s">
        <v>792</v>
      </c>
      <c r="D31" s="37" t="s">
        <v>793</v>
      </c>
      <c r="E31" s="37" t="s">
        <v>672</v>
      </c>
      <c r="F31" s="37">
        <v>2020</v>
      </c>
      <c r="G31" s="37" t="s">
        <v>794</v>
      </c>
      <c r="H31" s="15">
        <v>1</v>
      </c>
      <c r="I31" s="15" t="s">
        <v>45</v>
      </c>
      <c r="J31" s="15" t="s">
        <v>33</v>
      </c>
      <c r="K31" s="32" t="s">
        <v>47</v>
      </c>
      <c r="L31" s="15">
        <v>30</v>
      </c>
      <c r="M31" s="15">
        <v>1</v>
      </c>
      <c r="N31" s="32" t="s">
        <v>34</v>
      </c>
      <c r="P31" s="37" t="s">
        <v>909</v>
      </c>
      <c r="Q31" s="18">
        <v>20</v>
      </c>
      <c r="R31" s="15" t="s">
        <v>795</v>
      </c>
      <c r="S31" s="15">
        <v>225</v>
      </c>
      <c r="T31" s="15">
        <v>13</v>
      </c>
      <c r="U31" s="15">
        <v>10</v>
      </c>
      <c r="V31" s="15">
        <v>10</v>
      </c>
      <c r="W31" s="35">
        <f>T31*(SQRT(V31))</f>
        <v>41.109609582188931</v>
      </c>
      <c r="X31" s="15"/>
      <c r="Y31" s="15">
        <v>73</v>
      </c>
      <c r="Z31" s="15">
        <v>10</v>
      </c>
      <c r="AA31" s="15">
        <v>10</v>
      </c>
      <c r="AB31" s="15">
        <v>10</v>
      </c>
      <c r="AC31" s="35">
        <f>Z31*(SQRT(AB31))</f>
        <v>31.622776601683796</v>
      </c>
      <c r="AD31" s="15"/>
    </row>
    <row r="32" spans="1:30" x14ac:dyDescent="0.25">
      <c r="A32" s="37">
        <v>3158</v>
      </c>
      <c r="B32" s="37"/>
      <c r="C32" s="37" t="s">
        <v>792</v>
      </c>
      <c r="D32" s="37" t="s">
        <v>793</v>
      </c>
      <c r="E32" s="37" t="s">
        <v>672</v>
      </c>
      <c r="F32" s="37">
        <v>2020</v>
      </c>
      <c r="G32" s="37" t="s">
        <v>794</v>
      </c>
      <c r="H32" s="15">
        <v>1</v>
      </c>
      <c r="I32" s="15" t="s">
        <v>45</v>
      </c>
      <c r="J32" s="15" t="s">
        <v>33</v>
      </c>
      <c r="K32" s="32" t="s">
        <v>47</v>
      </c>
      <c r="L32" s="15">
        <v>30</v>
      </c>
      <c r="M32" s="15">
        <v>1</v>
      </c>
      <c r="N32" s="32" t="s">
        <v>34</v>
      </c>
      <c r="P32" s="37" t="s">
        <v>910</v>
      </c>
      <c r="Q32" s="18">
        <v>20</v>
      </c>
      <c r="R32" s="15" t="s">
        <v>795</v>
      </c>
      <c r="S32" s="15">
        <v>133</v>
      </c>
      <c r="T32" s="15">
        <v>11</v>
      </c>
      <c r="U32" s="15">
        <v>10</v>
      </c>
      <c r="V32" s="15">
        <v>10</v>
      </c>
      <c r="W32" s="35">
        <f t="shared" ref="W32:W37" si="2">T32*(SQRT(V32))</f>
        <v>34.785054261852174</v>
      </c>
      <c r="X32" s="15"/>
      <c r="Y32" s="15">
        <v>117</v>
      </c>
      <c r="Z32" s="15">
        <v>7</v>
      </c>
      <c r="AA32" s="15">
        <v>10</v>
      </c>
      <c r="AB32" s="15">
        <v>10</v>
      </c>
      <c r="AC32" s="35">
        <f t="shared" ref="AC32:AC37" si="3">Z32*(SQRT(AB32))</f>
        <v>22.135943621178658</v>
      </c>
    </row>
    <row r="33" spans="1:30" x14ac:dyDescent="0.25">
      <c r="A33" s="37">
        <v>3158</v>
      </c>
      <c r="B33" s="37"/>
      <c r="C33" s="37" t="s">
        <v>792</v>
      </c>
      <c r="D33" s="37" t="s">
        <v>793</v>
      </c>
      <c r="E33" s="37" t="s">
        <v>672</v>
      </c>
      <c r="F33" s="37">
        <v>2020</v>
      </c>
      <c r="G33" s="37" t="s">
        <v>794</v>
      </c>
      <c r="H33" s="15">
        <v>1</v>
      </c>
      <c r="I33" s="15" t="s">
        <v>45</v>
      </c>
      <c r="J33" s="15" t="s">
        <v>33</v>
      </c>
      <c r="K33" s="32" t="s">
        <v>47</v>
      </c>
      <c r="L33" s="15">
        <v>30</v>
      </c>
      <c r="M33" s="15">
        <v>1</v>
      </c>
      <c r="N33" s="32" t="s">
        <v>34</v>
      </c>
      <c r="P33" s="37" t="s">
        <v>911</v>
      </c>
      <c r="Q33" s="18">
        <v>20</v>
      </c>
      <c r="R33" s="15" t="s">
        <v>795</v>
      </c>
      <c r="S33" s="15">
        <v>189</v>
      </c>
      <c r="T33" s="15">
        <v>6</v>
      </c>
      <c r="U33" s="15">
        <v>10</v>
      </c>
      <c r="V33" s="15">
        <v>10</v>
      </c>
      <c r="W33" s="35">
        <f t="shared" si="2"/>
        <v>18.973665961010276</v>
      </c>
      <c r="X33" s="15"/>
      <c r="Y33" s="15">
        <v>89</v>
      </c>
      <c r="Z33" s="15">
        <v>9</v>
      </c>
      <c r="AA33" s="15">
        <v>10</v>
      </c>
      <c r="AB33" s="15">
        <v>10</v>
      </c>
      <c r="AC33" s="35">
        <f t="shared" si="3"/>
        <v>28.460498941515414</v>
      </c>
    </row>
    <row r="34" spans="1:30" x14ac:dyDescent="0.25">
      <c r="A34" s="37">
        <v>3158</v>
      </c>
      <c r="B34" s="37"/>
      <c r="C34" s="37" t="s">
        <v>792</v>
      </c>
      <c r="D34" s="37" t="s">
        <v>793</v>
      </c>
      <c r="E34" s="37" t="s">
        <v>672</v>
      </c>
      <c r="F34" s="37">
        <v>2020</v>
      </c>
      <c r="G34" s="37" t="s">
        <v>794</v>
      </c>
      <c r="H34" s="15">
        <v>1</v>
      </c>
      <c r="I34" s="15" t="s">
        <v>45</v>
      </c>
      <c r="J34" s="15" t="s">
        <v>33</v>
      </c>
      <c r="K34" s="32" t="s">
        <v>47</v>
      </c>
      <c r="L34" s="15">
        <v>30</v>
      </c>
      <c r="M34" s="15">
        <v>1</v>
      </c>
      <c r="N34" s="32" t="s">
        <v>34</v>
      </c>
      <c r="P34" s="37" t="s">
        <v>912</v>
      </c>
      <c r="Q34" s="18">
        <v>20</v>
      </c>
      <c r="R34" s="15" t="s">
        <v>795</v>
      </c>
      <c r="S34" s="15">
        <v>153</v>
      </c>
      <c r="T34" s="15">
        <v>13</v>
      </c>
      <c r="U34" s="15">
        <v>10</v>
      </c>
      <c r="V34" s="15">
        <v>10</v>
      </c>
      <c r="W34" s="35">
        <f t="shared" si="2"/>
        <v>41.109609582188931</v>
      </c>
      <c r="X34" s="15"/>
      <c r="Y34" s="15">
        <v>130</v>
      </c>
      <c r="Z34" s="15">
        <v>22</v>
      </c>
      <c r="AA34" s="15">
        <v>10</v>
      </c>
      <c r="AB34" s="15">
        <v>10</v>
      </c>
      <c r="AC34" s="35">
        <f t="shared" si="3"/>
        <v>69.570108523704349</v>
      </c>
    </row>
    <row r="35" spans="1:30" x14ac:dyDescent="0.25">
      <c r="A35" s="37">
        <v>3158</v>
      </c>
      <c r="B35" s="37"/>
      <c r="C35" s="37" t="s">
        <v>792</v>
      </c>
      <c r="D35" s="37" t="s">
        <v>793</v>
      </c>
      <c r="E35" s="37" t="s">
        <v>672</v>
      </c>
      <c r="F35" s="37">
        <v>2020</v>
      </c>
      <c r="G35" s="37" t="s">
        <v>794</v>
      </c>
      <c r="H35" s="15">
        <v>1</v>
      </c>
      <c r="I35" s="15" t="s">
        <v>45</v>
      </c>
      <c r="J35" s="15" t="s">
        <v>33</v>
      </c>
      <c r="K35" s="32" t="s">
        <v>47</v>
      </c>
      <c r="L35" s="15">
        <v>30</v>
      </c>
      <c r="M35" s="15">
        <v>1</v>
      </c>
      <c r="N35" s="32" t="s">
        <v>34</v>
      </c>
      <c r="P35" s="37" t="s">
        <v>913</v>
      </c>
      <c r="Q35" s="18">
        <v>20</v>
      </c>
      <c r="R35" s="15" t="s">
        <v>795</v>
      </c>
      <c r="S35" s="15">
        <v>177</v>
      </c>
      <c r="T35" s="15">
        <v>22</v>
      </c>
      <c r="U35" s="15">
        <v>10</v>
      </c>
      <c r="V35" s="15">
        <v>10</v>
      </c>
      <c r="W35" s="35">
        <f t="shared" si="2"/>
        <v>69.570108523704349</v>
      </c>
      <c r="X35" s="15"/>
      <c r="Y35" s="15">
        <v>165</v>
      </c>
      <c r="Z35" s="15">
        <v>25</v>
      </c>
      <c r="AA35" s="15">
        <v>10</v>
      </c>
      <c r="AB35" s="15">
        <v>10</v>
      </c>
      <c r="AC35" s="35">
        <f t="shared" si="3"/>
        <v>79.05694150420949</v>
      </c>
    </row>
    <row r="36" spans="1:30" x14ac:dyDescent="0.25">
      <c r="A36" s="37">
        <v>3158</v>
      </c>
      <c r="B36" s="37"/>
      <c r="C36" s="37" t="s">
        <v>792</v>
      </c>
      <c r="D36" s="37" t="s">
        <v>793</v>
      </c>
      <c r="E36" s="37" t="s">
        <v>672</v>
      </c>
      <c r="F36" s="37">
        <v>2020</v>
      </c>
      <c r="G36" s="37" t="s">
        <v>794</v>
      </c>
      <c r="H36" s="15">
        <v>1</v>
      </c>
      <c r="I36" s="15" t="s">
        <v>45</v>
      </c>
      <c r="J36" s="15" t="s">
        <v>33</v>
      </c>
      <c r="K36" s="32" t="s">
        <v>47</v>
      </c>
      <c r="L36" s="15">
        <v>30</v>
      </c>
      <c r="M36" s="15">
        <v>1</v>
      </c>
      <c r="N36" s="32" t="s">
        <v>34</v>
      </c>
      <c r="P36" s="37" t="s">
        <v>914</v>
      </c>
      <c r="Q36" s="18">
        <v>20</v>
      </c>
      <c r="R36" s="15" t="s">
        <v>795</v>
      </c>
      <c r="S36" s="15">
        <v>277</v>
      </c>
      <c r="T36" s="15">
        <v>20</v>
      </c>
      <c r="U36" s="15">
        <v>10</v>
      </c>
      <c r="V36" s="15">
        <v>10</v>
      </c>
      <c r="W36" s="35">
        <f t="shared" si="2"/>
        <v>63.245553203367592</v>
      </c>
      <c r="X36" s="15"/>
      <c r="Y36" s="15">
        <v>112</v>
      </c>
      <c r="Z36" s="15">
        <v>18</v>
      </c>
      <c r="AA36" s="15">
        <v>10</v>
      </c>
      <c r="AB36" s="15">
        <v>10</v>
      </c>
      <c r="AC36" s="35">
        <f t="shared" si="3"/>
        <v>56.920997883030829</v>
      </c>
    </row>
    <row r="37" spans="1:30" x14ac:dyDescent="0.25">
      <c r="A37" s="15">
        <v>3209</v>
      </c>
      <c r="C37" s="40" t="s">
        <v>630</v>
      </c>
      <c r="D37" s="40" t="s">
        <v>631</v>
      </c>
      <c r="E37" s="40" t="s">
        <v>632</v>
      </c>
      <c r="F37" s="40">
        <v>2018</v>
      </c>
      <c r="G37" s="41" t="s">
        <v>633</v>
      </c>
      <c r="H37" s="15">
        <v>1</v>
      </c>
      <c r="I37" s="15" t="s">
        <v>45</v>
      </c>
      <c r="J37" s="15" t="s">
        <v>33</v>
      </c>
      <c r="L37" s="15">
        <v>360</v>
      </c>
      <c r="M37" s="15">
        <v>1</v>
      </c>
      <c r="N37" s="18">
        <v>21</v>
      </c>
      <c r="O37" s="18">
        <f>L37*M37*N37</f>
        <v>7560</v>
      </c>
      <c r="Q37" s="18">
        <v>5</v>
      </c>
      <c r="R37" s="15">
        <v>1</v>
      </c>
      <c r="S37" s="15">
        <v>68</v>
      </c>
      <c r="T37" s="15">
        <v>11</v>
      </c>
      <c r="U37" s="15">
        <v>5</v>
      </c>
      <c r="V37" s="15">
        <v>5</v>
      </c>
      <c r="W37" s="35">
        <f t="shared" si="2"/>
        <v>24.596747752497688</v>
      </c>
      <c r="X37" s="15"/>
      <c r="Y37" s="15">
        <v>39</v>
      </c>
      <c r="Z37" s="15">
        <v>7</v>
      </c>
      <c r="AA37" s="15">
        <v>5</v>
      </c>
      <c r="AB37" s="15">
        <v>5</v>
      </c>
      <c r="AC37" s="35">
        <f t="shared" si="3"/>
        <v>15.652475842498529</v>
      </c>
      <c r="AD37" s="15"/>
    </row>
    <row r="38" spans="1:30" x14ac:dyDescent="0.25">
      <c r="A38" s="15">
        <v>3260</v>
      </c>
      <c r="C38" s="15" t="s">
        <v>796</v>
      </c>
      <c r="D38" s="15" t="s">
        <v>797</v>
      </c>
      <c r="E38" s="15" t="s">
        <v>68</v>
      </c>
      <c r="F38" s="15">
        <v>2020</v>
      </c>
      <c r="G38" s="15" t="s">
        <v>798</v>
      </c>
      <c r="H38" s="15">
        <v>1</v>
      </c>
      <c r="I38" s="15" t="s">
        <v>382</v>
      </c>
      <c r="J38" s="15" t="s">
        <v>33</v>
      </c>
      <c r="K38" s="32" t="s">
        <v>799</v>
      </c>
      <c r="L38" s="15">
        <v>180</v>
      </c>
      <c r="M38" s="15">
        <v>1</v>
      </c>
      <c r="N38" s="18">
        <v>10</v>
      </c>
      <c r="O38" s="18">
        <f>L38*M38*N38</f>
        <v>1800</v>
      </c>
      <c r="Q38" s="18">
        <v>20</v>
      </c>
      <c r="R38" s="53"/>
      <c r="S38" s="53"/>
      <c r="T38" s="53"/>
      <c r="U38" s="53"/>
      <c r="V38" s="53"/>
      <c r="W38" s="53"/>
      <c r="X38" s="15"/>
      <c r="Y38" s="53"/>
      <c r="Z38" s="53"/>
      <c r="AA38" s="53"/>
      <c r="AB38" s="53"/>
      <c r="AC38" s="53"/>
      <c r="AD38" s="15"/>
    </row>
    <row r="39" spans="1:30" x14ac:dyDescent="0.25">
      <c r="A39" s="15">
        <v>3263</v>
      </c>
      <c r="C39" s="15" t="s">
        <v>128</v>
      </c>
      <c r="D39" s="15" t="s">
        <v>129</v>
      </c>
      <c r="E39" s="15" t="s">
        <v>130</v>
      </c>
      <c r="F39" s="15">
        <v>2023</v>
      </c>
      <c r="G39" s="15" t="s">
        <v>131</v>
      </c>
      <c r="H39" s="15">
        <v>1</v>
      </c>
      <c r="I39" s="15" t="s">
        <v>45</v>
      </c>
      <c r="J39" s="15" t="s">
        <v>33</v>
      </c>
      <c r="L39" s="15" t="s">
        <v>132</v>
      </c>
      <c r="N39" s="15"/>
      <c r="O39" s="18">
        <v>98</v>
      </c>
      <c r="P39" s="15" t="s">
        <v>133</v>
      </c>
      <c r="Q39" s="18">
        <v>5</v>
      </c>
      <c r="R39" s="53"/>
      <c r="S39" s="53"/>
      <c r="T39" s="53"/>
      <c r="U39" s="53"/>
      <c r="V39" s="53"/>
      <c r="W39" s="53"/>
      <c r="X39" s="15"/>
      <c r="Y39" s="53"/>
      <c r="Z39" s="53"/>
      <c r="AA39" s="53"/>
      <c r="AB39" s="53"/>
      <c r="AC39" s="53"/>
      <c r="AD39" s="15"/>
    </row>
    <row r="40" spans="1:30" x14ac:dyDescent="0.25">
      <c r="A40" s="15">
        <v>3459</v>
      </c>
      <c r="B40" s="15">
        <v>30458283</v>
      </c>
      <c r="C40" s="15" t="s">
        <v>634</v>
      </c>
      <c r="D40" s="15" t="s">
        <v>635</v>
      </c>
      <c r="E40" s="15" t="s">
        <v>636</v>
      </c>
      <c r="F40" s="15">
        <v>2019</v>
      </c>
      <c r="G40" s="15" t="s">
        <v>637</v>
      </c>
      <c r="H40" s="15">
        <v>1</v>
      </c>
      <c r="I40" s="15" t="s">
        <v>45</v>
      </c>
      <c r="J40" s="15" t="s">
        <v>33</v>
      </c>
      <c r="L40" s="15">
        <v>360</v>
      </c>
      <c r="M40" s="15">
        <v>1</v>
      </c>
      <c r="N40" s="18">
        <v>10</v>
      </c>
      <c r="O40" s="18">
        <f>N40*L40</f>
        <v>3600</v>
      </c>
      <c r="Q40" s="18">
        <v>5</v>
      </c>
      <c r="R40" s="53"/>
      <c r="S40" s="53"/>
      <c r="T40" s="53"/>
      <c r="U40" s="53"/>
      <c r="V40" s="53"/>
      <c r="W40" s="53"/>
      <c r="X40" s="15"/>
      <c r="Y40" s="53"/>
      <c r="Z40" s="53"/>
      <c r="AA40" s="53"/>
      <c r="AB40" s="53"/>
      <c r="AC40" s="53"/>
      <c r="AD40" s="15"/>
    </row>
    <row r="41" spans="1:30" x14ac:dyDescent="0.25">
      <c r="A41" s="15">
        <v>3482</v>
      </c>
      <c r="C41" s="15" t="s">
        <v>493</v>
      </c>
      <c r="D41" s="15" t="s">
        <v>494</v>
      </c>
      <c r="E41" s="15" t="s">
        <v>495</v>
      </c>
      <c r="F41" s="15">
        <v>2024</v>
      </c>
      <c r="G41" s="15" t="s">
        <v>496</v>
      </c>
      <c r="H41" s="15">
        <v>1</v>
      </c>
      <c r="I41" s="15" t="s">
        <v>32</v>
      </c>
      <c r="J41" s="15" t="s">
        <v>33</v>
      </c>
      <c r="L41" s="15">
        <v>120</v>
      </c>
      <c r="M41" s="15">
        <v>1</v>
      </c>
      <c r="N41" s="18">
        <v>14</v>
      </c>
      <c r="O41" s="18">
        <f t="shared" ref="O41:O46" si="4">L41*M41*N41</f>
        <v>1680</v>
      </c>
      <c r="Q41" s="18">
        <v>5</v>
      </c>
      <c r="R41" s="53"/>
      <c r="S41" s="53"/>
      <c r="T41" s="53"/>
      <c r="U41" s="53"/>
      <c r="V41" s="53"/>
      <c r="W41" s="53"/>
      <c r="X41" s="15"/>
      <c r="Y41" s="53"/>
      <c r="Z41" s="53"/>
      <c r="AA41" s="53"/>
      <c r="AB41" s="53"/>
      <c r="AC41" s="53"/>
      <c r="AD41" s="15"/>
    </row>
    <row r="42" spans="1:30" x14ac:dyDescent="0.25">
      <c r="A42" s="15">
        <v>3569</v>
      </c>
      <c r="C42" s="40" t="s">
        <v>139</v>
      </c>
      <c r="D42" s="40" t="s">
        <v>140</v>
      </c>
      <c r="E42" s="40" t="s">
        <v>141</v>
      </c>
      <c r="F42" s="40">
        <v>2024</v>
      </c>
      <c r="G42" s="41" t="s">
        <v>142</v>
      </c>
      <c r="H42" s="15">
        <v>1</v>
      </c>
      <c r="I42" s="15" t="s">
        <v>45</v>
      </c>
      <c r="J42" s="15" t="s">
        <v>33</v>
      </c>
      <c r="L42" s="15">
        <v>360</v>
      </c>
      <c r="M42" s="15">
        <v>1</v>
      </c>
      <c r="N42" s="18">
        <v>14</v>
      </c>
      <c r="O42" s="18">
        <f t="shared" si="4"/>
        <v>5040</v>
      </c>
      <c r="Q42" s="18">
        <v>5</v>
      </c>
      <c r="R42" s="53"/>
      <c r="S42" s="53"/>
      <c r="T42" s="53"/>
      <c r="U42" s="53"/>
      <c r="V42" s="53"/>
      <c r="W42" s="53"/>
      <c r="X42" s="15"/>
      <c r="Y42" s="53"/>
      <c r="Z42" s="53"/>
      <c r="AA42" s="53"/>
      <c r="AB42" s="53"/>
      <c r="AC42" s="53"/>
      <c r="AD42" s="15"/>
    </row>
    <row r="43" spans="1:30" x14ac:dyDescent="0.25">
      <c r="A43" s="15">
        <v>3670</v>
      </c>
      <c r="C43" s="15" t="s">
        <v>144</v>
      </c>
      <c r="D43" s="15" t="s">
        <v>145</v>
      </c>
      <c r="E43" s="15" t="s">
        <v>146</v>
      </c>
      <c r="F43" s="15">
        <v>2021</v>
      </c>
      <c r="G43" s="15" t="s">
        <v>147</v>
      </c>
      <c r="H43" s="15">
        <v>1</v>
      </c>
      <c r="I43" s="15" t="s">
        <v>45</v>
      </c>
      <c r="J43" s="15" t="s">
        <v>33</v>
      </c>
      <c r="K43" s="32" t="s">
        <v>40</v>
      </c>
      <c r="L43" s="15">
        <v>360</v>
      </c>
      <c r="M43" s="15">
        <v>1</v>
      </c>
      <c r="N43" s="18">
        <v>28</v>
      </c>
      <c r="O43" s="18">
        <f t="shared" si="4"/>
        <v>10080</v>
      </c>
      <c r="Q43" s="18">
        <v>5</v>
      </c>
      <c r="R43" s="53"/>
      <c r="S43" s="53"/>
      <c r="T43" s="53"/>
      <c r="U43" s="53"/>
      <c r="V43" s="53"/>
      <c r="W43" s="53"/>
      <c r="X43" s="15"/>
      <c r="Y43" s="53"/>
      <c r="Z43" s="53"/>
      <c r="AA43" s="53"/>
      <c r="AB43" s="53"/>
      <c r="AC43" s="53"/>
      <c r="AD43" s="15"/>
    </row>
    <row r="44" spans="1:30" x14ac:dyDescent="0.25">
      <c r="A44" s="15">
        <v>3734</v>
      </c>
      <c r="C44" s="15" t="s">
        <v>800</v>
      </c>
      <c r="D44" s="15" t="s">
        <v>801</v>
      </c>
      <c r="E44" s="15" t="s">
        <v>802</v>
      </c>
      <c r="F44" s="15">
        <v>2016</v>
      </c>
      <c r="G44" s="15" t="s">
        <v>803</v>
      </c>
      <c r="H44" s="15">
        <v>1</v>
      </c>
      <c r="I44" s="15" t="s">
        <v>32</v>
      </c>
      <c r="J44" s="15" t="s">
        <v>33</v>
      </c>
      <c r="L44" s="15">
        <v>180</v>
      </c>
      <c r="M44" s="15">
        <v>1</v>
      </c>
      <c r="N44" s="18">
        <v>21</v>
      </c>
      <c r="O44" s="18">
        <f t="shared" si="4"/>
        <v>3780</v>
      </c>
      <c r="P44" s="15" t="s">
        <v>804</v>
      </c>
      <c r="Q44" s="18">
        <v>6</v>
      </c>
      <c r="R44" s="53"/>
      <c r="S44" s="53"/>
      <c r="T44" s="53"/>
      <c r="U44" s="53"/>
      <c r="V44" s="53"/>
      <c r="W44" s="53"/>
      <c r="X44" s="15"/>
      <c r="Y44" s="53"/>
      <c r="Z44" s="53"/>
      <c r="AA44" s="53"/>
      <c r="AB44" s="53"/>
      <c r="AC44" s="53"/>
      <c r="AD44" s="15"/>
    </row>
    <row r="45" spans="1:30" x14ac:dyDescent="0.25">
      <c r="A45" s="37">
        <v>3926</v>
      </c>
      <c r="B45" s="37"/>
      <c r="C45" s="37" t="s">
        <v>154</v>
      </c>
      <c r="D45" s="37" t="s">
        <v>155</v>
      </c>
      <c r="E45" s="37" t="s">
        <v>156</v>
      </c>
      <c r="F45" s="37">
        <v>2023</v>
      </c>
      <c r="G45" s="37" t="s">
        <v>157</v>
      </c>
      <c r="H45" s="15">
        <v>1</v>
      </c>
      <c r="I45" s="15" t="s">
        <v>32</v>
      </c>
      <c r="J45" s="37" t="s">
        <v>33</v>
      </c>
      <c r="K45" s="32" t="s">
        <v>158</v>
      </c>
      <c r="L45" s="15">
        <v>240</v>
      </c>
      <c r="M45" s="15">
        <v>1</v>
      </c>
      <c r="N45" s="18">
        <v>21</v>
      </c>
      <c r="O45" s="18">
        <f t="shared" si="4"/>
        <v>5040</v>
      </c>
      <c r="Q45" s="18">
        <v>5</v>
      </c>
      <c r="R45" s="15" t="s">
        <v>64</v>
      </c>
      <c r="S45" s="15">
        <v>9</v>
      </c>
      <c r="T45" s="15">
        <v>3</v>
      </c>
      <c r="U45" s="15">
        <v>6</v>
      </c>
      <c r="V45" s="15">
        <v>6</v>
      </c>
      <c r="W45" s="35">
        <f t="shared" ref="W45" si="5">T45*(SQRT(V45))</f>
        <v>7.3484692283495336</v>
      </c>
      <c r="X45" s="15"/>
      <c r="Y45" s="15">
        <v>6</v>
      </c>
      <c r="Z45" s="15">
        <v>2</v>
      </c>
      <c r="AA45" s="15">
        <v>6</v>
      </c>
      <c r="AB45" s="15">
        <v>6</v>
      </c>
      <c r="AC45" s="35">
        <f t="shared" ref="AC45" si="6">Z45*(SQRT(AB45))</f>
        <v>4.8989794855663558</v>
      </c>
      <c r="AD45" s="15"/>
    </row>
    <row r="46" spans="1:30" x14ac:dyDescent="0.25">
      <c r="A46" s="37">
        <v>3926</v>
      </c>
      <c r="B46" s="37"/>
      <c r="C46" s="37" t="s">
        <v>154</v>
      </c>
      <c r="D46" s="37" t="s">
        <v>155</v>
      </c>
      <c r="E46" s="37" t="s">
        <v>156</v>
      </c>
      <c r="F46" s="37">
        <v>2023</v>
      </c>
      <c r="G46" s="37" t="s">
        <v>157</v>
      </c>
      <c r="H46" s="15">
        <v>1</v>
      </c>
      <c r="I46" s="15" t="s">
        <v>32</v>
      </c>
      <c r="J46" s="37" t="s">
        <v>91</v>
      </c>
      <c r="K46" s="32" t="s">
        <v>158</v>
      </c>
      <c r="L46" s="15">
        <v>240</v>
      </c>
      <c r="M46" s="15">
        <v>1</v>
      </c>
      <c r="N46" s="18">
        <v>21</v>
      </c>
      <c r="O46" s="18">
        <f t="shared" si="4"/>
        <v>5040</v>
      </c>
      <c r="Q46" s="18">
        <v>5</v>
      </c>
      <c r="R46" s="57"/>
      <c r="S46" s="57"/>
      <c r="T46" s="57"/>
      <c r="U46" s="57"/>
      <c r="V46" s="57"/>
      <c r="W46" s="57"/>
      <c r="X46" s="15"/>
      <c r="Y46" s="57"/>
      <c r="Z46" s="57"/>
      <c r="AA46" s="57"/>
      <c r="AB46" s="57"/>
      <c r="AC46" s="57"/>
      <c r="AD46" s="15"/>
    </row>
    <row r="47" spans="1:30" x14ac:dyDescent="0.25">
      <c r="A47" s="15">
        <v>4070</v>
      </c>
      <c r="B47" s="15">
        <v>29317595</v>
      </c>
      <c r="C47" s="15" t="s">
        <v>181</v>
      </c>
      <c r="D47" s="15" t="s">
        <v>182</v>
      </c>
      <c r="E47" s="15" t="s">
        <v>183</v>
      </c>
      <c r="F47" s="15">
        <v>2018</v>
      </c>
      <c r="G47" s="15" t="s">
        <v>184</v>
      </c>
      <c r="H47" s="15">
        <v>1</v>
      </c>
      <c r="I47" s="15" t="s">
        <v>32</v>
      </c>
      <c r="J47" s="15" t="s">
        <v>33</v>
      </c>
      <c r="L47" s="15">
        <v>360</v>
      </c>
      <c r="M47" s="15">
        <v>1</v>
      </c>
      <c r="N47" s="18">
        <v>21</v>
      </c>
      <c r="O47" s="18">
        <f>N47*L47</f>
        <v>7560</v>
      </c>
      <c r="Q47" s="18">
        <v>5</v>
      </c>
      <c r="R47" s="53"/>
      <c r="S47" s="53"/>
      <c r="T47" s="53"/>
      <c r="U47" s="53"/>
      <c r="V47" s="53"/>
      <c r="W47" s="53"/>
      <c r="X47" s="15"/>
      <c r="Y47" s="53"/>
      <c r="Z47" s="53"/>
      <c r="AA47" s="53"/>
      <c r="AB47" s="53"/>
      <c r="AC47" s="53"/>
      <c r="AD47" s="15"/>
    </row>
    <row r="48" spans="1:30" x14ac:dyDescent="0.25">
      <c r="A48" s="37">
        <v>4261</v>
      </c>
      <c r="B48" s="37"/>
      <c r="C48" s="37" t="s">
        <v>805</v>
      </c>
      <c r="D48" s="37" t="s">
        <v>806</v>
      </c>
      <c r="E48" s="37" t="s">
        <v>807</v>
      </c>
      <c r="F48" s="37">
        <v>2017</v>
      </c>
      <c r="G48" s="37" t="s">
        <v>808</v>
      </c>
      <c r="H48" s="15">
        <v>1</v>
      </c>
      <c r="I48" s="15" t="s">
        <v>45</v>
      </c>
      <c r="J48" s="15" t="s">
        <v>33</v>
      </c>
      <c r="L48" s="15">
        <v>360</v>
      </c>
      <c r="M48" s="15">
        <v>1</v>
      </c>
      <c r="N48" s="51">
        <v>1</v>
      </c>
      <c r="O48" s="18">
        <f t="shared" ref="O48:O53" si="7">L48*M48*N48</f>
        <v>360</v>
      </c>
      <c r="Q48" s="18">
        <v>5</v>
      </c>
      <c r="R48" s="53"/>
      <c r="S48" s="53"/>
      <c r="T48" s="53"/>
      <c r="U48" s="53"/>
      <c r="V48" s="53"/>
      <c r="W48" s="53"/>
      <c r="X48" s="15"/>
      <c r="Y48" s="53"/>
      <c r="Z48" s="53"/>
      <c r="AA48" s="53"/>
      <c r="AB48" s="53"/>
      <c r="AC48" s="53"/>
      <c r="AD48" s="15"/>
    </row>
    <row r="49" spans="1:30" x14ac:dyDescent="0.25">
      <c r="A49" s="37">
        <v>4261</v>
      </c>
      <c r="B49" s="37"/>
      <c r="C49" s="37" t="s">
        <v>805</v>
      </c>
      <c r="D49" s="37" t="s">
        <v>806</v>
      </c>
      <c r="E49" s="37" t="s">
        <v>807</v>
      </c>
      <c r="F49" s="37">
        <v>2017</v>
      </c>
      <c r="G49" s="37" t="s">
        <v>808</v>
      </c>
      <c r="H49" s="15">
        <v>1</v>
      </c>
      <c r="I49" s="15" t="s">
        <v>45</v>
      </c>
      <c r="J49" s="15" t="s">
        <v>33</v>
      </c>
      <c r="L49" s="15">
        <v>360</v>
      </c>
      <c r="M49" s="15">
        <v>1</v>
      </c>
      <c r="N49" s="51">
        <v>7</v>
      </c>
      <c r="O49" s="18">
        <f t="shared" si="7"/>
        <v>2520</v>
      </c>
      <c r="Q49" s="18">
        <v>5</v>
      </c>
      <c r="R49" s="53"/>
      <c r="S49" s="53"/>
      <c r="T49" s="53"/>
      <c r="U49" s="53"/>
      <c r="V49" s="53"/>
      <c r="W49" s="53"/>
      <c r="X49" s="15"/>
      <c r="Y49" s="53"/>
      <c r="Z49" s="53"/>
      <c r="AA49" s="53"/>
      <c r="AB49" s="53"/>
      <c r="AC49" s="53"/>
      <c r="AD49" s="15"/>
    </row>
    <row r="50" spans="1:30" x14ac:dyDescent="0.25">
      <c r="A50" s="37">
        <v>4261</v>
      </c>
      <c r="B50" s="37"/>
      <c r="C50" s="37" t="s">
        <v>805</v>
      </c>
      <c r="D50" s="37" t="s">
        <v>806</v>
      </c>
      <c r="E50" s="37" t="s">
        <v>807</v>
      </c>
      <c r="F50" s="37">
        <v>2017</v>
      </c>
      <c r="G50" s="37" t="s">
        <v>808</v>
      </c>
      <c r="H50" s="15">
        <v>1</v>
      </c>
      <c r="I50" s="15" t="s">
        <v>45</v>
      </c>
      <c r="J50" s="15" t="s">
        <v>33</v>
      </c>
      <c r="L50" s="15">
        <v>360</v>
      </c>
      <c r="M50" s="15">
        <v>1</v>
      </c>
      <c r="N50" s="51">
        <v>21</v>
      </c>
      <c r="O50" s="18">
        <f t="shared" si="7"/>
        <v>7560</v>
      </c>
      <c r="Q50" s="18">
        <v>5</v>
      </c>
      <c r="R50" s="53"/>
      <c r="S50" s="53"/>
      <c r="T50" s="53"/>
      <c r="U50" s="53"/>
      <c r="V50" s="53"/>
      <c r="W50" s="53"/>
      <c r="X50" s="15"/>
      <c r="Y50" s="53"/>
      <c r="Z50" s="53"/>
      <c r="AA50" s="53"/>
      <c r="AB50" s="53"/>
      <c r="AC50" s="53"/>
      <c r="AD50" s="15"/>
    </row>
    <row r="51" spans="1:30" x14ac:dyDescent="0.25">
      <c r="A51" s="15">
        <v>4265</v>
      </c>
      <c r="C51" s="15" t="s">
        <v>660</v>
      </c>
      <c r="D51" s="15" t="s">
        <v>661</v>
      </c>
      <c r="E51" s="15" t="s">
        <v>68</v>
      </c>
      <c r="F51" s="15">
        <v>2020</v>
      </c>
      <c r="G51" s="15" t="s">
        <v>662</v>
      </c>
      <c r="H51" s="15">
        <v>1</v>
      </c>
      <c r="I51" s="15" t="s">
        <v>32</v>
      </c>
      <c r="J51" s="15" t="s">
        <v>33</v>
      </c>
      <c r="L51" s="15">
        <v>360</v>
      </c>
      <c r="M51" s="15">
        <v>1</v>
      </c>
      <c r="N51" s="18">
        <v>21</v>
      </c>
      <c r="O51" s="18">
        <f t="shared" si="7"/>
        <v>7560</v>
      </c>
      <c r="Q51" s="18">
        <v>5</v>
      </c>
      <c r="R51" s="53"/>
      <c r="S51" s="53"/>
      <c r="T51" s="53"/>
      <c r="U51" s="53"/>
      <c r="V51" s="53"/>
      <c r="W51" s="53"/>
      <c r="X51" s="15"/>
      <c r="Y51" s="53"/>
      <c r="Z51" s="53"/>
      <c r="AA51" s="53"/>
      <c r="AB51" s="53"/>
      <c r="AC51" s="53"/>
      <c r="AD51" s="15"/>
    </row>
    <row r="52" spans="1:30" x14ac:dyDescent="0.25">
      <c r="A52" s="15">
        <v>4451</v>
      </c>
      <c r="C52" s="40" t="s">
        <v>809</v>
      </c>
      <c r="D52" s="40" t="s">
        <v>810</v>
      </c>
      <c r="E52" s="40" t="s">
        <v>811</v>
      </c>
      <c r="F52" s="40">
        <v>2017</v>
      </c>
      <c r="G52" s="41" t="s">
        <v>812</v>
      </c>
      <c r="H52" s="15">
        <v>1</v>
      </c>
      <c r="I52" s="15" t="s">
        <v>32</v>
      </c>
      <c r="J52" s="15" t="s">
        <v>33</v>
      </c>
      <c r="K52" s="32" t="s">
        <v>47</v>
      </c>
      <c r="L52" s="15">
        <v>360</v>
      </c>
      <c r="M52" s="15">
        <v>1</v>
      </c>
      <c r="N52" s="18">
        <v>28</v>
      </c>
      <c r="O52" s="18">
        <f t="shared" si="7"/>
        <v>10080</v>
      </c>
      <c r="Q52" s="18">
        <v>3</v>
      </c>
      <c r="R52" s="53"/>
      <c r="S52" s="53"/>
      <c r="T52" s="53"/>
      <c r="U52" s="53"/>
      <c r="V52" s="53"/>
      <c r="W52" s="53"/>
      <c r="X52" s="15"/>
      <c r="Y52" s="53"/>
      <c r="Z52" s="53"/>
      <c r="AA52" s="53"/>
      <c r="AB52" s="53"/>
      <c r="AC52" s="53"/>
      <c r="AD52" s="15"/>
    </row>
    <row r="53" spans="1:30" x14ac:dyDescent="0.25">
      <c r="A53" s="15">
        <v>4485</v>
      </c>
      <c r="C53" s="15" t="s">
        <v>663</v>
      </c>
      <c r="D53" s="15" t="s">
        <v>664</v>
      </c>
      <c r="E53" s="15" t="s">
        <v>50</v>
      </c>
      <c r="F53" s="15">
        <v>2023</v>
      </c>
      <c r="G53" s="15" t="s">
        <v>665</v>
      </c>
      <c r="H53" s="15">
        <v>1</v>
      </c>
      <c r="I53" s="15" t="s">
        <v>45</v>
      </c>
      <c r="J53" s="15" t="s">
        <v>33</v>
      </c>
      <c r="L53" s="15">
        <v>60</v>
      </c>
      <c r="M53" s="15">
        <v>1</v>
      </c>
      <c r="N53" s="18">
        <v>15</v>
      </c>
      <c r="O53" s="18">
        <f t="shared" si="7"/>
        <v>900</v>
      </c>
      <c r="P53" s="15" t="s">
        <v>70</v>
      </c>
      <c r="Q53" s="18">
        <v>5</v>
      </c>
      <c r="R53" s="53"/>
      <c r="S53" s="53"/>
      <c r="T53" s="53"/>
      <c r="U53" s="53"/>
      <c r="V53" s="53"/>
      <c r="W53" s="53"/>
      <c r="X53" s="15"/>
      <c r="Y53" s="53"/>
      <c r="Z53" s="53"/>
      <c r="AA53" s="53"/>
      <c r="AB53" s="53"/>
      <c r="AC53" s="53"/>
      <c r="AD53" s="15"/>
    </row>
    <row r="54" spans="1:30" x14ac:dyDescent="0.25">
      <c r="A54" s="37">
        <v>4630</v>
      </c>
      <c r="B54" s="37">
        <v>28293639</v>
      </c>
      <c r="C54" s="37" t="s">
        <v>813</v>
      </c>
      <c r="D54" s="37" t="s">
        <v>814</v>
      </c>
      <c r="E54" s="37" t="s">
        <v>815</v>
      </c>
      <c r="F54" s="37">
        <v>2017</v>
      </c>
      <c r="G54" s="37" t="s">
        <v>816</v>
      </c>
      <c r="H54" s="15">
        <v>1</v>
      </c>
      <c r="I54" s="15" t="s">
        <v>45</v>
      </c>
      <c r="J54" s="15" t="s">
        <v>33</v>
      </c>
      <c r="L54" s="15">
        <v>180</v>
      </c>
      <c r="M54" s="15">
        <v>1</v>
      </c>
      <c r="N54" s="51">
        <v>14</v>
      </c>
      <c r="O54" s="18">
        <f>N54*L54</f>
        <v>2520</v>
      </c>
      <c r="Q54" s="18">
        <v>5</v>
      </c>
      <c r="R54" s="15" t="s">
        <v>520</v>
      </c>
      <c r="S54" s="15">
        <v>18</v>
      </c>
      <c r="T54" s="15" t="s">
        <v>65</v>
      </c>
      <c r="U54" s="15">
        <v>12</v>
      </c>
      <c r="V54" s="15">
        <v>12</v>
      </c>
      <c r="W54" s="15">
        <v>1.9</v>
      </c>
      <c r="X54" s="15"/>
      <c r="Y54" s="15">
        <v>30</v>
      </c>
      <c r="Z54" s="15" t="s">
        <v>65</v>
      </c>
      <c r="AA54" s="15">
        <v>12</v>
      </c>
      <c r="AB54" s="15">
        <v>12</v>
      </c>
      <c r="AC54" s="15">
        <v>2.2000000000000002</v>
      </c>
      <c r="AD54" s="15"/>
    </row>
    <row r="55" spans="1:30" x14ac:dyDescent="0.25">
      <c r="A55" s="37">
        <v>4630</v>
      </c>
      <c r="B55" s="37">
        <v>28293639</v>
      </c>
      <c r="C55" s="37" t="s">
        <v>813</v>
      </c>
      <c r="D55" s="37" t="s">
        <v>814</v>
      </c>
      <c r="E55" s="37" t="s">
        <v>815</v>
      </c>
      <c r="F55" s="37">
        <v>2017</v>
      </c>
      <c r="G55" s="37" t="s">
        <v>816</v>
      </c>
      <c r="H55" s="15">
        <v>1</v>
      </c>
      <c r="I55" s="15" t="s">
        <v>45</v>
      </c>
      <c r="J55" s="15" t="s">
        <v>33</v>
      </c>
      <c r="L55" s="15">
        <v>180</v>
      </c>
      <c r="M55" s="15">
        <v>1</v>
      </c>
      <c r="N55" s="51">
        <v>28</v>
      </c>
      <c r="O55" s="18">
        <f>N55*L55</f>
        <v>5040</v>
      </c>
      <c r="Q55" s="18">
        <v>5</v>
      </c>
      <c r="R55" s="15" t="s">
        <v>520</v>
      </c>
      <c r="S55" s="15">
        <v>19</v>
      </c>
      <c r="T55" s="15" t="s">
        <v>65</v>
      </c>
      <c r="U55" s="15">
        <v>12</v>
      </c>
      <c r="V55" s="15">
        <v>12</v>
      </c>
      <c r="W55" s="15">
        <v>1.7</v>
      </c>
      <c r="X55" s="15"/>
      <c r="Y55" s="15">
        <v>34</v>
      </c>
      <c r="Z55" s="15" t="s">
        <v>65</v>
      </c>
      <c r="AA55" s="15">
        <v>12</v>
      </c>
      <c r="AB55" s="15">
        <v>12</v>
      </c>
      <c r="AC55" s="15">
        <v>2.1</v>
      </c>
      <c r="AD55" s="15"/>
    </row>
    <row r="56" spans="1:30" x14ac:dyDescent="0.25">
      <c r="A56" s="15">
        <v>4669</v>
      </c>
      <c r="B56" s="15">
        <v>32827575</v>
      </c>
      <c r="C56" s="15" t="s">
        <v>817</v>
      </c>
      <c r="D56" s="15" t="s">
        <v>818</v>
      </c>
      <c r="E56" s="15" t="s">
        <v>282</v>
      </c>
      <c r="F56" s="15">
        <v>2020</v>
      </c>
      <c r="G56" s="15" t="s">
        <v>819</v>
      </c>
      <c r="H56" s="15">
        <v>1</v>
      </c>
      <c r="I56" s="15" t="s">
        <v>32</v>
      </c>
      <c r="J56" s="15" t="s">
        <v>91</v>
      </c>
      <c r="K56" s="32">
        <v>52</v>
      </c>
      <c r="L56" s="15">
        <v>360</v>
      </c>
      <c r="M56" s="15">
        <v>1</v>
      </c>
      <c r="N56" s="18">
        <v>42</v>
      </c>
      <c r="O56" s="18">
        <f>N56*L56</f>
        <v>15120</v>
      </c>
      <c r="Q56" s="18">
        <v>5</v>
      </c>
      <c r="R56" s="53"/>
      <c r="S56" s="53"/>
      <c r="T56" s="53"/>
      <c r="U56" s="53"/>
      <c r="V56" s="53"/>
      <c r="W56" s="53"/>
      <c r="X56" s="15"/>
      <c r="Y56" s="53"/>
      <c r="Z56" s="53"/>
      <c r="AA56" s="53"/>
      <c r="AB56" s="53"/>
      <c r="AC56" s="53"/>
      <c r="AD56" s="15"/>
    </row>
    <row r="57" spans="1:30" customFormat="1" x14ac:dyDescent="0.25">
      <c r="A57">
        <v>4733</v>
      </c>
      <c r="B57" s="15"/>
      <c r="C57" s="40" t="s">
        <v>897</v>
      </c>
      <c r="D57" s="40" t="s">
        <v>898</v>
      </c>
      <c r="E57" s="40" t="s">
        <v>557</v>
      </c>
      <c r="F57" s="40">
        <v>2018</v>
      </c>
      <c r="G57" s="41" t="s">
        <v>899</v>
      </c>
      <c r="H57">
        <v>1</v>
      </c>
      <c r="I57" t="s">
        <v>32</v>
      </c>
      <c r="J57" t="s">
        <v>33</v>
      </c>
      <c r="K57" s="2"/>
      <c r="L57">
        <v>360</v>
      </c>
      <c r="M57">
        <v>1</v>
      </c>
      <c r="N57" s="3">
        <v>28</v>
      </c>
      <c r="O57" s="18">
        <f>N57*L57</f>
        <v>10080</v>
      </c>
      <c r="P57" s="2"/>
      <c r="Q57">
        <v>5</v>
      </c>
      <c r="R57" s="53"/>
      <c r="S57" s="53"/>
      <c r="T57" s="53"/>
      <c r="U57" s="53"/>
      <c r="V57" s="53"/>
      <c r="W57" s="53"/>
      <c r="X57" s="15"/>
      <c r="Y57" s="53"/>
      <c r="Z57" s="53"/>
      <c r="AA57" s="53"/>
      <c r="AB57" s="53"/>
      <c r="AC57" s="53"/>
      <c r="AD57" s="15"/>
    </row>
    <row r="58" spans="1:30" x14ac:dyDescent="0.25">
      <c r="A58" s="37">
        <v>4735</v>
      </c>
      <c r="B58" s="37"/>
      <c r="C58" s="37" t="s">
        <v>674</v>
      </c>
      <c r="D58" s="37" t="s">
        <v>675</v>
      </c>
      <c r="E58" s="37" t="s">
        <v>676</v>
      </c>
      <c r="F58" s="37">
        <v>2025</v>
      </c>
      <c r="G58" s="37" t="s">
        <v>677</v>
      </c>
      <c r="H58" s="15">
        <v>1</v>
      </c>
      <c r="I58" s="15" t="s">
        <v>32</v>
      </c>
      <c r="J58" s="37" t="s">
        <v>33</v>
      </c>
      <c r="K58" s="32" t="s">
        <v>592</v>
      </c>
      <c r="L58" s="15">
        <v>360</v>
      </c>
      <c r="M58" s="15">
        <v>1</v>
      </c>
      <c r="N58" s="18">
        <v>10</v>
      </c>
      <c r="O58" s="18">
        <f>L58*M58*N58</f>
        <v>3600</v>
      </c>
      <c r="Q58" s="32" t="s">
        <v>820</v>
      </c>
      <c r="R58" s="53"/>
      <c r="S58" s="53"/>
      <c r="T58" s="53"/>
      <c r="U58" s="53"/>
      <c r="V58" s="53"/>
      <c r="W58" s="53"/>
      <c r="X58" s="15"/>
      <c r="Y58" s="53"/>
      <c r="Z58" s="53"/>
      <c r="AA58" s="53"/>
      <c r="AB58" s="53"/>
      <c r="AC58" s="53"/>
      <c r="AD58" s="15"/>
    </row>
    <row r="59" spans="1:30" x14ac:dyDescent="0.25">
      <c r="A59" s="37">
        <v>4735</v>
      </c>
      <c r="B59" s="37"/>
      <c r="C59" s="37" t="s">
        <v>674</v>
      </c>
      <c r="D59" s="37" t="s">
        <v>675</v>
      </c>
      <c r="E59" s="37" t="s">
        <v>676</v>
      </c>
      <c r="F59" s="37">
        <v>2025</v>
      </c>
      <c r="G59" s="37" t="s">
        <v>677</v>
      </c>
      <c r="H59" s="15">
        <v>1</v>
      </c>
      <c r="I59" s="15" t="s">
        <v>32</v>
      </c>
      <c r="J59" s="37" t="s">
        <v>91</v>
      </c>
      <c r="K59" s="32" t="s">
        <v>592</v>
      </c>
      <c r="L59" s="15">
        <v>360</v>
      </c>
      <c r="M59" s="15">
        <v>1</v>
      </c>
      <c r="N59" s="18">
        <v>10</v>
      </c>
      <c r="O59" s="18">
        <f>L59*M59*N59</f>
        <v>3600</v>
      </c>
      <c r="Q59" s="32" t="s">
        <v>820</v>
      </c>
      <c r="R59" s="53"/>
      <c r="S59" s="53"/>
      <c r="T59" s="53"/>
      <c r="U59" s="53"/>
      <c r="V59" s="53"/>
      <c r="W59" s="53"/>
      <c r="X59" s="15"/>
      <c r="Y59" s="53"/>
      <c r="Z59" s="53"/>
      <c r="AA59" s="53"/>
      <c r="AB59" s="53"/>
      <c r="AC59" s="53"/>
      <c r="AD59" s="15"/>
    </row>
    <row r="60" spans="1:30" x14ac:dyDescent="0.25">
      <c r="A60" s="15">
        <v>4745</v>
      </c>
      <c r="B60" s="15">
        <v>28388904</v>
      </c>
      <c r="C60" s="15" t="s">
        <v>504</v>
      </c>
      <c r="D60" s="15" t="s">
        <v>505</v>
      </c>
      <c r="E60" s="15" t="s">
        <v>506</v>
      </c>
      <c r="F60" s="15">
        <v>2017</v>
      </c>
      <c r="G60" s="15" t="s">
        <v>507</v>
      </c>
      <c r="H60" s="15">
        <v>1</v>
      </c>
      <c r="I60" s="15" t="s">
        <v>32</v>
      </c>
      <c r="J60" s="15" t="s">
        <v>33</v>
      </c>
      <c r="L60" s="15">
        <v>360</v>
      </c>
      <c r="M60" s="15">
        <v>1</v>
      </c>
      <c r="N60" s="18">
        <v>63</v>
      </c>
      <c r="O60" s="18">
        <f>N60*L60</f>
        <v>22680</v>
      </c>
      <c r="Q60" s="18">
        <v>5</v>
      </c>
      <c r="R60" s="53"/>
      <c r="S60" s="53"/>
      <c r="T60" s="53"/>
      <c r="U60" s="53"/>
      <c r="V60" s="53"/>
      <c r="W60" s="53"/>
      <c r="X60" s="15"/>
      <c r="Y60" s="53"/>
      <c r="Z60" s="53"/>
      <c r="AA60" s="53"/>
      <c r="AB60" s="53"/>
      <c r="AC60" s="53"/>
      <c r="AD60" s="15"/>
    </row>
    <row r="61" spans="1:30" x14ac:dyDescent="0.25">
      <c r="A61" s="15">
        <v>4794</v>
      </c>
      <c r="B61" s="15">
        <v>35780963</v>
      </c>
      <c r="C61" s="15" t="s">
        <v>508</v>
      </c>
      <c r="D61" s="15" t="s">
        <v>509</v>
      </c>
      <c r="E61" s="15" t="s">
        <v>104</v>
      </c>
      <c r="F61" s="15">
        <v>2022</v>
      </c>
      <c r="G61" s="15" t="s">
        <v>510</v>
      </c>
      <c r="H61" s="15">
        <v>1</v>
      </c>
      <c r="I61" s="15" t="s">
        <v>32</v>
      </c>
      <c r="J61" s="15" t="s">
        <v>33</v>
      </c>
      <c r="L61" s="15">
        <v>360</v>
      </c>
      <c r="M61" s="15">
        <v>1</v>
      </c>
      <c r="N61" s="18">
        <v>21</v>
      </c>
      <c r="O61" s="18">
        <f>N61*L61</f>
        <v>7560</v>
      </c>
      <c r="Q61" s="18">
        <v>5</v>
      </c>
      <c r="R61" s="53"/>
      <c r="S61" s="53"/>
      <c r="T61" s="53"/>
      <c r="U61" s="53"/>
      <c r="V61" s="53"/>
      <c r="W61" s="53"/>
      <c r="X61" s="15"/>
      <c r="Y61" s="53"/>
      <c r="Z61" s="53"/>
      <c r="AA61" s="53"/>
      <c r="AB61" s="53"/>
      <c r="AC61" s="53"/>
      <c r="AD61" s="15"/>
    </row>
    <row r="62" spans="1:30" x14ac:dyDescent="0.25">
      <c r="A62" s="15">
        <v>4832</v>
      </c>
      <c r="B62" s="15">
        <v>26555398</v>
      </c>
      <c r="C62" s="15" t="s">
        <v>186</v>
      </c>
      <c r="D62" s="15" t="s">
        <v>187</v>
      </c>
      <c r="E62" s="15" t="s">
        <v>188</v>
      </c>
      <c r="F62" s="15">
        <v>2016</v>
      </c>
      <c r="G62" s="15" t="s">
        <v>189</v>
      </c>
      <c r="H62" s="15">
        <v>1</v>
      </c>
      <c r="I62" s="15" t="s">
        <v>32</v>
      </c>
      <c r="J62" s="15" t="s">
        <v>33</v>
      </c>
      <c r="L62" s="15">
        <v>240</v>
      </c>
      <c r="M62" s="15">
        <v>1</v>
      </c>
      <c r="N62" s="18">
        <v>5</v>
      </c>
      <c r="O62" s="18">
        <f>N62*L62</f>
        <v>1200</v>
      </c>
      <c r="P62" s="15" t="s">
        <v>190</v>
      </c>
      <c r="Q62" s="18">
        <v>5</v>
      </c>
      <c r="R62" s="53"/>
      <c r="S62" s="53"/>
      <c r="T62" s="53"/>
      <c r="U62" s="53"/>
      <c r="V62" s="53"/>
      <c r="W62" s="53"/>
      <c r="X62" s="15"/>
      <c r="Y62" s="53"/>
      <c r="Z62" s="53"/>
      <c r="AA62" s="53"/>
      <c r="AB62" s="53"/>
      <c r="AC62" s="53"/>
      <c r="AD62" s="15"/>
    </row>
    <row r="63" spans="1:30" x14ac:dyDescent="0.25">
      <c r="A63" s="15">
        <v>4833</v>
      </c>
      <c r="C63" s="15" t="s">
        <v>680</v>
      </c>
      <c r="D63" s="15" t="s">
        <v>681</v>
      </c>
      <c r="E63" s="15" t="s">
        <v>37</v>
      </c>
      <c r="F63" s="15">
        <v>2022</v>
      </c>
      <c r="G63" s="15" t="s">
        <v>682</v>
      </c>
      <c r="H63" s="15">
        <v>1</v>
      </c>
      <c r="I63" s="15" t="s">
        <v>45</v>
      </c>
      <c r="J63" s="15" t="s">
        <v>33</v>
      </c>
      <c r="L63" s="15">
        <v>240</v>
      </c>
      <c r="M63" s="15">
        <v>1</v>
      </c>
      <c r="N63" s="18">
        <v>20</v>
      </c>
      <c r="O63" s="18">
        <f>L63*M63*N63</f>
        <v>4800</v>
      </c>
      <c r="Q63" s="18">
        <v>5</v>
      </c>
      <c r="R63" s="53"/>
      <c r="S63" s="53"/>
      <c r="T63" s="53"/>
      <c r="U63" s="53"/>
      <c r="V63" s="53"/>
      <c r="W63" s="53"/>
      <c r="X63" s="15"/>
      <c r="Y63" s="53"/>
      <c r="Z63" s="53"/>
      <c r="AA63" s="53"/>
      <c r="AB63" s="53"/>
      <c r="AC63" s="53"/>
      <c r="AD63" s="15"/>
    </row>
    <row r="64" spans="1:30" x14ac:dyDescent="0.25">
      <c r="A64" s="15">
        <v>4961</v>
      </c>
      <c r="B64" s="15">
        <v>38882046</v>
      </c>
      <c r="C64" s="15" t="s">
        <v>203</v>
      </c>
      <c r="D64" s="15" t="s">
        <v>204</v>
      </c>
      <c r="E64" s="15" t="s">
        <v>205</v>
      </c>
      <c r="F64" s="15">
        <v>2024</v>
      </c>
      <c r="G64" s="15" t="s">
        <v>206</v>
      </c>
      <c r="H64" s="15">
        <v>1</v>
      </c>
      <c r="I64" s="15" t="s">
        <v>32</v>
      </c>
      <c r="J64" s="15" t="s">
        <v>33</v>
      </c>
      <c r="L64" s="15">
        <v>180</v>
      </c>
      <c r="M64" s="15">
        <v>1</v>
      </c>
      <c r="N64" s="18">
        <v>28</v>
      </c>
      <c r="O64" s="18">
        <f>N64*L64</f>
        <v>5040</v>
      </c>
      <c r="Q64" s="18">
        <v>4</v>
      </c>
      <c r="R64" s="53"/>
      <c r="S64" s="53"/>
      <c r="T64" s="53"/>
      <c r="U64" s="53"/>
      <c r="V64" s="53"/>
      <c r="W64" s="53"/>
      <c r="X64" s="15"/>
      <c r="Y64" s="53"/>
      <c r="Z64" s="53"/>
      <c r="AA64" s="53"/>
      <c r="AB64" s="53"/>
      <c r="AC64" s="53"/>
      <c r="AD64" s="15"/>
    </row>
    <row r="65" spans="1:30" x14ac:dyDescent="0.25">
      <c r="A65" s="15">
        <v>5014</v>
      </c>
      <c r="B65" s="15">
        <v>38703343</v>
      </c>
      <c r="C65" s="15" t="s">
        <v>212</v>
      </c>
      <c r="D65" s="15" t="s">
        <v>213</v>
      </c>
      <c r="E65" s="15" t="s">
        <v>214</v>
      </c>
      <c r="F65" s="15">
        <v>2024</v>
      </c>
      <c r="G65" s="15" t="s">
        <v>215</v>
      </c>
      <c r="H65" s="15">
        <v>1</v>
      </c>
      <c r="I65" s="15" t="s">
        <v>45</v>
      </c>
      <c r="J65" s="15" t="s">
        <v>33</v>
      </c>
      <c r="K65" s="32" t="s">
        <v>88</v>
      </c>
      <c r="L65" s="15">
        <v>360</v>
      </c>
      <c r="M65" s="15">
        <v>1</v>
      </c>
      <c r="N65" s="18">
        <v>21</v>
      </c>
      <c r="O65" s="18">
        <f>N65*L65</f>
        <v>7560</v>
      </c>
      <c r="Q65" s="18">
        <v>5</v>
      </c>
      <c r="R65" s="53"/>
      <c r="S65" s="53"/>
      <c r="T65" s="53"/>
      <c r="U65" s="53"/>
      <c r="V65" s="53"/>
      <c r="W65" s="53"/>
      <c r="X65" s="15"/>
      <c r="Y65" s="53"/>
      <c r="Z65" s="53"/>
      <c r="AA65" s="53"/>
      <c r="AB65" s="53"/>
      <c r="AC65" s="53"/>
      <c r="AD65" s="15"/>
    </row>
    <row r="66" spans="1:30" x14ac:dyDescent="0.25">
      <c r="A66" s="15">
        <v>5068</v>
      </c>
      <c r="C66" s="15" t="s">
        <v>821</v>
      </c>
      <c r="D66" s="15" t="s">
        <v>822</v>
      </c>
      <c r="E66" s="15" t="s">
        <v>823</v>
      </c>
      <c r="F66" s="15">
        <v>2023</v>
      </c>
      <c r="G66" s="15" t="s">
        <v>824</v>
      </c>
      <c r="H66" s="15">
        <v>1</v>
      </c>
      <c r="I66" s="15" t="s">
        <v>45</v>
      </c>
      <c r="J66" s="15" t="s">
        <v>33</v>
      </c>
      <c r="K66" s="32" t="s">
        <v>253</v>
      </c>
      <c r="L66" s="15">
        <v>360</v>
      </c>
      <c r="M66" s="15">
        <v>1</v>
      </c>
      <c r="N66" s="18">
        <v>21</v>
      </c>
      <c r="O66" s="18">
        <f>L66*M66*N66</f>
        <v>7560</v>
      </c>
      <c r="Q66" s="18">
        <v>3</v>
      </c>
      <c r="R66" s="53"/>
      <c r="S66" s="53"/>
      <c r="T66" s="53"/>
      <c r="U66" s="53"/>
      <c r="V66" s="53"/>
      <c r="W66" s="53"/>
      <c r="X66" s="15"/>
      <c r="Y66" s="53"/>
      <c r="Z66" s="53"/>
      <c r="AA66" s="53"/>
      <c r="AB66" s="53"/>
      <c r="AC66" s="53"/>
      <c r="AD66" s="15"/>
    </row>
    <row r="67" spans="1:30" x14ac:dyDescent="0.25">
      <c r="A67" s="15">
        <v>5108</v>
      </c>
      <c r="C67" s="15" t="s">
        <v>825</v>
      </c>
      <c r="D67" s="15" t="s">
        <v>826</v>
      </c>
      <c r="E67" s="15" t="s">
        <v>827</v>
      </c>
      <c r="F67" s="15">
        <v>2022</v>
      </c>
      <c r="G67" s="15" t="s">
        <v>828</v>
      </c>
      <c r="H67" s="15">
        <v>1</v>
      </c>
      <c r="I67" s="15" t="s">
        <v>45</v>
      </c>
      <c r="J67" s="15" t="s">
        <v>33</v>
      </c>
      <c r="L67" s="15">
        <v>150</v>
      </c>
      <c r="M67" s="15">
        <v>1</v>
      </c>
      <c r="N67" s="18">
        <v>21</v>
      </c>
      <c r="O67" s="18">
        <f>L67*M67*N67</f>
        <v>3150</v>
      </c>
      <c r="Q67" s="18">
        <v>10</v>
      </c>
      <c r="R67" s="53"/>
      <c r="S67" s="53"/>
      <c r="T67" s="53"/>
      <c r="U67" s="53"/>
      <c r="V67" s="53"/>
      <c r="W67" s="53"/>
      <c r="X67" s="15"/>
      <c r="Y67" s="53"/>
      <c r="Z67" s="53"/>
      <c r="AA67" s="53"/>
      <c r="AB67" s="53"/>
      <c r="AC67" s="53"/>
      <c r="AD67" s="15"/>
    </row>
    <row r="68" spans="1:30" x14ac:dyDescent="0.25">
      <c r="A68" s="15">
        <v>5109</v>
      </c>
      <c r="B68" s="15">
        <v>36728843</v>
      </c>
      <c r="C68" s="15" t="s">
        <v>218</v>
      </c>
      <c r="D68" s="15" t="s">
        <v>219</v>
      </c>
      <c r="E68" s="15" t="s">
        <v>220</v>
      </c>
      <c r="F68" s="15">
        <v>2023</v>
      </c>
      <c r="G68" s="15" t="s">
        <v>221</v>
      </c>
      <c r="H68" s="15">
        <v>1</v>
      </c>
      <c r="I68" s="15" t="s">
        <v>32</v>
      </c>
      <c r="J68" s="15" t="s">
        <v>33</v>
      </c>
      <c r="K68" s="32" t="s">
        <v>222</v>
      </c>
      <c r="L68" s="15">
        <v>360</v>
      </c>
      <c r="M68" s="15">
        <v>1</v>
      </c>
      <c r="N68" s="18">
        <v>28</v>
      </c>
      <c r="O68" s="18">
        <f>N68*L68</f>
        <v>10080</v>
      </c>
      <c r="Q68" s="18">
        <v>5</v>
      </c>
      <c r="R68" s="53"/>
      <c r="S68" s="53"/>
      <c r="T68" s="53"/>
      <c r="U68" s="53"/>
      <c r="V68" s="53"/>
      <c r="W68" s="53"/>
      <c r="X68" s="15"/>
      <c r="Y68" s="53"/>
      <c r="Z68" s="53"/>
      <c r="AA68" s="53"/>
      <c r="AB68" s="53"/>
      <c r="AC68" s="53"/>
      <c r="AD68" s="15"/>
    </row>
    <row r="69" spans="1:30" x14ac:dyDescent="0.25">
      <c r="A69" s="15">
        <v>5233</v>
      </c>
      <c r="C69" s="15" t="s">
        <v>829</v>
      </c>
      <c r="D69" s="15" t="s">
        <v>830</v>
      </c>
      <c r="E69" s="15" t="s">
        <v>831</v>
      </c>
      <c r="F69" s="15">
        <v>2020</v>
      </c>
      <c r="G69" s="15" t="s">
        <v>832</v>
      </c>
      <c r="H69" s="15">
        <v>1</v>
      </c>
      <c r="I69" s="15" t="s">
        <v>45</v>
      </c>
      <c r="J69" s="15" t="s">
        <v>33</v>
      </c>
      <c r="L69" s="15">
        <v>360</v>
      </c>
      <c r="M69" s="15">
        <v>1</v>
      </c>
      <c r="N69" s="18">
        <v>21</v>
      </c>
      <c r="O69" s="18">
        <f>L69*M69*N69</f>
        <v>7560</v>
      </c>
      <c r="Q69" s="18">
        <v>3</v>
      </c>
      <c r="R69" s="15" t="s">
        <v>388</v>
      </c>
      <c r="S69" s="15">
        <v>15</v>
      </c>
      <c r="U69" s="15">
        <v>2.4</v>
      </c>
      <c r="V69" s="15">
        <v>6</v>
      </c>
      <c r="W69" s="35">
        <f>U69*(SQRT(V69))</f>
        <v>5.8787753826796267</v>
      </c>
      <c r="X69" s="15"/>
      <c r="Y69" s="15">
        <v>9</v>
      </c>
      <c r="Z69" s="15">
        <v>1.5</v>
      </c>
      <c r="AA69" s="15">
        <v>6</v>
      </c>
      <c r="AB69" s="15">
        <v>6</v>
      </c>
      <c r="AC69" s="35">
        <f>Z69*(SQRT(AB69))</f>
        <v>3.6742346141747668</v>
      </c>
      <c r="AD69" s="15"/>
    </row>
    <row r="70" spans="1:30" x14ac:dyDescent="0.25">
      <c r="A70" s="15">
        <v>5240</v>
      </c>
      <c r="B70" s="15">
        <v>29379991</v>
      </c>
      <c r="C70" s="15" t="s">
        <v>235</v>
      </c>
      <c r="D70" s="15" t="s">
        <v>236</v>
      </c>
      <c r="E70" s="15" t="s">
        <v>237</v>
      </c>
      <c r="F70" s="15">
        <v>2018</v>
      </c>
      <c r="G70" s="15" t="s">
        <v>238</v>
      </c>
      <c r="H70" s="15">
        <v>1</v>
      </c>
      <c r="I70" s="15" t="s">
        <v>45</v>
      </c>
      <c r="J70" s="15" t="s">
        <v>33</v>
      </c>
      <c r="L70" s="15">
        <v>240</v>
      </c>
      <c r="M70" s="15">
        <v>1</v>
      </c>
      <c r="N70" s="18">
        <v>42</v>
      </c>
      <c r="O70" s="18">
        <f>N70*L70</f>
        <v>10080</v>
      </c>
      <c r="Q70" s="18">
        <v>5</v>
      </c>
      <c r="R70" s="15" t="s">
        <v>71</v>
      </c>
      <c r="S70" s="15">
        <v>8.8000000000000007</v>
      </c>
      <c r="T70" s="15" t="s">
        <v>65</v>
      </c>
      <c r="U70" s="15">
        <v>10</v>
      </c>
      <c r="V70" s="15">
        <v>10</v>
      </c>
      <c r="W70" s="15">
        <v>2.2000000000000002</v>
      </c>
      <c r="X70" s="15"/>
      <c r="Y70" s="15">
        <v>23.9</v>
      </c>
      <c r="Z70" s="15" t="s">
        <v>65</v>
      </c>
      <c r="AA70" s="15">
        <v>11</v>
      </c>
      <c r="AB70" s="15">
        <v>11</v>
      </c>
      <c r="AC70" s="15">
        <v>11.2</v>
      </c>
      <c r="AD70" s="15"/>
    </row>
    <row r="71" spans="1:30" x14ac:dyDescent="0.25">
      <c r="A71" s="15">
        <v>5278</v>
      </c>
      <c r="C71" s="15" t="s">
        <v>685</v>
      </c>
      <c r="D71" s="15" t="s">
        <v>686</v>
      </c>
      <c r="E71" s="15" t="s">
        <v>687</v>
      </c>
      <c r="F71" s="15">
        <v>2017</v>
      </c>
      <c r="G71" s="15" t="s">
        <v>688</v>
      </c>
      <c r="H71" s="15">
        <v>1</v>
      </c>
      <c r="I71" s="15" t="s">
        <v>45</v>
      </c>
      <c r="J71" s="15" t="s">
        <v>33</v>
      </c>
      <c r="K71" s="15" t="s">
        <v>34</v>
      </c>
      <c r="L71" s="15">
        <v>180</v>
      </c>
      <c r="M71" s="15">
        <v>1</v>
      </c>
      <c r="N71" s="18">
        <v>14</v>
      </c>
      <c r="O71" s="18">
        <f>L71*M71*N71</f>
        <v>2520</v>
      </c>
      <c r="Q71" s="18">
        <v>5</v>
      </c>
      <c r="R71" s="53"/>
      <c r="S71" s="53"/>
      <c r="T71" s="53"/>
      <c r="U71" s="53"/>
      <c r="V71" s="53"/>
      <c r="W71" s="53"/>
      <c r="X71" s="15"/>
      <c r="Y71" s="53"/>
      <c r="Z71" s="53"/>
      <c r="AA71" s="53"/>
      <c r="AB71" s="53"/>
      <c r="AC71" s="53"/>
      <c r="AD71" s="15"/>
    </row>
    <row r="72" spans="1:30" x14ac:dyDescent="0.25">
      <c r="A72" s="15">
        <v>5291</v>
      </c>
      <c r="B72" s="15">
        <v>31430442</v>
      </c>
      <c r="C72" s="15" t="s">
        <v>833</v>
      </c>
      <c r="D72" s="15" t="s">
        <v>834</v>
      </c>
      <c r="E72" s="15" t="s">
        <v>835</v>
      </c>
      <c r="F72" s="15">
        <v>2019</v>
      </c>
      <c r="G72" s="15" t="s">
        <v>836</v>
      </c>
      <c r="H72" s="15">
        <v>1</v>
      </c>
      <c r="I72" s="15" t="s">
        <v>45</v>
      </c>
      <c r="J72" s="15" t="s">
        <v>33</v>
      </c>
      <c r="L72" s="15">
        <v>180</v>
      </c>
      <c r="M72" s="15">
        <v>1</v>
      </c>
      <c r="N72" s="18">
        <v>28</v>
      </c>
      <c r="O72" s="18">
        <f>N72*L72</f>
        <v>5040</v>
      </c>
      <c r="Q72" s="18">
        <v>5</v>
      </c>
      <c r="R72" s="53"/>
      <c r="S72" s="53"/>
      <c r="T72" s="53"/>
      <c r="U72" s="53"/>
      <c r="V72" s="53"/>
      <c r="W72" s="53"/>
      <c r="X72" s="15"/>
      <c r="Y72" s="53"/>
      <c r="Z72" s="53"/>
      <c r="AA72" s="53"/>
      <c r="AB72" s="53"/>
      <c r="AC72" s="53"/>
      <c r="AD72" s="15"/>
    </row>
    <row r="73" spans="1:30" x14ac:dyDescent="0.25">
      <c r="A73" s="15">
        <v>5304</v>
      </c>
      <c r="C73" s="15" t="s">
        <v>689</v>
      </c>
      <c r="D73" s="15" t="s">
        <v>690</v>
      </c>
      <c r="E73" s="15" t="s">
        <v>691</v>
      </c>
      <c r="F73" s="15">
        <v>2017</v>
      </c>
      <c r="G73" s="15" t="s">
        <v>837</v>
      </c>
      <c r="H73" s="15">
        <v>1</v>
      </c>
      <c r="I73" s="15" t="s">
        <v>32</v>
      </c>
      <c r="J73" s="15" t="s">
        <v>33</v>
      </c>
      <c r="L73" s="15">
        <v>60</v>
      </c>
      <c r="M73" s="15">
        <v>1</v>
      </c>
      <c r="N73" s="18">
        <v>16</v>
      </c>
      <c r="O73" s="18">
        <f>L73*M73*N73</f>
        <v>960</v>
      </c>
      <c r="P73" s="15" t="s">
        <v>693</v>
      </c>
      <c r="Q73" s="18">
        <v>10</v>
      </c>
      <c r="R73" s="53"/>
      <c r="S73" s="53"/>
      <c r="T73" s="53"/>
      <c r="U73" s="53"/>
      <c r="V73" s="53"/>
      <c r="W73" s="53"/>
      <c r="X73" s="15"/>
      <c r="Y73" s="53"/>
      <c r="Z73" s="53"/>
      <c r="AA73" s="53"/>
      <c r="AB73" s="53"/>
      <c r="AC73" s="53"/>
      <c r="AD73" s="15"/>
    </row>
    <row r="74" spans="1:30" x14ac:dyDescent="0.25">
      <c r="A74" s="15">
        <v>5365</v>
      </c>
      <c r="B74" s="15">
        <v>27916420</v>
      </c>
      <c r="C74" s="15" t="s">
        <v>243</v>
      </c>
      <c r="D74" s="15" t="s">
        <v>244</v>
      </c>
      <c r="E74" s="15" t="s">
        <v>245</v>
      </c>
      <c r="F74" s="15">
        <v>2017</v>
      </c>
      <c r="G74" s="15" t="s">
        <v>246</v>
      </c>
      <c r="H74" s="15">
        <v>1</v>
      </c>
      <c r="I74" s="15" t="s">
        <v>45</v>
      </c>
      <c r="J74" s="15" t="s">
        <v>33</v>
      </c>
      <c r="L74" s="15">
        <v>240</v>
      </c>
      <c r="M74" s="15">
        <v>1</v>
      </c>
      <c r="N74" s="18">
        <v>42</v>
      </c>
      <c r="O74" s="18">
        <f>N74*L74</f>
        <v>10080</v>
      </c>
      <c r="Q74" s="18">
        <v>5</v>
      </c>
      <c r="R74" s="15" t="s">
        <v>71</v>
      </c>
      <c r="S74" s="15">
        <v>9</v>
      </c>
      <c r="T74" s="15">
        <v>2.2999999999999998</v>
      </c>
      <c r="U74" s="15">
        <v>12</v>
      </c>
      <c r="V74" s="15">
        <v>12</v>
      </c>
      <c r="W74" s="35">
        <f>T74*(SQRT(V74))</f>
        <v>7.9674337148168348</v>
      </c>
      <c r="X74" s="15"/>
      <c r="Y74" s="15">
        <v>24</v>
      </c>
      <c r="Z74" s="15">
        <v>3.2</v>
      </c>
      <c r="AA74" s="15">
        <v>12</v>
      </c>
      <c r="AB74" s="15">
        <v>12</v>
      </c>
      <c r="AC74" s="35">
        <f>Z74*(SQRT(AB74))</f>
        <v>11.085125168440815</v>
      </c>
      <c r="AD74" s="15"/>
    </row>
    <row r="75" spans="1:30" x14ac:dyDescent="0.25">
      <c r="A75" s="15">
        <v>5366</v>
      </c>
      <c r="B75" s="15">
        <v>33052137</v>
      </c>
      <c r="C75" s="15" t="s">
        <v>838</v>
      </c>
      <c r="D75" s="15" t="s">
        <v>839</v>
      </c>
      <c r="E75" s="15" t="s">
        <v>840</v>
      </c>
      <c r="F75" s="15">
        <v>2020</v>
      </c>
      <c r="G75" s="15" t="s">
        <v>841</v>
      </c>
      <c r="H75" s="15">
        <v>1</v>
      </c>
      <c r="I75" s="15" t="s">
        <v>32</v>
      </c>
      <c r="J75" s="15" t="s">
        <v>33</v>
      </c>
      <c r="L75" s="15">
        <v>180</v>
      </c>
      <c r="M75" s="15">
        <v>1</v>
      </c>
      <c r="N75" s="18">
        <v>21</v>
      </c>
      <c r="O75" s="18">
        <f>N75*L75</f>
        <v>3780</v>
      </c>
      <c r="Q75" s="18">
        <v>5</v>
      </c>
      <c r="R75" s="53"/>
      <c r="S75" s="53"/>
      <c r="T75" s="53"/>
      <c r="U75" s="53"/>
      <c r="V75" s="53"/>
      <c r="W75" s="53"/>
      <c r="X75" s="15"/>
      <c r="Y75" s="53"/>
      <c r="Z75" s="53"/>
      <c r="AA75" s="53"/>
      <c r="AB75" s="53"/>
      <c r="AC75" s="53"/>
      <c r="AD75" s="15"/>
    </row>
    <row r="76" spans="1:30" x14ac:dyDescent="0.25">
      <c r="A76" s="15">
        <v>5610</v>
      </c>
      <c r="C76" s="40" t="s">
        <v>260</v>
      </c>
      <c r="D76" s="40" t="s">
        <v>261</v>
      </c>
      <c r="E76" s="40" t="s">
        <v>262</v>
      </c>
      <c r="F76" s="40">
        <v>2025</v>
      </c>
      <c r="G76" s="41" t="s">
        <v>263</v>
      </c>
      <c r="H76" s="15">
        <v>1</v>
      </c>
      <c r="I76" s="15" t="s">
        <v>45</v>
      </c>
      <c r="J76" s="15" t="s">
        <v>33</v>
      </c>
      <c r="L76" s="15">
        <v>480</v>
      </c>
      <c r="M76" s="15">
        <v>1</v>
      </c>
      <c r="N76" s="18">
        <v>14</v>
      </c>
      <c r="O76" s="18">
        <f>L76*M76*N76</f>
        <v>6720</v>
      </c>
      <c r="Q76" s="18">
        <v>10</v>
      </c>
      <c r="R76" s="53"/>
      <c r="S76" s="53"/>
      <c r="T76" s="53"/>
      <c r="U76" s="53"/>
      <c r="V76" s="53"/>
      <c r="W76" s="53"/>
      <c r="X76" s="15"/>
      <c r="Y76" s="53"/>
      <c r="Z76" s="53"/>
      <c r="AA76" s="53"/>
      <c r="AB76" s="53"/>
      <c r="AC76" s="53"/>
      <c r="AD76" s="15"/>
    </row>
    <row r="77" spans="1:30" x14ac:dyDescent="0.25">
      <c r="A77" s="15">
        <v>5623</v>
      </c>
      <c r="B77" s="15">
        <v>36100011</v>
      </c>
      <c r="C77" s="15" t="s">
        <v>265</v>
      </c>
      <c r="D77" s="15" t="s">
        <v>266</v>
      </c>
      <c r="E77" s="15" t="s">
        <v>267</v>
      </c>
      <c r="F77" s="15">
        <v>2023</v>
      </c>
      <c r="G77" s="15" t="s">
        <v>268</v>
      </c>
      <c r="H77" s="15">
        <v>1</v>
      </c>
      <c r="I77" s="15" t="s">
        <v>32</v>
      </c>
      <c r="J77" s="15" t="s">
        <v>33</v>
      </c>
      <c r="K77" s="32">
        <v>6</v>
      </c>
      <c r="L77" s="15">
        <v>360</v>
      </c>
      <c r="M77" s="15">
        <v>1</v>
      </c>
      <c r="N77" s="18">
        <v>21</v>
      </c>
      <c r="O77" s="18">
        <f>N77*L77</f>
        <v>7560</v>
      </c>
      <c r="Q77" s="18">
        <v>15</v>
      </c>
      <c r="R77" s="53"/>
      <c r="S77" s="53"/>
      <c r="T77" s="53"/>
      <c r="U77" s="53"/>
      <c r="V77" s="53"/>
      <c r="W77" s="53"/>
      <c r="X77" s="15"/>
      <c r="Y77" s="53"/>
      <c r="Z77" s="53"/>
      <c r="AA77" s="53"/>
      <c r="AB77" s="53"/>
      <c r="AC77" s="53"/>
      <c r="AD77" s="15"/>
    </row>
    <row r="78" spans="1:30" x14ac:dyDescent="0.25">
      <c r="A78" s="15">
        <v>5627</v>
      </c>
      <c r="C78" s="15" t="s">
        <v>270</v>
      </c>
      <c r="D78" s="15" t="s">
        <v>271</v>
      </c>
      <c r="E78" s="15" t="s">
        <v>272</v>
      </c>
      <c r="F78" s="15">
        <v>2019</v>
      </c>
      <c r="G78" s="15" t="s">
        <v>273</v>
      </c>
      <c r="H78" s="15">
        <v>1</v>
      </c>
      <c r="I78" s="15" t="s">
        <v>45</v>
      </c>
      <c r="J78" s="15" t="s">
        <v>33</v>
      </c>
      <c r="K78" s="32" t="s">
        <v>40</v>
      </c>
      <c r="L78" s="15">
        <v>360</v>
      </c>
      <c r="M78" s="15">
        <v>1</v>
      </c>
      <c r="N78" s="18">
        <v>21</v>
      </c>
      <c r="O78" s="18">
        <f>L78*M78*N78</f>
        <v>7560</v>
      </c>
      <c r="Q78" s="18">
        <v>3</v>
      </c>
      <c r="R78" s="53"/>
      <c r="S78" s="53"/>
      <c r="T78" s="53"/>
      <c r="U78" s="53"/>
      <c r="V78" s="53"/>
      <c r="W78" s="53"/>
      <c r="X78" s="15"/>
      <c r="Y78" s="53"/>
      <c r="Z78" s="53"/>
      <c r="AA78" s="53"/>
      <c r="AB78" s="53"/>
      <c r="AC78" s="53"/>
      <c r="AD78" s="15"/>
    </row>
    <row r="79" spans="1:30" x14ac:dyDescent="0.25">
      <c r="A79" s="37">
        <v>5638</v>
      </c>
      <c r="B79" s="37">
        <v>38655362</v>
      </c>
      <c r="C79" s="37" t="s">
        <v>521</v>
      </c>
      <c r="D79" s="37" t="s">
        <v>522</v>
      </c>
      <c r="E79" s="37" t="s">
        <v>523</v>
      </c>
      <c r="F79" s="37">
        <v>2024</v>
      </c>
      <c r="G79" s="37" t="s">
        <v>524</v>
      </c>
      <c r="H79" s="15">
        <v>1</v>
      </c>
      <c r="I79" s="15" t="s">
        <v>32</v>
      </c>
      <c r="J79" s="15" t="s">
        <v>33</v>
      </c>
      <c r="L79" s="15">
        <v>360</v>
      </c>
      <c r="M79" s="15">
        <v>1</v>
      </c>
      <c r="N79" s="51">
        <v>7</v>
      </c>
      <c r="O79" s="18">
        <f>N79*L79</f>
        <v>2520</v>
      </c>
      <c r="P79" s="15" t="s">
        <v>842</v>
      </c>
      <c r="Q79" s="18">
        <v>3</v>
      </c>
      <c r="R79" s="15" t="s">
        <v>269</v>
      </c>
      <c r="S79" s="15">
        <v>5</v>
      </c>
      <c r="T79" s="15" t="s">
        <v>65</v>
      </c>
      <c r="U79" s="15">
        <v>11</v>
      </c>
      <c r="V79" s="15">
        <v>11</v>
      </c>
      <c r="W79" s="15">
        <v>3.4</v>
      </c>
      <c r="X79" s="15"/>
      <c r="Y79" s="15">
        <v>2.9</v>
      </c>
      <c r="Z79" s="15" t="s">
        <v>65</v>
      </c>
      <c r="AA79" s="15">
        <v>11</v>
      </c>
      <c r="AB79" s="15">
        <v>11</v>
      </c>
      <c r="AC79" s="15">
        <v>1.5</v>
      </c>
      <c r="AD79" s="15"/>
    </row>
    <row r="80" spans="1:30" x14ac:dyDescent="0.25">
      <c r="A80" s="37">
        <v>5638</v>
      </c>
      <c r="B80" s="37">
        <v>38655362</v>
      </c>
      <c r="C80" s="37" t="s">
        <v>521</v>
      </c>
      <c r="D80" s="37" t="s">
        <v>522</v>
      </c>
      <c r="E80" s="37" t="s">
        <v>523</v>
      </c>
      <c r="F80" s="37">
        <v>2024</v>
      </c>
      <c r="G80" s="37" t="s">
        <v>524</v>
      </c>
      <c r="H80" s="15">
        <v>1</v>
      </c>
      <c r="I80" s="15" t="s">
        <v>32</v>
      </c>
      <c r="J80" s="15" t="s">
        <v>33</v>
      </c>
      <c r="L80" s="15">
        <v>360</v>
      </c>
      <c r="M80" s="15">
        <v>1</v>
      </c>
      <c r="N80" s="51">
        <v>14</v>
      </c>
      <c r="O80" s="18">
        <f>N80*L80</f>
        <v>5040</v>
      </c>
      <c r="P80" s="15" t="s">
        <v>842</v>
      </c>
      <c r="Q80" s="18">
        <v>3</v>
      </c>
      <c r="R80" s="15" t="s">
        <v>269</v>
      </c>
      <c r="S80" s="15">
        <v>5</v>
      </c>
      <c r="T80" s="15" t="s">
        <v>65</v>
      </c>
      <c r="U80" s="15">
        <v>11</v>
      </c>
      <c r="V80" s="15">
        <v>11</v>
      </c>
      <c r="W80" s="15">
        <v>3.4</v>
      </c>
      <c r="X80" s="15"/>
      <c r="Y80" s="15">
        <v>1.4</v>
      </c>
      <c r="Z80" s="15" t="s">
        <v>65</v>
      </c>
      <c r="AA80" s="15">
        <v>11</v>
      </c>
      <c r="AB80" s="15">
        <v>11</v>
      </c>
      <c r="AC80" s="15">
        <v>0.6</v>
      </c>
      <c r="AD80" s="15"/>
    </row>
    <row r="81" spans="1:30" x14ac:dyDescent="0.25">
      <c r="A81" s="37">
        <v>5638</v>
      </c>
      <c r="B81" s="37">
        <v>38655362</v>
      </c>
      <c r="C81" s="37" t="s">
        <v>521</v>
      </c>
      <c r="D81" s="37" t="s">
        <v>522</v>
      </c>
      <c r="E81" s="37" t="s">
        <v>523</v>
      </c>
      <c r="F81" s="37">
        <v>2024</v>
      </c>
      <c r="G81" s="37" t="s">
        <v>524</v>
      </c>
      <c r="H81" s="15">
        <v>1</v>
      </c>
      <c r="I81" s="15" t="s">
        <v>32</v>
      </c>
      <c r="J81" s="15" t="s">
        <v>33</v>
      </c>
      <c r="L81" s="15">
        <v>360</v>
      </c>
      <c r="M81" s="15">
        <v>1</v>
      </c>
      <c r="N81" s="51">
        <v>21</v>
      </c>
      <c r="O81" s="18">
        <f>N81*L81</f>
        <v>7560</v>
      </c>
      <c r="P81" s="15" t="s">
        <v>842</v>
      </c>
      <c r="Q81" s="18">
        <v>3</v>
      </c>
      <c r="R81" s="15" t="s">
        <v>269</v>
      </c>
      <c r="S81" s="15">
        <v>5</v>
      </c>
      <c r="T81" s="15" t="s">
        <v>65</v>
      </c>
      <c r="U81" s="15">
        <v>11</v>
      </c>
      <c r="V81" s="15">
        <v>11</v>
      </c>
      <c r="W81" s="15">
        <v>3.4</v>
      </c>
      <c r="X81" s="15"/>
      <c r="Y81" s="15">
        <v>0.2</v>
      </c>
      <c r="Z81" s="15" t="s">
        <v>65</v>
      </c>
      <c r="AA81" s="15">
        <v>11</v>
      </c>
      <c r="AB81" s="15">
        <v>11</v>
      </c>
      <c r="AC81" s="15">
        <v>0.1</v>
      </c>
      <c r="AD81" s="15"/>
    </row>
    <row r="82" spans="1:30" x14ac:dyDescent="0.25">
      <c r="A82" s="15">
        <v>5687</v>
      </c>
      <c r="C82" s="15" t="s">
        <v>275</v>
      </c>
      <c r="D82" s="15" t="s">
        <v>276</v>
      </c>
      <c r="E82" s="15" t="s">
        <v>277</v>
      </c>
      <c r="F82" s="15">
        <v>2022</v>
      </c>
      <c r="G82" s="15" t="s">
        <v>278</v>
      </c>
      <c r="H82" s="15">
        <v>1</v>
      </c>
      <c r="I82" s="15" t="s">
        <v>32</v>
      </c>
      <c r="J82" s="15" t="s">
        <v>91</v>
      </c>
      <c r="K82" s="32" t="s">
        <v>78</v>
      </c>
      <c r="L82" s="15">
        <v>450</v>
      </c>
      <c r="M82" s="15">
        <v>1</v>
      </c>
      <c r="N82" s="18">
        <v>21</v>
      </c>
      <c r="O82" s="18">
        <f>L82*M82*N82</f>
        <v>9450</v>
      </c>
      <c r="P82" s="15" t="s">
        <v>279</v>
      </c>
      <c r="Q82" s="18">
        <v>5</v>
      </c>
      <c r="R82" s="15" t="s">
        <v>843</v>
      </c>
      <c r="S82" s="53"/>
      <c r="T82" s="53"/>
      <c r="U82" s="53"/>
      <c r="V82" s="53"/>
      <c r="W82" s="53"/>
      <c r="X82" s="15"/>
      <c r="Y82" s="53"/>
      <c r="Z82" s="53"/>
      <c r="AA82" s="53"/>
      <c r="AB82" s="53"/>
      <c r="AC82" s="53"/>
      <c r="AD82" s="15"/>
    </row>
    <row r="83" spans="1:30" x14ac:dyDescent="0.25">
      <c r="A83" s="15">
        <v>5697</v>
      </c>
      <c r="C83" s="15" t="s">
        <v>844</v>
      </c>
      <c r="D83" s="15" t="s">
        <v>845</v>
      </c>
      <c r="E83" s="15" t="s">
        <v>146</v>
      </c>
      <c r="F83" s="15">
        <v>2025</v>
      </c>
      <c r="G83" s="15" t="s">
        <v>846</v>
      </c>
      <c r="H83" s="15">
        <v>1</v>
      </c>
      <c r="I83" s="15" t="s">
        <v>45</v>
      </c>
      <c r="J83" s="15" t="s">
        <v>33</v>
      </c>
      <c r="L83" s="15">
        <v>360</v>
      </c>
      <c r="M83" s="15">
        <v>1</v>
      </c>
      <c r="N83" s="18">
        <v>21</v>
      </c>
      <c r="O83" s="18">
        <f>L83*M83*N83</f>
        <v>7560</v>
      </c>
      <c r="Q83" s="18">
        <v>5</v>
      </c>
      <c r="R83" s="53"/>
      <c r="S83" s="53"/>
      <c r="T83" s="53"/>
      <c r="U83" s="53"/>
      <c r="V83" s="53"/>
      <c r="W83" s="53"/>
      <c r="X83" s="15"/>
      <c r="Y83" s="53"/>
      <c r="Z83" s="53"/>
      <c r="AA83" s="53"/>
      <c r="AB83" s="53"/>
      <c r="AC83" s="53"/>
      <c r="AD83" s="15"/>
    </row>
    <row r="84" spans="1:30" x14ac:dyDescent="0.25">
      <c r="A84" s="15">
        <v>5729</v>
      </c>
      <c r="B84" s="15">
        <v>39214423</v>
      </c>
      <c r="C84" s="15" t="s">
        <v>699</v>
      </c>
      <c r="D84" s="15" t="s">
        <v>700</v>
      </c>
      <c r="E84" s="15" t="s">
        <v>267</v>
      </c>
      <c r="F84" s="15">
        <v>2024</v>
      </c>
      <c r="G84" s="15" t="s">
        <v>701</v>
      </c>
      <c r="H84" s="15">
        <v>1</v>
      </c>
      <c r="I84" s="15" t="s">
        <v>32</v>
      </c>
      <c r="J84" s="15" t="s">
        <v>33</v>
      </c>
      <c r="L84" s="15">
        <v>360</v>
      </c>
      <c r="M84" s="15">
        <v>1</v>
      </c>
      <c r="N84" s="18">
        <v>28</v>
      </c>
      <c r="O84" s="18">
        <f>N84*L84</f>
        <v>10080</v>
      </c>
      <c r="Q84" s="18">
        <v>5</v>
      </c>
      <c r="R84" s="15" t="s">
        <v>64</v>
      </c>
      <c r="S84" s="15">
        <v>22</v>
      </c>
      <c r="T84" s="15">
        <v>1.5</v>
      </c>
      <c r="U84" s="15">
        <v>6</v>
      </c>
      <c r="V84" s="15">
        <v>6</v>
      </c>
      <c r="W84" s="35">
        <f>T84*(SQRT(V84))</f>
        <v>3.6742346141747668</v>
      </c>
      <c r="X84" s="15"/>
      <c r="Y84" s="15">
        <v>7.6</v>
      </c>
      <c r="Z84" s="15">
        <v>1</v>
      </c>
      <c r="AA84" s="15">
        <v>6</v>
      </c>
      <c r="AB84" s="15">
        <v>6</v>
      </c>
      <c r="AC84" s="35">
        <f>Z84*(SQRT(AB84))</f>
        <v>2.4494897427831779</v>
      </c>
      <c r="AD84" s="15"/>
    </row>
    <row r="85" spans="1:30" x14ac:dyDescent="0.25">
      <c r="A85" s="15">
        <v>5748</v>
      </c>
      <c r="C85" s="15" t="s">
        <v>284</v>
      </c>
      <c r="D85" s="15" t="s">
        <v>285</v>
      </c>
      <c r="E85" s="15" t="s">
        <v>286</v>
      </c>
      <c r="F85" s="15">
        <v>2021</v>
      </c>
      <c r="G85" s="15" t="s">
        <v>287</v>
      </c>
      <c r="H85" s="15">
        <v>1</v>
      </c>
      <c r="I85" s="15" t="s">
        <v>45</v>
      </c>
      <c r="J85" s="15" t="s">
        <v>33</v>
      </c>
      <c r="L85" s="15">
        <v>360</v>
      </c>
      <c r="M85" s="15">
        <v>1</v>
      </c>
      <c r="N85" s="18">
        <v>21</v>
      </c>
      <c r="O85" s="18">
        <f t="shared" ref="O85:O92" si="8">L85*M85*N85</f>
        <v>7560</v>
      </c>
      <c r="Q85" s="18">
        <v>5</v>
      </c>
      <c r="R85" s="15" t="s">
        <v>625</v>
      </c>
      <c r="S85" s="15">
        <v>19</v>
      </c>
      <c r="T85" s="15">
        <v>1.4</v>
      </c>
      <c r="U85" s="15">
        <v>5</v>
      </c>
      <c r="V85" s="15">
        <v>5</v>
      </c>
      <c r="W85" s="35">
        <f>T85*(SQRT(V85))</f>
        <v>3.1304951684997055</v>
      </c>
      <c r="X85" s="15"/>
      <c r="Y85" s="15">
        <v>4.5</v>
      </c>
      <c r="Z85" s="15">
        <v>1.8</v>
      </c>
      <c r="AA85" s="15">
        <v>5</v>
      </c>
      <c r="AB85" s="15">
        <v>5</v>
      </c>
      <c r="AC85" s="35">
        <f>Z85*(SQRT(AB85))</f>
        <v>4.0249223594996222</v>
      </c>
      <c r="AD85" s="15"/>
    </row>
    <row r="86" spans="1:30" x14ac:dyDescent="0.25">
      <c r="A86" s="15">
        <v>5759</v>
      </c>
      <c r="C86" s="15" t="s">
        <v>705</v>
      </c>
      <c r="D86" s="15" t="s">
        <v>706</v>
      </c>
      <c r="E86" s="15" t="s">
        <v>68</v>
      </c>
      <c r="F86" s="15">
        <v>2022</v>
      </c>
      <c r="G86" s="15" t="s">
        <v>707</v>
      </c>
      <c r="H86" s="15">
        <v>1</v>
      </c>
      <c r="I86" s="15" t="s">
        <v>45</v>
      </c>
      <c r="J86" s="15" t="s">
        <v>33</v>
      </c>
      <c r="L86" s="15">
        <v>20</v>
      </c>
      <c r="M86" s="15">
        <v>1</v>
      </c>
      <c r="N86" s="18">
        <v>14</v>
      </c>
      <c r="O86" s="18">
        <f t="shared" si="8"/>
        <v>280</v>
      </c>
      <c r="Q86" s="18">
        <v>30</v>
      </c>
      <c r="R86" s="15" t="s">
        <v>409</v>
      </c>
      <c r="S86" s="15">
        <v>52</v>
      </c>
      <c r="T86" s="15">
        <v>6</v>
      </c>
      <c r="U86" s="15">
        <v>12</v>
      </c>
      <c r="V86" s="15">
        <v>12</v>
      </c>
      <c r="W86" s="35">
        <f>T86*(SQRT(V86))</f>
        <v>20.784609690826528</v>
      </c>
      <c r="X86" s="15"/>
      <c r="Y86" s="15">
        <v>30</v>
      </c>
      <c r="Z86" s="15">
        <v>4</v>
      </c>
      <c r="AA86" s="15">
        <v>12</v>
      </c>
      <c r="AB86" s="15">
        <v>12</v>
      </c>
      <c r="AC86" s="35">
        <f>Z86*(SQRT(AB86))</f>
        <v>13.856406460551018</v>
      </c>
      <c r="AD86" s="15"/>
    </row>
    <row r="87" spans="1:30" x14ac:dyDescent="0.25">
      <c r="A87" s="15">
        <v>5966</v>
      </c>
      <c r="C87" s="15" t="s">
        <v>847</v>
      </c>
      <c r="D87" s="15" t="s">
        <v>848</v>
      </c>
      <c r="E87" s="15" t="s">
        <v>823</v>
      </c>
      <c r="F87" s="15">
        <v>2022</v>
      </c>
      <c r="G87" s="15" t="s">
        <v>849</v>
      </c>
      <c r="H87" s="15">
        <v>1</v>
      </c>
      <c r="I87" s="15" t="s">
        <v>45</v>
      </c>
      <c r="J87" s="15" t="s">
        <v>33</v>
      </c>
      <c r="K87" s="32" t="s">
        <v>253</v>
      </c>
      <c r="L87" s="15">
        <v>360</v>
      </c>
      <c r="M87" s="15">
        <v>1</v>
      </c>
      <c r="N87" s="18">
        <v>21</v>
      </c>
      <c r="O87" s="18">
        <f t="shared" si="8"/>
        <v>7560</v>
      </c>
      <c r="Q87" s="18">
        <v>3</v>
      </c>
      <c r="R87" s="15" t="s">
        <v>46</v>
      </c>
      <c r="S87" s="15">
        <v>29</v>
      </c>
      <c r="T87" s="15" t="s">
        <v>65</v>
      </c>
      <c r="U87" s="15">
        <v>9</v>
      </c>
      <c r="V87" s="15">
        <v>9</v>
      </c>
      <c r="W87" s="15">
        <v>2.5</v>
      </c>
      <c r="X87" s="15"/>
      <c r="Y87" s="15">
        <v>8.4</v>
      </c>
      <c r="Z87" s="15" t="s">
        <v>65</v>
      </c>
      <c r="AA87" s="15">
        <v>9</v>
      </c>
      <c r="AB87" s="15">
        <v>9</v>
      </c>
      <c r="AC87" s="15">
        <v>1.2</v>
      </c>
      <c r="AD87" s="15"/>
    </row>
    <row r="88" spans="1:30" x14ac:dyDescent="0.25">
      <c r="A88" s="37">
        <v>5993</v>
      </c>
      <c r="B88" s="37">
        <v>41113223</v>
      </c>
      <c r="C88" s="37" t="s">
        <v>293</v>
      </c>
      <c r="D88" s="37" t="s">
        <v>294</v>
      </c>
      <c r="E88" s="37" t="s">
        <v>295</v>
      </c>
      <c r="F88" s="37">
        <v>2025</v>
      </c>
      <c r="G88" s="37" t="s">
        <v>296</v>
      </c>
      <c r="H88" s="15">
        <v>1</v>
      </c>
      <c r="I88" s="15" t="s">
        <v>45</v>
      </c>
      <c r="J88" s="15" t="s">
        <v>33</v>
      </c>
      <c r="K88" s="32" t="s">
        <v>55</v>
      </c>
      <c r="L88" s="15">
        <v>180</v>
      </c>
      <c r="M88" s="15">
        <v>1</v>
      </c>
      <c r="N88" s="51">
        <v>7</v>
      </c>
      <c r="O88" s="18">
        <f t="shared" si="8"/>
        <v>1260</v>
      </c>
      <c r="Q88" s="18">
        <v>10</v>
      </c>
      <c r="R88" s="53"/>
      <c r="S88" s="53"/>
      <c r="T88" s="53"/>
      <c r="U88" s="53"/>
      <c r="V88" s="53"/>
      <c r="W88" s="53"/>
      <c r="X88" s="15"/>
      <c r="Y88" s="53"/>
      <c r="Z88" s="53"/>
      <c r="AA88" s="53"/>
      <c r="AB88" s="53"/>
      <c r="AC88" s="53"/>
      <c r="AD88" s="15"/>
    </row>
    <row r="89" spans="1:30" x14ac:dyDescent="0.25">
      <c r="A89" s="37">
        <v>5993</v>
      </c>
      <c r="B89" s="37">
        <v>41113223</v>
      </c>
      <c r="C89" s="37" t="s">
        <v>293</v>
      </c>
      <c r="D89" s="37" t="s">
        <v>294</v>
      </c>
      <c r="E89" s="37" t="s">
        <v>295</v>
      </c>
      <c r="F89" s="37">
        <v>2025</v>
      </c>
      <c r="G89" s="37" t="s">
        <v>296</v>
      </c>
      <c r="H89" s="15">
        <v>1</v>
      </c>
      <c r="I89" s="15" t="s">
        <v>45</v>
      </c>
      <c r="J89" s="15" t="s">
        <v>33</v>
      </c>
      <c r="K89" s="32" t="s">
        <v>55</v>
      </c>
      <c r="L89" s="15">
        <v>180</v>
      </c>
      <c r="M89" s="15">
        <v>1</v>
      </c>
      <c r="N89" s="51">
        <v>14</v>
      </c>
      <c r="O89" s="18">
        <f t="shared" si="8"/>
        <v>2520</v>
      </c>
      <c r="Q89" s="18">
        <v>10</v>
      </c>
      <c r="R89" s="53"/>
      <c r="S89" s="53"/>
      <c r="T89" s="53"/>
      <c r="U89" s="53"/>
      <c r="V89" s="53"/>
      <c r="W89" s="53"/>
      <c r="X89" s="15"/>
      <c r="Y89" s="53"/>
      <c r="Z89" s="53"/>
      <c r="AA89" s="53"/>
      <c r="AB89" s="53"/>
      <c r="AC89" s="53"/>
      <c r="AD89" s="15"/>
    </row>
    <row r="90" spans="1:30" x14ac:dyDescent="0.25">
      <c r="A90" s="37">
        <v>5993</v>
      </c>
      <c r="B90" s="37">
        <v>41113223</v>
      </c>
      <c r="C90" s="37" t="s">
        <v>293</v>
      </c>
      <c r="D90" s="37" t="s">
        <v>294</v>
      </c>
      <c r="E90" s="37" t="s">
        <v>295</v>
      </c>
      <c r="F90" s="37">
        <v>2025</v>
      </c>
      <c r="G90" s="37" t="s">
        <v>296</v>
      </c>
      <c r="H90" s="15">
        <v>1</v>
      </c>
      <c r="I90" s="15" t="s">
        <v>45</v>
      </c>
      <c r="J90" s="15" t="s">
        <v>33</v>
      </c>
      <c r="K90" s="32" t="s">
        <v>55</v>
      </c>
      <c r="L90" s="15">
        <v>180</v>
      </c>
      <c r="M90" s="15">
        <v>1</v>
      </c>
      <c r="N90" s="51">
        <v>28</v>
      </c>
      <c r="O90" s="18">
        <f t="shared" si="8"/>
        <v>5040</v>
      </c>
      <c r="Q90" s="18">
        <v>10</v>
      </c>
      <c r="R90" s="53"/>
      <c r="S90" s="53"/>
      <c r="T90" s="53"/>
      <c r="U90" s="53"/>
      <c r="V90" s="53"/>
      <c r="W90" s="53"/>
      <c r="X90" s="15"/>
      <c r="Y90" s="53"/>
      <c r="Z90" s="53"/>
      <c r="AA90" s="53"/>
      <c r="AB90" s="53"/>
      <c r="AC90" s="53"/>
      <c r="AD90" s="15"/>
    </row>
    <row r="91" spans="1:30" x14ac:dyDescent="0.25">
      <c r="A91" s="15">
        <v>6148</v>
      </c>
      <c r="C91" s="15" t="s">
        <v>714</v>
      </c>
      <c r="D91" s="15" t="s">
        <v>715</v>
      </c>
      <c r="E91" s="15" t="s">
        <v>716</v>
      </c>
      <c r="F91" s="15">
        <v>2018</v>
      </c>
      <c r="G91" s="15" t="s">
        <v>717</v>
      </c>
      <c r="H91" s="15">
        <v>1</v>
      </c>
      <c r="I91" s="15" t="s">
        <v>45</v>
      </c>
      <c r="J91" s="15" t="s">
        <v>33</v>
      </c>
      <c r="K91" s="32" t="s">
        <v>718</v>
      </c>
      <c r="L91" s="15">
        <v>120</v>
      </c>
      <c r="M91" s="15">
        <v>1</v>
      </c>
      <c r="N91" s="18">
        <v>10</v>
      </c>
      <c r="O91" s="18">
        <f t="shared" si="8"/>
        <v>1200</v>
      </c>
      <c r="Q91" s="18">
        <v>5</v>
      </c>
      <c r="R91" s="53"/>
      <c r="S91" s="53"/>
      <c r="T91" s="53"/>
      <c r="U91" s="53"/>
      <c r="V91" s="53"/>
      <c r="W91" s="53"/>
      <c r="X91" s="15"/>
      <c r="Y91" s="53"/>
      <c r="Z91" s="53"/>
      <c r="AA91" s="53"/>
      <c r="AB91" s="53"/>
      <c r="AC91" s="53"/>
      <c r="AD91" s="15"/>
    </row>
    <row r="92" spans="1:30" x14ac:dyDescent="0.25">
      <c r="A92" s="15">
        <v>6180</v>
      </c>
      <c r="C92" s="15" t="s">
        <v>720</v>
      </c>
      <c r="D92" s="15" t="s">
        <v>721</v>
      </c>
      <c r="E92" s="15" t="s">
        <v>722</v>
      </c>
      <c r="F92" s="15">
        <v>2021</v>
      </c>
      <c r="G92" s="15" t="str">
        <f>HYPERLINK("http://dx.doi.org/10.3389/fnins.2021.646537.s001","http://dx.doi.org/10.3389/fnins.2021.646537.s001")</f>
        <v>http://dx.doi.org/10.3389/fnins.2021.646537.s001</v>
      </c>
      <c r="H92" s="15">
        <v>1</v>
      </c>
      <c r="I92" s="15" t="s">
        <v>32</v>
      </c>
      <c r="J92" s="15" t="s">
        <v>33</v>
      </c>
      <c r="K92" s="32" t="s">
        <v>34</v>
      </c>
      <c r="L92" s="15">
        <v>360</v>
      </c>
      <c r="M92" s="15">
        <v>1</v>
      </c>
      <c r="N92" s="18">
        <v>14</v>
      </c>
      <c r="O92" s="18">
        <f t="shared" si="8"/>
        <v>5040</v>
      </c>
      <c r="Q92" s="18">
        <v>5</v>
      </c>
      <c r="R92" s="15" t="s">
        <v>112</v>
      </c>
      <c r="S92" s="15">
        <v>16</v>
      </c>
      <c r="T92" s="15">
        <v>0.7</v>
      </c>
      <c r="U92" s="15">
        <v>20</v>
      </c>
      <c r="V92" s="15">
        <v>20</v>
      </c>
      <c r="W92" s="35">
        <f>T92*(SQRT(V92))</f>
        <v>3.1304951684997055</v>
      </c>
      <c r="X92" s="15"/>
      <c r="Y92" s="15">
        <v>12</v>
      </c>
      <c r="Z92" s="15">
        <v>0.9</v>
      </c>
      <c r="AA92" s="15">
        <v>20</v>
      </c>
      <c r="AB92" s="15">
        <v>20</v>
      </c>
      <c r="AC92" s="35">
        <f>Z92*(SQRT(AB92))</f>
        <v>4.0249223594996222</v>
      </c>
      <c r="AD92" s="15"/>
    </row>
    <row r="93" spans="1:30" x14ac:dyDescent="0.25">
      <c r="A93" s="15">
        <v>6184</v>
      </c>
      <c r="B93" s="15">
        <v>35230663</v>
      </c>
      <c r="C93" s="15" t="s">
        <v>301</v>
      </c>
      <c r="D93" s="15" t="s">
        <v>302</v>
      </c>
      <c r="E93" s="15" t="s">
        <v>214</v>
      </c>
      <c r="F93" s="15">
        <v>2022</v>
      </c>
      <c r="G93" s="15" t="s">
        <v>303</v>
      </c>
      <c r="H93" s="15">
        <v>1</v>
      </c>
      <c r="I93" s="15" t="s">
        <v>32</v>
      </c>
      <c r="J93" s="15" t="s">
        <v>33</v>
      </c>
      <c r="L93" s="15">
        <v>240</v>
      </c>
      <c r="M93" s="15">
        <v>1</v>
      </c>
      <c r="N93" s="18">
        <v>28</v>
      </c>
      <c r="O93" s="18">
        <f>N93*L93</f>
        <v>6720</v>
      </c>
      <c r="Q93" s="18">
        <v>5</v>
      </c>
      <c r="R93" s="53"/>
      <c r="S93" s="53"/>
      <c r="T93" s="53"/>
      <c r="U93" s="53"/>
      <c r="V93" s="53"/>
      <c r="W93" s="53"/>
      <c r="X93" s="15"/>
      <c r="Y93" s="53"/>
      <c r="Z93" s="53"/>
      <c r="AA93" s="53"/>
      <c r="AB93" s="53"/>
      <c r="AC93" s="53"/>
      <c r="AD93" s="15"/>
    </row>
    <row r="94" spans="1:30" x14ac:dyDescent="0.25">
      <c r="A94" s="37">
        <v>6184</v>
      </c>
      <c r="B94" s="37">
        <v>35252485</v>
      </c>
      <c r="C94" s="37" t="s">
        <v>529</v>
      </c>
      <c r="D94" s="37" t="s">
        <v>530</v>
      </c>
      <c r="E94" s="37" t="s">
        <v>531</v>
      </c>
      <c r="F94" s="37">
        <v>2022</v>
      </c>
      <c r="G94" s="37" t="s">
        <v>532</v>
      </c>
      <c r="H94" s="15">
        <v>1</v>
      </c>
      <c r="I94" s="15" t="s">
        <v>45</v>
      </c>
      <c r="J94" s="37" t="s">
        <v>33</v>
      </c>
      <c r="L94" s="15">
        <v>150</v>
      </c>
      <c r="M94" s="15">
        <v>1</v>
      </c>
      <c r="N94" s="18">
        <v>14</v>
      </c>
      <c r="O94" s="18">
        <f>N94*L94</f>
        <v>2100</v>
      </c>
      <c r="Q94" s="18">
        <v>5</v>
      </c>
      <c r="R94" s="15" t="s">
        <v>274</v>
      </c>
      <c r="S94" s="19">
        <v>2.9</v>
      </c>
      <c r="T94" s="15">
        <v>1.8</v>
      </c>
      <c r="U94" s="34" t="s">
        <v>73</v>
      </c>
      <c r="V94" s="34" t="s">
        <v>73</v>
      </c>
      <c r="W94" s="35">
        <f>T94*(SQRT(V94))</f>
        <v>5.4</v>
      </c>
      <c r="Y94" s="19">
        <v>1.6</v>
      </c>
      <c r="Z94" s="19">
        <v>0.9</v>
      </c>
      <c r="AA94" s="34" t="s">
        <v>73</v>
      </c>
      <c r="AB94" s="34" t="s">
        <v>73</v>
      </c>
      <c r="AC94" s="35">
        <f>Z94*(SQRT(AB94))</f>
        <v>2.7</v>
      </c>
    </row>
    <row r="95" spans="1:30" x14ac:dyDescent="0.25">
      <c r="A95" s="37">
        <v>6184</v>
      </c>
      <c r="B95" s="37">
        <v>35252485</v>
      </c>
      <c r="C95" s="37" t="s">
        <v>529</v>
      </c>
      <c r="D95" s="37" t="s">
        <v>530</v>
      </c>
      <c r="E95" s="37" t="s">
        <v>531</v>
      </c>
      <c r="F95" s="37">
        <v>2022</v>
      </c>
      <c r="G95" s="37" t="s">
        <v>532</v>
      </c>
      <c r="H95" s="15">
        <v>1</v>
      </c>
      <c r="I95" s="15" t="s">
        <v>45</v>
      </c>
      <c r="J95" s="37" t="s">
        <v>91</v>
      </c>
      <c r="L95" s="15">
        <v>150</v>
      </c>
      <c r="M95" s="15">
        <v>1</v>
      </c>
      <c r="N95" s="18" t="s">
        <v>533</v>
      </c>
      <c r="Q95" s="18">
        <v>5</v>
      </c>
      <c r="R95" s="15" t="s">
        <v>274</v>
      </c>
      <c r="S95" s="15">
        <v>5.8</v>
      </c>
      <c r="T95" s="15">
        <v>1.6</v>
      </c>
      <c r="U95" s="15">
        <v>11</v>
      </c>
      <c r="V95" s="15">
        <v>11</v>
      </c>
      <c r="W95" s="35">
        <f>T95*(SQRT(V95))</f>
        <v>5.3065996645686404</v>
      </c>
      <c r="X95" s="15"/>
      <c r="Y95" s="15">
        <v>4.3</v>
      </c>
      <c r="Z95" s="15">
        <v>1.3</v>
      </c>
      <c r="AA95" s="15">
        <v>10</v>
      </c>
      <c r="AB95" s="15">
        <v>10</v>
      </c>
      <c r="AC95" s="35">
        <f>Z95*(SQRT(AB95))</f>
        <v>4.110960958218894</v>
      </c>
      <c r="AD95" s="15"/>
    </row>
    <row r="96" spans="1:30" x14ac:dyDescent="0.25">
      <c r="A96" s="37">
        <v>6233</v>
      </c>
      <c r="B96" s="37"/>
      <c r="C96" s="43" t="s">
        <v>305</v>
      </c>
      <c r="D96" s="43" t="s">
        <v>306</v>
      </c>
      <c r="E96" s="43" t="s">
        <v>307</v>
      </c>
      <c r="F96" s="43">
        <v>2024</v>
      </c>
      <c r="G96" s="44" t="s">
        <v>308</v>
      </c>
      <c r="H96" s="15">
        <v>1</v>
      </c>
      <c r="I96" s="15" t="s">
        <v>45</v>
      </c>
      <c r="J96" s="37" t="s">
        <v>33</v>
      </c>
      <c r="K96" s="32" t="s">
        <v>159</v>
      </c>
      <c r="L96" s="15">
        <v>360</v>
      </c>
      <c r="M96" s="15">
        <v>1</v>
      </c>
      <c r="N96" s="18">
        <v>21</v>
      </c>
      <c r="O96" s="18">
        <f>L96*M96*N96</f>
        <v>7560</v>
      </c>
      <c r="Q96" s="18" t="s">
        <v>34</v>
      </c>
      <c r="R96" s="53"/>
      <c r="S96" s="53"/>
      <c r="T96" s="53"/>
      <c r="U96" s="53"/>
      <c r="V96" s="53"/>
      <c r="W96" s="53"/>
      <c r="X96" s="15"/>
      <c r="Y96" s="53"/>
      <c r="Z96" s="53"/>
      <c r="AA96" s="53"/>
      <c r="AB96" s="53"/>
      <c r="AC96" s="53"/>
      <c r="AD96" s="15"/>
    </row>
    <row r="97" spans="1:30" x14ac:dyDescent="0.25">
      <c r="A97" s="37">
        <v>6233</v>
      </c>
      <c r="B97" s="37"/>
      <c r="C97" s="43" t="s">
        <v>305</v>
      </c>
      <c r="D97" s="43" t="s">
        <v>306</v>
      </c>
      <c r="E97" s="43" t="s">
        <v>307</v>
      </c>
      <c r="F97" s="43">
        <v>2024</v>
      </c>
      <c r="G97" s="44" t="s">
        <v>308</v>
      </c>
      <c r="H97" s="15">
        <v>1</v>
      </c>
      <c r="I97" s="15" t="s">
        <v>45</v>
      </c>
      <c r="J97" s="37" t="s">
        <v>91</v>
      </c>
      <c r="K97" s="32" t="s">
        <v>159</v>
      </c>
      <c r="L97" s="15">
        <v>360</v>
      </c>
      <c r="M97" s="15">
        <v>1</v>
      </c>
      <c r="N97" s="18">
        <v>21</v>
      </c>
      <c r="O97" s="18">
        <f>L97*M97*N97</f>
        <v>7560</v>
      </c>
      <c r="Q97" s="18" t="s">
        <v>34</v>
      </c>
      <c r="R97" s="53"/>
      <c r="S97" s="53"/>
      <c r="T97" s="53"/>
      <c r="U97" s="53"/>
      <c r="V97" s="53"/>
      <c r="W97" s="53"/>
      <c r="X97" s="15"/>
      <c r="Y97" s="53"/>
      <c r="Z97" s="53"/>
      <c r="AA97" s="53"/>
      <c r="AB97" s="53"/>
      <c r="AC97" s="53"/>
      <c r="AD97" s="15"/>
    </row>
    <row r="98" spans="1:30" x14ac:dyDescent="0.25">
      <c r="A98" s="15">
        <v>6320</v>
      </c>
      <c r="B98" s="15">
        <v>41167532</v>
      </c>
      <c r="C98" s="15" t="s">
        <v>535</v>
      </c>
      <c r="D98" s="15" t="s">
        <v>536</v>
      </c>
      <c r="E98" s="15" t="s">
        <v>151</v>
      </c>
      <c r="F98" s="15">
        <v>2025</v>
      </c>
      <c r="G98" s="15" t="s">
        <v>537</v>
      </c>
      <c r="H98" s="15">
        <v>1</v>
      </c>
      <c r="I98" s="15" t="s">
        <v>32</v>
      </c>
      <c r="J98" s="15" t="s">
        <v>33</v>
      </c>
      <c r="K98" s="32" t="s">
        <v>47</v>
      </c>
      <c r="L98" s="15">
        <v>360</v>
      </c>
      <c r="M98" s="15">
        <v>1</v>
      </c>
      <c r="N98" s="18">
        <v>28</v>
      </c>
      <c r="O98" s="18">
        <f>L98*M98*N98</f>
        <v>10080</v>
      </c>
      <c r="Q98" s="18">
        <v>3</v>
      </c>
      <c r="R98" s="53"/>
      <c r="S98" s="53"/>
      <c r="T98" s="53"/>
      <c r="U98" s="53"/>
      <c r="V98" s="53"/>
      <c r="W98" s="53"/>
      <c r="X98" s="15"/>
      <c r="Y98" s="53"/>
      <c r="Z98" s="53"/>
      <c r="AA98" s="53"/>
      <c r="AB98" s="53"/>
      <c r="AC98" s="53"/>
      <c r="AD98" s="15"/>
    </row>
    <row r="99" spans="1:30" x14ac:dyDescent="0.25">
      <c r="A99" s="15">
        <v>6392</v>
      </c>
      <c r="B99" s="15">
        <v>35615771</v>
      </c>
      <c r="C99" s="15" t="s">
        <v>538</v>
      </c>
      <c r="D99" s="15" t="s">
        <v>539</v>
      </c>
      <c r="E99" s="15" t="s">
        <v>540</v>
      </c>
      <c r="F99" s="15">
        <v>2022</v>
      </c>
      <c r="G99" s="15" t="s">
        <v>541</v>
      </c>
      <c r="H99" s="15">
        <v>1</v>
      </c>
      <c r="I99" s="15" t="s">
        <v>32</v>
      </c>
      <c r="J99" s="15" t="s">
        <v>33</v>
      </c>
      <c r="L99" s="15">
        <v>360</v>
      </c>
      <c r="M99" s="15">
        <v>1</v>
      </c>
      <c r="N99" s="18" t="s">
        <v>34</v>
      </c>
      <c r="Q99" s="18">
        <v>5</v>
      </c>
      <c r="R99" s="53"/>
      <c r="S99" s="53"/>
      <c r="T99" s="53"/>
      <c r="U99" s="53"/>
      <c r="V99" s="53"/>
      <c r="W99" s="53"/>
      <c r="X99" s="15"/>
      <c r="Y99" s="53"/>
      <c r="Z99" s="53"/>
      <c r="AA99" s="53"/>
      <c r="AB99" s="53"/>
      <c r="AC99" s="53"/>
      <c r="AD99" s="15"/>
    </row>
    <row r="100" spans="1:30" x14ac:dyDescent="0.25">
      <c r="A100" s="37">
        <v>6616</v>
      </c>
      <c r="B100" s="37"/>
      <c r="C100" s="37" t="s">
        <v>850</v>
      </c>
      <c r="D100" s="37" t="s">
        <v>851</v>
      </c>
      <c r="E100" s="37" t="s">
        <v>852</v>
      </c>
      <c r="F100" s="37">
        <v>2023</v>
      </c>
      <c r="G100" s="37" t="s">
        <v>853</v>
      </c>
      <c r="H100" s="15">
        <v>1</v>
      </c>
      <c r="I100" s="15" t="s">
        <v>45</v>
      </c>
      <c r="J100" s="15" t="s">
        <v>33</v>
      </c>
      <c r="K100" s="32" t="s">
        <v>88</v>
      </c>
      <c r="L100" s="15">
        <v>120</v>
      </c>
      <c r="M100" s="15">
        <v>1</v>
      </c>
      <c r="N100" s="18">
        <v>28</v>
      </c>
      <c r="O100" s="18">
        <f>L100*M100*N100</f>
        <v>3360</v>
      </c>
      <c r="Q100" s="18">
        <v>5</v>
      </c>
      <c r="R100" s="53"/>
      <c r="S100" s="53"/>
      <c r="T100" s="53"/>
      <c r="U100" s="53"/>
      <c r="V100" s="53"/>
      <c r="W100" s="53"/>
      <c r="X100" s="15"/>
      <c r="Y100" s="53"/>
      <c r="Z100" s="53"/>
      <c r="AA100" s="53"/>
      <c r="AB100" s="53"/>
      <c r="AC100" s="53"/>
      <c r="AD100" s="15"/>
    </row>
    <row r="101" spans="1:30" x14ac:dyDescent="0.25">
      <c r="A101" s="37">
        <v>6616</v>
      </c>
      <c r="B101" s="37"/>
      <c r="C101" s="37" t="s">
        <v>850</v>
      </c>
      <c r="D101" s="37" t="s">
        <v>851</v>
      </c>
      <c r="E101" s="37" t="s">
        <v>852</v>
      </c>
      <c r="F101" s="37">
        <v>2023</v>
      </c>
      <c r="G101" s="37" t="s">
        <v>853</v>
      </c>
      <c r="H101" s="15">
        <v>1</v>
      </c>
      <c r="I101" s="15" t="s">
        <v>45</v>
      </c>
      <c r="J101" s="15" t="s">
        <v>91</v>
      </c>
      <c r="K101" s="32" t="s">
        <v>88</v>
      </c>
      <c r="L101" s="15">
        <v>120</v>
      </c>
      <c r="M101" s="15">
        <v>1</v>
      </c>
      <c r="N101" s="18">
        <v>28</v>
      </c>
      <c r="O101" s="18">
        <f>L101*M101*N101</f>
        <v>3360</v>
      </c>
      <c r="Q101" s="18">
        <v>5</v>
      </c>
      <c r="R101" s="53"/>
      <c r="S101" s="53"/>
      <c r="T101" s="53"/>
      <c r="U101" s="53"/>
      <c r="V101" s="53"/>
      <c r="W101" s="53"/>
      <c r="X101" s="15"/>
      <c r="Y101" s="53"/>
      <c r="Z101" s="53"/>
      <c r="AA101" s="53"/>
      <c r="AB101" s="53"/>
      <c r="AC101" s="53"/>
      <c r="AD101" s="15"/>
    </row>
    <row r="102" spans="1:30" x14ac:dyDescent="0.25">
      <c r="A102" s="15">
        <v>6728</v>
      </c>
      <c r="B102" s="15">
        <v>35873784</v>
      </c>
      <c r="C102" s="15" t="s">
        <v>546</v>
      </c>
      <c r="D102" s="15" t="s">
        <v>547</v>
      </c>
      <c r="E102" s="15" t="s">
        <v>548</v>
      </c>
      <c r="F102" s="15">
        <v>2022</v>
      </c>
      <c r="G102" s="15" t="s">
        <v>549</v>
      </c>
      <c r="H102" s="15">
        <v>1</v>
      </c>
      <c r="I102" s="15" t="s">
        <v>32</v>
      </c>
      <c r="J102" s="15" t="s">
        <v>33</v>
      </c>
      <c r="L102" s="15">
        <v>180</v>
      </c>
      <c r="M102" s="15">
        <v>1</v>
      </c>
      <c r="N102" s="18">
        <v>21</v>
      </c>
      <c r="O102" s="18">
        <f>N102*L102</f>
        <v>3780</v>
      </c>
      <c r="Q102" s="18">
        <v>3</v>
      </c>
      <c r="R102" s="53"/>
      <c r="S102" s="53"/>
      <c r="T102" s="53"/>
      <c r="U102" s="53"/>
      <c r="V102" s="53"/>
      <c r="W102" s="53"/>
      <c r="X102" s="15"/>
      <c r="Y102" s="53"/>
      <c r="Z102" s="53"/>
      <c r="AA102" s="53"/>
      <c r="AB102" s="53"/>
      <c r="AC102" s="53"/>
      <c r="AD102" s="15"/>
    </row>
    <row r="103" spans="1:30" x14ac:dyDescent="0.25">
      <c r="A103" s="15">
        <v>6826</v>
      </c>
      <c r="B103" s="15">
        <v>34025340</v>
      </c>
      <c r="C103" s="15" t="s">
        <v>731</v>
      </c>
      <c r="D103" s="15" t="s">
        <v>732</v>
      </c>
      <c r="E103" s="15" t="s">
        <v>315</v>
      </c>
      <c r="F103" s="15">
        <v>2021</v>
      </c>
      <c r="G103" s="15" t="s">
        <v>733</v>
      </c>
      <c r="H103" s="15">
        <v>1</v>
      </c>
      <c r="I103" s="15" t="s">
        <v>32</v>
      </c>
      <c r="J103" s="15" t="s">
        <v>33</v>
      </c>
      <c r="L103" s="15">
        <v>360</v>
      </c>
      <c r="M103" s="15">
        <v>1</v>
      </c>
      <c r="N103" s="18">
        <v>14</v>
      </c>
      <c r="O103" s="18">
        <f>N103*L103</f>
        <v>5040</v>
      </c>
      <c r="Q103" s="18">
        <v>5</v>
      </c>
      <c r="R103" s="15" t="s">
        <v>112</v>
      </c>
      <c r="S103" s="15">
        <v>15.2</v>
      </c>
      <c r="T103" s="15">
        <v>1</v>
      </c>
      <c r="U103" s="15">
        <v>20</v>
      </c>
      <c r="V103" s="15">
        <v>20</v>
      </c>
      <c r="W103" s="35">
        <f>T103*(SQRT(V103))</f>
        <v>4.4721359549995796</v>
      </c>
      <c r="X103" s="15"/>
      <c r="Y103" s="15">
        <v>11.3</v>
      </c>
      <c r="Z103" s="15">
        <v>0.9</v>
      </c>
      <c r="AA103" s="15">
        <v>20</v>
      </c>
      <c r="AB103" s="15">
        <v>20</v>
      </c>
      <c r="AC103" s="35">
        <f>Z103*(SQRT(AB103))</f>
        <v>4.0249223594996222</v>
      </c>
      <c r="AD103" s="15"/>
    </row>
    <row r="104" spans="1:30" x14ac:dyDescent="0.25">
      <c r="A104" s="37">
        <v>6850</v>
      </c>
      <c r="B104" s="37"/>
      <c r="C104" s="37" t="s">
        <v>854</v>
      </c>
      <c r="D104" s="37" t="s">
        <v>855</v>
      </c>
      <c r="E104" s="37" t="s">
        <v>856</v>
      </c>
      <c r="F104" s="37">
        <v>2015</v>
      </c>
      <c r="G104" s="37" t="s">
        <v>857</v>
      </c>
      <c r="H104" s="15">
        <v>1</v>
      </c>
      <c r="I104" s="15" t="s">
        <v>45</v>
      </c>
      <c r="J104" s="37" t="s">
        <v>33</v>
      </c>
      <c r="L104" s="15" t="s">
        <v>34</v>
      </c>
      <c r="M104" s="15" t="s">
        <v>34</v>
      </c>
      <c r="N104" s="15" t="s">
        <v>34</v>
      </c>
      <c r="Q104" s="18">
        <v>5</v>
      </c>
      <c r="R104" s="53"/>
      <c r="S104" s="53"/>
      <c r="T104" s="53"/>
      <c r="U104" s="53"/>
      <c r="V104" s="53"/>
      <c r="W104" s="53"/>
      <c r="X104" s="15"/>
      <c r="Y104" s="53"/>
      <c r="Z104" s="53"/>
      <c r="AA104" s="53"/>
      <c r="AB104" s="53"/>
      <c r="AC104" s="53"/>
      <c r="AD104" s="15"/>
    </row>
    <row r="105" spans="1:30" x14ac:dyDescent="0.25">
      <c r="A105" s="37">
        <v>6850</v>
      </c>
      <c r="B105" s="37"/>
      <c r="C105" s="37" t="s">
        <v>854</v>
      </c>
      <c r="D105" s="37" t="s">
        <v>855</v>
      </c>
      <c r="E105" s="37" t="s">
        <v>856</v>
      </c>
      <c r="F105" s="37">
        <v>2015</v>
      </c>
      <c r="G105" s="37" t="s">
        <v>857</v>
      </c>
      <c r="H105" s="15">
        <v>1</v>
      </c>
      <c r="I105" s="15" t="s">
        <v>45</v>
      </c>
      <c r="J105" s="37" t="s">
        <v>91</v>
      </c>
      <c r="L105" s="15" t="s">
        <v>34</v>
      </c>
      <c r="M105" s="15" t="s">
        <v>34</v>
      </c>
      <c r="N105" s="15" t="s">
        <v>34</v>
      </c>
      <c r="Q105" s="18">
        <v>5</v>
      </c>
      <c r="R105" s="53"/>
      <c r="S105" s="53"/>
      <c r="T105" s="53"/>
      <c r="U105" s="53"/>
      <c r="V105" s="53"/>
      <c r="W105" s="53"/>
      <c r="X105" s="15"/>
      <c r="Y105" s="53"/>
      <c r="Z105" s="53"/>
      <c r="AA105" s="53"/>
      <c r="AB105" s="53"/>
      <c r="AC105" s="53"/>
      <c r="AD105" s="15"/>
    </row>
    <row r="106" spans="1:30" x14ac:dyDescent="0.25">
      <c r="A106" s="15">
        <v>6987</v>
      </c>
      <c r="B106" s="15">
        <v>33276022</v>
      </c>
      <c r="C106" s="15" t="s">
        <v>318</v>
      </c>
      <c r="D106" s="15" t="s">
        <v>319</v>
      </c>
      <c r="E106" s="15" t="s">
        <v>299</v>
      </c>
      <c r="F106" s="15">
        <v>2021</v>
      </c>
      <c r="G106" s="15" t="s">
        <v>320</v>
      </c>
      <c r="H106" s="15">
        <v>1</v>
      </c>
      <c r="I106" s="15" t="s">
        <v>32</v>
      </c>
      <c r="J106" s="15" t="s">
        <v>33</v>
      </c>
      <c r="K106" s="32">
        <v>12</v>
      </c>
      <c r="L106" s="15">
        <v>390</v>
      </c>
      <c r="M106" s="15">
        <v>1</v>
      </c>
      <c r="N106" s="18">
        <v>21</v>
      </c>
      <c r="O106" s="18">
        <f>N106*L106</f>
        <v>8190</v>
      </c>
      <c r="Q106" s="18">
        <v>5</v>
      </c>
      <c r="R106" s="15" t="s">
        <v>409</v>
      </c>
      <c r="S106" s="15">
        <v>2.6</v>
      </c>
      <c r="T106" s="15">
        <v>1.1000000000000001</v>
      </c>
      <c r="U106" s="15">
        <v>5</v>
      </c>
      <c r="V106" s="15">
        <v>5</v>
      </c>
      <c r="W106" s="35">
        <f>T106*(SQRT(V106))</f>
        <v>2.459674775249769</v>
      </c>
      <c r="X106" s="15"/>
      <c r="Y106" s="15">
        <v>0.05</v>
      </c>
      <c r="Z106" s="15">
        <v>0.05</v>
      </c>
      <c r="AA106" s="15">
        <v>6</v>
      </c>
      <c r="AB106" s="15">
        <v>6</v>
      </c>
      <c r="AC106" s="35">
        <f>Z106*(SQRT(AB106))</f>
        <v>0.1224744871391589</v>
      </c>
      <c r="AD106" s="15"/>
    </row>
    <row r="107" spans="1:30" x14ac:dyDescent="0.25">
      <c r="A107" s="15">
        <v>7021</v>
      </c>
      <c r="C107" s="15" t="s">
        <v>325</v>
      </c>
      <c r="D107" s="15" t="s">
        <v>326</v>
      </c>
      <c r="E107" s="15" t="s">
        <v>327</v>
      </c>
      <c r="F107" s="15">
        <v>2025</v>
      </c>
      <c r="G107" s="15" t="s">
        <v>328</v>
      </c>
      <c r="H107" s="15">
        <v>1</v>
      </c>
      <c r="I107" s="15" t="s">
        <v>45</v>
      </c>
      <c r="J107" s="15" t="s">
        <v>91</v>
      </c>
      <c r="K107" s="32" t="s">
        <v>158</v>
      </c>
      <c r="L107" s="15">
        <v>300</v>
      </c>
      <c r="M107" s="15">
        <v>1</v>
      </c>
      <c r="N107" s="18">
        <v>14</v>
      </c>
      <c r="O107" s="18">
        <f>L107*M107*N107</f>
        <v>4200</v>
      </c>
      <c r="Q107" s="18">
        <v>5</v>
      </c>
      <c r="R107" s="53"/>
      <c r="S107" s="53"/>
      <c r="T107" s="53"/>
      <c r="U107" s="53"/>
      <c r="V107" s="53"/>
      <c r="W107" s="53"/>
      <c r="X107" s="15"/>
      <c r="Y107" s="53"/>
      <c r="Z107" s="53"/>
      <c r="AA107" s="53"/>
      <c r="AB107" s="53"/>
      <c r="AC107" s="53"/>
      <c r="AD107" s="15"/>
    </row>
    <row r="108" spans="1:30" x14ac:dyDescent="0.25">
      <c r="A108" s="15">
        <v>7023</v>
      </c>
      <c r="B108" s="15">
        <v>26947756</v>
      </c>
      <c r="C108" s="15" t="s">
        <v>329</v>
      </c>
      <c r="D108" s="15" t="s">
        <v>330</v>
      </c>
      <c r="E108" s="15" t="s">
        <v>267</v>
      </c>
      <c r="F108" s="15">
        <v>2016</v>
      </c>
      <c r="G108" s="15" t="s">
        <v>331</v>
      </c>
      <c r="H108" s="15">
        <v>1</v>
      </c>
      <c r="I108" s="15" t="s">
        <v>32</v>
      </c>
      <c r="J108" s="15" t="s">
        <v>33</v>
      </c>
      <c r="L108" s="15">
        <v>360</v>
      </c>
      <c r="M108" s="15">
        <v>1</v>
      </c>
      <c r="N108" s="18">
        <v>21</v>
      </c>
      <c r="O108" s="18">
        <f>N108*L108</f>
        <v>7560</v>
      </c>
      <c r="Q108" s="18">
        <v>5</v>
      </c>
      <c r="R108" s="53"/>
      <c r="S108" s="53"/>
      <c r="T108" s="53"/>
      <c r="U108" s="53"/>
      <c r="V108" s="53"/>
      <c r="W108" s="53"/>
      <c r="X108" s="15"/>
      <c r="Y108" s="53"/>
      <c r="Z108" s="53"/>
      <c r="AA108" s="53"/>
      <c r="AB108" s="53"/>
      <c r="AC108" s="53"/>
      <c r="AD108" s="15"/>
    </row>
    <row r="109" spans="1:30" x14ac:dyDescent="0.25">
      <c r="A109" s="15">
        <v>7075</v>
      </c>
      <c r="C109" s="40" t="s">
        <v>735</v>
      </c>
      <c r="D109" s="40" t="s">
        <v>736</v>
      </c>
      <c r="E109" s="40" t="s">
        <v>737</v>
      </c>
      <c r="F109" s="40">
        <v>2019</v>
      </c>
      <c r="G109" s="41" t="s">
        <v>738</v>
      </c>
      <c r="H109" s="15">
        <v>1</v>
      </c>
      <c r="I109" s="15" t="s">
        <v>45</v>
      </c>
      <c r="J109" s="15" t="s">
        <v>33</v>
      </c>
      <c r="L109" s="15">
        <v>360</v>
      </c>
      <c r="M109" s="15">
        <v>1</v>
      </c>
      <c r="N109" s="18">
        <v>21</v>
      </c>
      <c r="O109" s="18">
        <f>L109*M109*N109</f>
        <v>7560</v>
      </c>
      <c r="Q109" s="18">
        <v>15</v>
      </c>
      <c r="R109" s="53"/>
      <c r="S109" s="53"/>
      <c r="T109" s="53"/>
      <c r="U109" s="53"/>
      <c r="V109" s="53"/>
      <c r="W109" s="53"/>
      <c r="X109" s="15"/>
      <c r="Y109" s="53"/>
      <c r="Z109" s="53"/>
      <c r="AA109" s="53"/>
      <c r="AB109" s="53"/>
      <c r="AC109" s="53"/>
      <c r="AD109" s="15"/>
    </row>
    <row r="110" spans="1:30" x14ac:dyDescent="0.25">
      <c r="A110" s="37">
        <v>7255</v>
      </c>
      <c r="B110" s="37">
        <v>26830848</v>
      </c>
      <c r="C110" s="37" t="s">
        <v>858</v>
      </c>
      <c r="D110" s="37" t="s">
        <v>859</v>
      </c>
      <c r="E110" s="37" t="s">
        <v>860</v>
      </c>
      <c r="F110" s="37">
        <v>2016</v>
      </c>
      <c r="G110" s="37" t="s">
        <v>861</v>
      </c>
      <c r="H110" s="15">
        <v>1</v>
      </c>
      <c r="I110" s="15" t="s">
        <v>45</v>
      </c>
      <c r="J110" s="15" t="s">
        <v>33</v>
      </c>
      <c r="K110" s="56" t="s">
        <v>862</v>
      </c>
      <c r="L110" s="15">
        <v>120</v>
      </c>
      <c r="M110" s="15">
        <v>1</v>
      </c>
      <c r="N110" s="18">
        <v>4</v>
      </c>
      <c r="O110" s="18">
        <f>N110*L110</f>
        <v>480</v>
      </c>
      <c r="Q110" s="18">
        <v>5</v>
      </c>
      <c r="R110" s="53"/>
      <c r="S110" s="53"/>
      <c r="T110" s="53"/>
      <c r="U110" s="53"/>
      <c r="V110" s="53"/>
      <c r="W110" s="53"/>
      <c r="X110" s="15"/>
      <c r="Y110" s="53"/>
      <c r="Z110" s="53"/>
      <c r="AA110" s="53"/>
      <c r="AB110" s="53"/>
      <c r="AC110" s="53"/>
      <c r="AD110" s="15"/>
    </row>
    <row r="111" spans="1:30" x14ac:dyDescent="0.25">
      <c r="A111" s="37">
        <v>7255</v>
      </c>
      <c r="B111" s="37">
        <v>26830848</v>
      </c>
      <c r="C111" s="37" t="s">
        <v>858</v>
      </c>
      <c r="D111" s="37" t="s">
        <v>859</v>
      </c>
      <c r="E111" s="37" t="s">
        <v>860</v>
      </c>
      <c r="F111" s="37">
        <v>2016</v>
      </c>
      <c r="G111" s="37" t="s">
        <v>861</v>
      </c>
      <c r="H111" s="15">
        <v>1</v>
      </c>
      <c r="I111" s="15" t="s">
        <v>45</v>
      </c>
      <c r="J111" s="15" t="s">
        <v>33</v>
      </c>
      <c r="K111" s="56" t="s">
        <v>863</v>
      </c>
      <c r="L111" s="15">
        <v>120</v>
      </c>
      <c r="M111" s="15">
        <v>1</v>
      </c>
      <c r="N111" s="18">
        <v>4</v>
      </c>
      <c r="O111" s="18">
        <f>N111*L111</f>
        <v>480</v>
      </c>
      <c r="Q111" s="18">
        <v>5</v>
      </c>
      <c r="R111" s="53"/>
      <c r="S111" s="53"/>
      <c r="T111" s="53"/>
      <c r="U111" s="53"/>
      <c r="V111" s="53"/>
      <c r="W111" s="53"/>
      <c r="X111" s="15"/>
      <c r="Y111" s="53"/>
      <c r="Z111" s="53"/>
      <c r="AA111" s="53"/>
      <c r="AB111" s="53"/>
      <c r="AC111" s="53"/>
      <c r="AD111" s="15"/>
    </row>
    <row r="112" spans="1:30" x14ac:dyDescent="0.25">
      <c r="A112" s="15">
        <v>7270</v>
      </c>
      <c r="B112" s="15">
        <v>35569374</v>
      </c>
      <c r="C112" s="15" t="s">
        <v>864</v>
      </c>
      <c r="D112" s="15" t="s">
        <v>865</v>
      </c>
      <c r="E112" s="15" t="s">
        <v>866</v>
      </c>
      <c r="F112" s="15">
        <v>2022</v>
      </c>
      <c r="G112" s="15" t="s">
        <v>867</v>
      </c>
      <c r="H112" s="15">
        <v>1</v>
      </c>
      <c r="I112" s="15" t="s">
        <v>45</v>
      </c>
      <c r="J112" s="15" t="s">
        <v>33</v>
      </c>
      <c r="K112" s="32">
        <v>6</v>
      </c>
      <c r="L112" s="15">
        <v>360</v>
      </c>
      <c r="M112" s="15">
        <v>1</v>
      </c>
      <c r="N112" s="18">
        <v>21</v>
      </c>
      <c r="O112" s="18">
        <f>N112*L112</f>
        <v>7560</v>
      </c>
      <c r="P112" s="15" t="s">
        <v>164</v>
      </c>
      <c r="Q112" s="18">
        <v>5</v>
      </c>
      <c r="R112" s="53"/>
      <c r="S112" s="53"/>
      <c r="T112" s="53"/>
      <c r="U112" s="53"/>
      <c r="V112" s="53"/>
      <c r="W112" s="53"/>
      <c r="X112" s="15"/>
      <c r="Y112" s="53"/>
      <c r="Z112" s="53"/>
      <c r="AA112" s="53"/>
      <c r="AB112" s="53"/>
      <c r="AC112" s="53"/>
      <c r="AD112" s="15"/>
    </row>
    <row r="113" spans="1:30" x14ac:dyDescent="0.25">
      <c r="A113" s="15">
        <v>7286</v>
      </c>
      <c r="B113" s="15">
        <v>35528472</v>
      </c>
      <c r="C113" s="15" t="s">
        <v>332</v>
      </c>
      <c r="D113" s="15" t="s">
        <v>333</v>
      </c>
      <c r="E113" s="15" t="s">
        <v>334</v>
      </c>
      <c r="F113" s="15">
        <v>2021</v>
      </c>
      <c r="G113" s="15" t="s">
        <v>335</v>
      </c>
      <c r="H113" s="15">
        <v>1</v>
      </c>
      <c r="I113" s="15" t="s">
        <v>45</v>
      </c>
      <c r="J113" s="15" t="s">
        <v>33</v>
      </c>
      <c r="K113" s="32">
        <v>7</v>
      </c>
      <c r="L113" s="15">
        <v>360</v>
      </c>
      <c r="M113" s="15">
        <v>1</v>
      </c>
      <c r="N113" s="18">
        <v>21</v>
      </c>
      <c r="O113" s="18">
        <f>N113*L113</f>
        <v>7560</v>
      </c>
      <c r="Q113" s="18">
        <v>5</v>
      </c>
      <c r="R113" s="15" t="s">
        <v>175</v>
      </c>
      <c r="S113" s="15">
        <v>19</v>
      </c>
      <c r="T113" s="15" t="s">
        <v>65</v>
      </c>
      <c r="U113" s="15">
        <v>5</v>
      </c>
      <c r="V113" s="15">
        <v>5</v>
      </c>
      <c r="W113" s="15">
        <v>3</v>
      </c>
      <c r="X113" s="15"/>
      <c r="Y113" s="15">
        <v>2</v>
      </c>
      <c r="Z113" s="15" t="s">
        <v>65</v>
      </c>
      <c r="AA113" s="15">
        <v>5</v>
      </c>
      <c r="AB113" s="15">
        <v>5</v>
      </c>
      <c r="AC113" s="15">
        <v>1</v>
      </c>
      <c r="AD113" s="15"/>
    </row>
    <row r="114" spans="1:30" x14ac:dyDescent="0.25">
      <c r="A114" s="15">
        <v>7339</v>
      </c>
      <c r="C114" s="15" t="s">
        <v>336</v>
      </c>
      <c r="D114" s="15" t="s">
        <v>337</v>
      </c>
      <c r="E114" s="15" t="s">
        <v>338</v>
      </c>
      <c r="F114" s="15">
        <v>2022</v>
      </c>
      <c r="G114" s="15" t="s">
        <v>339</v>
      </c>
      <c r="H114" s="15">
        <v>1</v>
      </c>
      <c r="I114" s="15" t="s">
        <v>45</v>
      </c>
      <c r="J114" s="15" t="s">
        <v>33</v>
      </c>
      <c r="L114" s="15">
        <v>120</v>
      </c>
      <c r="M114" s="15">
        <v>1</v>
      </c>
      <c r="N114" s="18">
        <v>14</v>
      </c>
      <c r="O114" s="18">
        <f>L114*M114*N114</f>
        <v>1680</v>
      </c>
      <c r="Q114" s="18">
        <v>5</v>
      </c>
      <c r="R114" s="57"/>
      <c r="S114" s="57"/>
      <c r="T114" s="57"/>
      <c r="U114" s="57"/>
      <c r="V114" s="57"/>
      <c r="W114" s="57"/>
      <c r="X114" s="15"/>
      <c r="Y114" s="57"/>
      <c r="Z114" s="57"/>
      <c r="AA114" s="57"/>
      <c r="AB114" s="57"/>
      <c r="AC114" s="57"/>
      <c r="AD114" s="15"/>
    </row>
    <row r="115" spans="1:30" x14ac:dyDescent="0.25">
      <c r="A115" s="15">
        <v>7440</v>
      </c>
      <c r="B115" s="15">
        <v>37201894</v>
      </c>
      <c r="C115" s="15" t="s">
        <v>340</v>
      </c>
      <c r="D115" s="15" t="s">
        <v>341</v>
      </c>
      <c r="E115" s="15" t="s">
        <v>267</v>
      </c>
      <c r="F115" s="15">
        <v>2023</v>
      </c>
      <c r="G115" s="15" t="s">
        <v>342</v>
      </c>
      <c r="H115" s="15">
        <v>1</v>
      </c>
      <c r="I115" s="15" t="s">
        <v>32</v>
      </c>
      <c r="J115" s="15" t="s">
        <v>33</v>
      </c>
      <c r="K115" s="32" t="s">
        <v>196</v>
      </c>
      <c r="L115" s="15">
        <v>240</v>
      </c>
      <c r="M115" s="15">
        <v>1</v>
      </c>
      <c r="N115" s="18">
        <v>35</v>
      </c>
      <c r="O115" s="18">
        <f>N115*L115</f>
        <v>8400</v>
      </c>
      <c r="Q115" s="18">
        <v>5</v>
      </c>
      <c r="R115" s="15" t="s">
        <v>134</v>
      </c>
      <c r="S115" s="53"/>
      <c r="T115" s="53"/>
      <c r="U115" s="53"/>
      <c r="V115" s="53"/>
      <c r="W115" s="53"/>
      <c r="X115" s="15"/>
      <c r="Y115" s="53"/>
      <c r="Z115" s="53"/>
      <c r="AA115" s="53"/>
      <c r="AB115" s="53"/>
      <c r="AC115" s="53"/>
      <c r="AD115" s="15"/>
    </row>
    <row r="116" spans="1:30" x14ac:dyDescent="0.25">
      <c r="A116" s="15">
        <v>7545</v>
      </c>
      <c r="B116" s="15">
        <v>33545198</v>
      </c>
      <c r="C116" s="15" t="s">
        <v>868</v>
      </c>
      <c r="D116" s="15" t="s">
        <v>869</v>
      </c>
      <c r="E116" s="15" t="s">
        <v>267</v>
      </c>
      <c r="F116" s="15">
        <v>2021</v>
      </c>
      <c r="G116" s="15" t="s">
        <v>870</v>
      </c>
      <c r="H116" s="15">
        <v>1</v>
      </c>
      <c r="I116" s="15" t="s">
        <v>45</v>
      </c>
      <c r="J116" s="15" t="s">
        <v>33</v>
      </c>
      <c r="L116" s="15">
        <v>360</v>
      </c>
      <c r="M116" s="15">
        <v>1</v>
      </c>
      <c r="N116" s="18">
        <v>28</v>
      </c>
      <c r="O116" s="18">
        <f>N116*L116</f>
        <v>10080</v>
      </c>
      <c r="Q116" s="18">
        <v>5</v>
      </c>
      <c r="R116" s="53"/>
      <c r="S116" s="53"/>
      <c r="T116" s="53"/>
      <c r="U116" s="53"/>
      <c r="V116" s="53"/>
      <c r="W116" s="53"/>
      <c r="X116" s="15"/>
      <c r="Y116" s="53"/>
      <c r="Z116" s="53"/>
      <c r="AA116" s="53"/>
      <c r="AB116" s="53"/>
      <c r="AC116" s="53"/>
      <c r="AD116" s="15"/>
    </row>
    <row r="117" spans="1:30" x14ac:dyDescent="0.25">
      <c r="A117" s="15">
        <v>7592</v>
      </c>
      <c r="B117" s="15">
        <v>33505499</v>
      </c>
      <c r="C117" s="15" t="s">
        <v>344</v>
      </c>
      <c r="D117" s="15" t="s">
        <v>345</v>
      </c>
      <c r="E117" s="15" t="s">
        <v>346</v>
      </c>
      <c r="F117" s="15">
        <v>2021</v>
      </c>
      <c r="G117" s="15" t="s">
        <v>347</v>
      </c>
      <c r="H117" s="15">
        <v>1</v>
      </c>
      <c r="I117" s="15" t="s">
        <v>32</v>
      </c>
      <c r="J117" s="15" t="s">
        <v>33</v>
      </c>
      <c r="L117" s="15">
        <v>180</v>
      </c>
      <c r="M117" s="15">
        <v>1</v>
      </c>
      <c r="N117" s="18">
        <v>21</v>
      </c>
      <c r="O117" s="18">
        <f>L117*M117*N117</f>
        <v>3780</v>
      </c>
      <c r="Q117" s="18">
        <v>5</v>
      </c>
      <c r="R117" s="53"/>
      <c r="S117" s="53"/>
      <c r="T117" s="53"/>
      <c r="U117" s="53"/>
      <c r="V117" s="53"/>
      <c r="W117" s="53"/>
      <c r="X117" s="15"/>
      <c r="Y117" s="53"/>
      <c r="Z117" s="53"/>
      <c r="AA117" s="53"/>
      <c r="AB117" s="53"/>
      <c r="AC117" s="53"/>
      <c r="AD117" s="15"/>
    </row>
    <row r="118" spans="1:30" x14ac:dyDescent="0.25">
      <c r="A118" s="15">
        <v>7660</v>
      </c>
      <c r="C118" s="15" t="s">
        <v>348</v>
      </c>
      <c r="D118" s="15" t="s">
        <v>349</v>
      </c>
      <c r="E118" s="15" t="s">
        <v>68</v>
      </c>
      <c r="F118" s="15">
        <v>2024</v>
      </c>
      <c r="G118" s="15" t="s">
        <v>350</v>
      </c>
      <c r="H118" s="15">
        <v>1</v>
      </c>
      <c r="I118" s="15" t="s">
        <v>351</v>
      </c>
      <c r="J118" s="15" t="s">
        <v>351</v>
      </c>
      <c r="K118" s="15" t="s">
        <v>351</v>
      </c>
      <c r="L118" s="15">
        <v>360</v>
      </c>
      <c r="M118" s="15">
        <v>1</v>
      </c>
      <c r="N118" s="18">
        <v>21</v>
      </c>
      <c r="O118" s="18">
        <f>L118*M118*N118</f>
        <v>7560</v>
      </c>
      <c r="P118" s="15" t="s">
        <v>352</v>
      </c>
      <c r="Q118" s="18">
        <v>5</v>
      </c>
      <c r="R118" s="57"/>
      <c r="S118" s="57"/>
      <c r="T118" s="57"/>
      <c r="U118" s="57"/>
      <c r="V118" s="57"/>
      <c r="W118" s="57"/>
      <c r="X118" s="15"/>
      <c r="Y118" s="57"/>
      <c r="Z118" s="57"/>
      <c r="AA118" s="57"/>
      <c r="AB118" s="57"/>
      <c r="AC118" s="57"/>
      <c r="AD118" s="15"/>
    </row>
    <row r="119" spans="1:30" x14ac:dyDescent="0.25">
      <c r="A119" s="15">
        <v>7769</v>
      </c>
      <c r="C119" s="40" t="s">
        <v>871</v>
      </c>
      <c r="D119" s="40" t="s">
        <v>872</v>
      </c>
      <c r="E119" s="40" t="s">
        <v>873</v>
      </c>
      <c r="F119" s="40">
        <v>2022</v>
      </c>
      <c r="G119" s="41" t="s">
        <v>874</v>
      </c>
      <c r="H119" s="15">
        <v>1</v>
      </c>
      <c r="I119" s="15" t="s">
        <v>45</v>
      </c>
      <c r="J119" s="15" t="s">
        <v>33</v>
      </c>
      <c r="L119" s="15">
        <v>360</v>
      </c>
      <c r="M119" s="15">
        <v>1</v>
      </c>
      <c r="N119" s="18">
        <v>21</v>
      </c>
      <c r="O119" s="18">
        <f>L119*M119*N119</f>
        <v>7560</v>
      </c>
      <c r="Q119" s="18">
        <v>3</v>
      </c>
      <c r="R119" s="53"/>
      <c r="S119" s="53"/>
      <c r="T119" s="53"/>
      <c r="U119" s="53"/>
      <c r="V119" s="53"/>
      <c r="W119" s="53"/>
      <c r="X119" s="15"/>
      <c r="Y119" s="53"/>
      <c r="Z119" s="53"/>
      <c r="AA119" s="53"/>
      <c r="AB119" s="53"/>
      <c r="AC119" s="53"/>
      <c r="AD119" s="15"/>
    </row>
    <row r="120" spans="1:30" x14ac:dyDescent="0.25">
      <c r="A120" s="15">
        <v>7812</v>
      </c>
      <c r="B120" s="15">
        <v>36345420</v>
      </c>
      <c r="C120" s="15" t="s">
        <v>560</v>
      </c>
      <c r="D120" s="15" t="s">
        <v>561</v>
      </c>
      <c r="E120" s="15" t="s">
        <v>562</v>
      </c>
      <c r="F120" s="15">
        <v>2022</v>
      </c>
      <c r="G120" s="15" t="s">
        <v>563</v>
      </c>
      <c r="H120" s="15">
        <v>1</v>
      </c>
      <c r="I120" s="15" t="s">
        <v>32</v>
      </c>
      <c r="J120" s="15" t="s">
        <v>33</v>
      </c>
      <c r="K120" s="32">
        <v>4</v>
      </c>
      <c r="L120" s="15">
        <v>240</v>
      </c>
      <c r="M120" s="15">
        <v>1</v>
      </c>
      <c r="N120" s="18">
        <v>28</v>
      </c>
      <c r="O120" s="18">
        <f>N120*L120</f>
        <v>6720</v>
      </c>
      <c r="P120" s="15" t="s">
        <v>564</v>
      </c>
      <c r="Q120" s="18">
        <v>5</v>
      </c>
      <c r="R120" s="53"/>
      <c r="S120" s="53"/>
      <c r="T120" s="53"/>
      <c r="U120" s="53"/>
      <c r="V120" s="53"/>
      <c r="W120" s="53"/>
      <c r="X120" s="15"/>
      <c r="Y120" s="53"/>
      <c r="Z120" s="53"/>
      <c r="AA120" s="53"/>
      <c r="AB120" s="53"/>
      <c r="AC120" s="53"/>
      <c r="AD120" s="15"/>
    </row>
    <row r="121" spans="1:30" x14ac:dyDescent="0.25">
      <c r="A121" s="15">
        <v>7858</v>
      </c>
      <c r="C121" s="40" t="s">
        <v>875</v>
      </c>
      <c r="D121" s="40" t="s">
        <v>876</v>
      </c>
      <c r="E121" s="40" t="s">
        <v>811</v>
      </c>
      <c r="F121" s="40">
        <v>2017</v>
      </c>
      <c r="G121" s="41" t="s">
        <v>877</v>
      </c>
      <c r="H121" s="15">
        <v>1</v>
      </c>
      <c r="I121" s="15" t="s">
        <v>32</v>
      </c>
      <c r="J121" s="15" t="s">
        <v>33</v>
      </c>
      <c r="L121" s="15">
        <v>360</v>
      </c>
      <c r="M121" s="15">
        <v>1</v>
      </c>
      <c r="N121" s="18">
        <v>28</v>
      </c>
      <c r="O121" s="18">
        <f>L121*M121*N121</f>
        <v>10080</v>
      </c>
      <c r="Q121" s="18">
        <v>3</v>
      </c>
      <c r="R121" s="53"/>
      <c r="S121" s="53"/>
      <c r="T121" s="53"/>
      <c r="U121" s="53"/>
      <c r="V121" s="53"/>
      <c r="W121" s="53"/>
      <c r="X121" s="15"/>
      <c r="Y121" s="53"/>
      <c r="Z121" s="53"/>
      <c r="AA121" s="53"/>
      <c r="AB121" s="53"/>
      <c r="AC121" s="53"/>
      <c r="AD121" s="15"/>
    </row>
    <row r="122" spans="1:30" x14ac:dyDescent="0.25">
      <c r="A122" s="15">
        <v>7864</v>
      </c>
      <c r="C122" s="15" t="s">
        <v>565</v>
      </c>
      <c r="D122" s="15" t="s">
        <v>566</v>
      </c>
      <c r="E122" s="15" t="s">
        <v>567</v>
      </c>
      <c r="F122" s="15">
        <v>2023</v>
      </c>
      <c r="G122" s="15" t="s">
        <v>568</v>
      </c>
      <c r="H122" s="15">
        <v>1</v>
      </c>
      <c r="I122" s="15" t="s">
        <v>32</v>
      </c>
      <c r="J122" s="15" t="s">
        <v>33</v>
      </c>
      <c r="K122" s="32" t="s">
        <v>569</v>
      </c>
      <c r="L122" s="15">
        <v>360</v>
      </c>
      <c r="M122" s="15">
        <v>1</v>
      </c>
      <c r="N122" s="18">
        <v>28</v>
      </c>
      <c r="O122" s="18">
        <f>L122*M122*N122</f>
        <v>10080</v>
      </c>
      <c r="Q122" s="18">
        <v>3</v>
      </c>
      <c r="R122" s="53"/>
      <c r="S122" s="53"/>
      <c r="T122" s="53"/>
      <c r="U122" s="53"/>
      <c r="V122" s="53"/>
      <c r="W122" s="53"/>
      <c r="X122" s="15"/>
      <c r="Y122" s="53"/>
      <c r="Z122" s="53"/>
      <c r="AA122" s="53"/>
      <c r="AB122" s="53"/>
      <c r="AC122" s="53"/>
      <c r="AD122" s="15"/>
    </row>
    <row r="123" spans="1:30" x14ac:dyDescent="0.25">
      <c r="A123" s="15">
        <v>8158</v>
      </c>
      <c r="B123" s="15">
        <v>27150225</v>
      </c>
      <c r="C123" s="15" t="s">
        <v>360</v>
      </c>
      <c r="D123" s="15" t="s">
        <v>361</v>
      </c>
      <c r="E123" s="15" t="s">
        <v>267</v>
      </c>
      <c r="F123" s="15">
        <v>2016</v>
      </c>
      <c r="G123" s="15" t="s">
        <v>362</v>
      </c>
      <c r="H123" s="15">
        <v>1</v>
      </c>
      <c r="I123" s="15" t="s">
        <v>45</v>
      </c>
      <c r="J123" s="15" t="s">
        <v>33</v>
      </c>
      <c r="L123" s="15">
        <v>180</v>
      </c>
      <c r="M123" s="15">
        <v>1</v>
      </c>
      <c r="N123" s="18">
        <v>35</v>
      </c>
      <c r="O123" s="18">
        <f>N123*L123</f>
        <v>6300</v>
      </c>
      <c r="Q123" s="18">
        <v>5</v>
      </c>
      <c r="R123" s="53"/>
      <c r="S123" s="53"/>
      <c r="T123" s="53"/>
      <c r="U123" s="53"/>
      <c r="V123" s="53"/>
      <c r="W123" s="53"/>
      <c r="X123" s="15"/>
      <c r="Y123" s="53"/>
      <c r="Z123" s="53"/>
      <c r="AA123" s="53"/>
      <c r="AB123" s="53"/>
      <c r="AC123" s="53"/>
      <c r="AD123" s="15"/>
    </row>
    <row r="124" spans="1:30" x14ac:dyDescent="0.25">
      <c r="A124" s="15">
        <v>8159</v>
      </c>
      <c r="B124" s="15">
        <v>25826421</v>
      </c>
      <c r="C124" s="15" t="s">
        <v>364</v>
      </c>
      <c r="D124" s="15" t="s">
        <v>365</v>
      </c>
      <c r="E124" s="15" t="s">
        <v>366</v>
      </c>
      <c r="F124" s="15">
        <v>2015</v>
      </c>
      <c r="G124" s="15" t="s">
        <v>367</v>
      </c>
      <c r="H124" s="15">
        <v>1</v>
      </c>
      <c r="I124" s="15" t="s">
        <v>45</v>
      </c>
      <c r="J124" s="15" t="s">
        <v>33</v>
      </c>
      <c r="L124" s="15">
        <v>240</v>
      </c>
      <c r="M124" s="15">
        <v>1</v>
      </c>
      <c r="N124" s="18">
        <v>42</v>
      </c>
      <c r="O124" s="18">
        <f>N124*L124</f>
        <v>10080</v>
      </c>
      <c r="Q124" s="18">
        <v>5</v>
      </c>
      <c r="R124" s="53"/>
      <c r="S124" s="53"/>
      <c r="T124" s="53"/>
      <c r="U124" s="53"/>
      <c r="V124" s="53"/>
      <c r="W124" s="53"/>
      <c r="X124" s="15"/>
      <c r="Y124" s="53"/>
      <c r="Z124" s="53"/>
      <c r="AA124" s="53"/>
      <c r="AB124" s="53"/>
      <c r="AC124" s="53"/>
      <c r="AD124" s="15"/>
    </row>
    <row r="125" spans="1:30" x14ac:dyDescent="0.25">
      <c r="A125" s="37">
        <v>8420</v>
      </c>
      <c r="B125" s="37"/>
      <c r="C125" s="37" t="s">
        <v>878</v>
      </c>
      <c r="D125" s="37" t="s">
        <v>879</v>
      </c>
      <c r="E125" s="37" t="s">
        <v>37</v>
      </c>
      <c r="F125" s="37">
        <v>2015</v>
      </c>
      <c r="G125" s="37" t="s">
        <v>880</v>
      </c>
      <c r="H125" s="15">
        <v>1</v>
      </c>
      <c r="I125" s="15" t="s">
        <v>32</v>
      </c>
      <c r="J125" s="15" t="s">
        <v>33</v>
      </c>
      <c r="L125" s="15">
        <v>360</v>
      </c>
      <c r="M125" s="15">
        <v>1</v>
      </c>
      <c r="N125" s="51">
        <v>3</v>
      </c>
      <c r="O125" s="18">
        <f>L125*M125*N125</f>
        <v>1080</v>
      </c>
      <c r="Q125" s="18">
        <v>15</v>
      </c>
      <c r="R125" s="53"/>
      <c r="S125" s="53"/>
      <c r="T125" s="53"/>
      <c r="U125" s="53"/>
      <c r="V125" s="53"/>
      <c r="W125" s="53"/>
      <c r="X125" s="15"/>
      <c r="Y125" s="53"/>
      <c r="Z125" s="53"/>
      <c r="AA125" s="53"/>
      <c r="AB125" s="53"/>
      <c r="AC125" s="53"/>
      <c r="AD125" s="15"/>
    </row>
    <row r="126" spans="1:30" x14ac:dyDescent="0.25">
      <c r="A126" s="37">
        <v>8420</v>
      </c>
      <c r="B126" s="37"/>
      <c r="C126" s="37" t="s">
        <v>878</v>
      </c>
      <c r="D126" s="37" t="s">
        <v>879</v>
      </c>
      <c r="E126" s="37" t="s">
        <v>37</v>
      </c>
      <c r="F126" s="37">
        <v>2015</v>
      </c>
      <c r="G126" s="37" t="s">
        <v>880</v>
      </c>
      <c r="H126" s="15">
        <v>1</v>
      </c>
      <c r="I126" s="15" t="s">
        <v>32</v>
      </c>
      <c r="J126" s="15" t="s">
        <v>33</v>
      </c>
      <c r="L126" s="15">
        <v>360</v>
      </c>
      <c r="M126" s="15">
        <v>1</v>
      </c>
      <c r="N126" s="51">
        <v>14</v>
      </c>
      <c r="O126" s="18">
        <f>L126*M126*N126</f>
        <v>5040</v>
      </c>
      <c r="Q126" s="18">
        <v>15</v>
      </c>
      <c r="R126" s="53"/>
      <c r="S126" s="53"/>
      <c r="T126" s="53"/>
      <c r="U126" s="53"/>
      <c r="V126" s="53"/>
      <c r="W126" s="53"/>
      <c r="X126" s="15"/>
      <c r="Y126" s="53"/>
      <c r="Z126" s="53"/>
      <c r="AA126" s="53"/>
      <c r="AB126" s="53"/>
      <c r="AC126" s="53"/>
      <c r="AD126" s="15"/>
    </row>
    <row r="127" spans="1:30" x14ac:dyDescent="0.25">
      <c r="A127" s="15">
        <v>8451</v>
      </c>
      <c r="C127" s="15" t="s">
        <v>369</v>
      </c>
      <c r="D127" s="15" t="s">
        <v>370</v>
      </c>
      <c r="E127" s="15" t="s">
        <v>371</v>
      </c>
      <c r="F127" s="15">
        <v>2025</v>
      </c>
      <c r="G127" s="15" t="s">
        <v>372</v>
      </c>
      <c r="H127" s="15">
        <v>1</v>
      </c>
      <c r="I127" s="15" t="s">
        <v>32</v>
      </c>
      <c r="J127" s="15" t="s">
        <v>33</v>
      </c>
      <c r="L127" s="15">
        <v>480</v>
      </c>
      <c r="M127" s="15">
        <v>1</v>
      </c>
      <c r="N127" s="18">
        <v>14</v>
      </c>
      <c r="O127" s="18">
        <f>L127*M127*N127</f>
        <v>6720</v>
      </c>
      <c r="Q127" s="18" t="s">
        <v>34</v>
      </c>
      <c r="R127" s="53"/>
      <c r="S127" s="53"/>
      <c r="T127" s="53"/>
      <c r="U127" s="53"/>
      <c r="V127" s="53"/>
      <c r="W127" s="53"/>
      <c r="X127" s="15"/>
      <c r="Y127" s="53"/>
      <c r="Z127" s="53"/>
      <c r="AA127" s="53"/>
      <c r="AB127" s="53"/>
      <c r="AC127" s="53"/>
      <c r="AD127" s="15"/>
    </row>
    <row r="128" spans="1:30" x14ac:dyDescent="0.25">
      <c r="A128" s="15">
        <v>8709</v>
      </c>
      <c r="C128" s="15" t="s">
        <v>755</v>
      </c>
      <c r="D128" s="15" t="s">
        <v>756</v>
      </c>
      <c r="E128" s="15" t="s">
        <v>757</v>
      </c>
      <c r="F128" s="15">
        <v>2023</v>
      </c>
      <c r="G128" s="15" t="s">
        <v>758</v>
      </c>
      <c r="H128" s="15">
        <v>1</v>
      </c>
      <c r="I128" s="15" t="s">
        <v>32</v>
      </c>
      <c r="J128" s="15" t="s">
        <v>91</v>
      </c>
      <c r="K128" s="32" t="s">
        <v>592</v>
      </c>
      <c r="L128" s="15">
        <v>60</v>
      </c>
      <c r="M128" s="15">
        <v>1</v>
      </c>
      <c r="N128" s="18">
        <v>56</v>
      </c>
      <c r="O128" s="18">
        <f>L128*M128*N128</f>
        <v>3360</v>
      </c>
      <c r="Q128" s="18">
        <v>10</v>
      </c>
      <c r="R128" s="57"/>
      <c r="S128" s="57"/>
      <c r="T128" s="57"/>
      <c r="U128" s="57"/>
      <c r="V128" s="57"/>
      <c r="W128" s="57"/>
      <c r="X128" s="15"/>
      <c r="Y128" s="57"/>
      <c r="Z128" s="57"/>
      <c r="AA128" s="57"/>
      <c r="AB128" s="57"/>
      <c r="AC128" s="57"/>
      <c r="AD128" s="15"/>
    </row>
    <row r="129" spans="1:30" x14ac:dyDescent="0.25">
      <c r="A129" s="15">
        <v>8767</v>
      </c>
      <c r="B129" s="15">
        <v>25315361</v>
      </c>
      <c r="C129" s="15" t="s">
        <v>398</v>
      </c>
      <c r="D129" s="15" t="s">
        <v>399</v>
      </c>
      <c r="E129" s="15" t="s">
        <v>121</v>
      </c>
      <c r="F129" s="15">
        <v>2015</v>
      </c>
      <c r="G129" s="15" t="s">
        <v>400</v>
      </c>
      <c r="H129" s="15">
        <v>1</v>
      </c>
      <c r="I129" s="15" t="s">
        <v>45</v>
      </c>
      <c r="J129" s="15" t="s">
        <v>33</v>
      </c>
      <c r="L129" s="15">
        <v>240</v>
      </c>
      <c r="M129" s="15">
        <v>1</v>
      </c>
      <c r="N129" s="18">
        <v>42</v>
      </c>
      <c r="O129" s="18">
        <f>N129*L129</f>
        <v>10080</v>
      </c>
      <c r="Q129" s="18">
        <v>5</v>
      </c>
      <c r="R129" s="53"/>
      <c r="S129" s="53"/>
      <c r="T129" s="53"/>
      <c r="U129" s="53"/>
      <c r="V129" s="53"/>
      <c r="W129" s="53"/>
      <c r="X129" s="15"/>
      <c r="Y129" s="53"/>
      <c r="Z129" s="53"/>
      <c r="AA129" s="53"/>
      <c r="AB129" s="53"/>
      <c r="AC129" s="53"/>
      <c r="AD129" s="15"/>
    </row>
    <row r="130" spans="1:30" x14ac:dyDescent="0.25">
      <c r="A130" s="15">
        <v>8964</v>
      </c>
      <c r="C130" s="40" t="s">
        <v>410</v>
      </c>
      <c r="D130" s="40" t="s">
        <v>411</v>
      </c>
      <c r="E130" s="40" t="s">
        <v>412</v>
      </c>
      <c r="F130" s="40">
        <v>2024</v>
      </c>
      <c r="G130" s="41" t="s">
        <v>413</v>
      </c>
      <c r="H130" s="15">
        <v>1</v>
      </c>
      <c r="I130" s="15" t="s">
        <v>32</v>
      </c>
      <c r="J130" s="15" t="s">
        <v>33</v>
      </c>
      <c r="L130" s="15">
        <v>360</v>
      </c>
      <c r="M130" s="15">
        <v>1</v>
      </c>
      <c r="N130" s="18">
        <v>56</v>
      </c>
      <c r="O130" s="18">
        <f>L130*M130*N130</f>
        <v>20160</v>
      </c>
      <c r="Q130" s="18">
        <v>5</v>
      </c>
      <c r="R130" s="53"/>
      <c r="S130" s="53"/>
      <c r="T130" s="53"/>
      <c r="U130" s="53"/>
      <c r="V130" s="53"/>
      <c r="W130" s="53"/>
      <c r="X130" s="15"/>
      <c r="Y130" s="53"/>
      <c r="Z130" s="53"/>
      <c r="AA130" s="53"/>
      <c r="AB130" s="53"/>
      <c r="AC130" s="53"/>
      <c r="AD130" s="15"/>
    </row>
    <row r="131" spans="1:30" x14ac:dyDescent="0.25">
      <c r="A131" s="15">
        <v>8977</v>
      </c>
      <c r="C131" s="15" t="s">
        <v>579</v>
      </c>
      <c r="D131" s="15" t="s">
        <v>580</v>
      </c>
      <c r="E131" s="15" t="s">
        <v>581</v>
      </c>
      <c r="F131" s="15">
        <v>2020</v>
      </c>
      <c r="G131" s="15" t="s">
        <v>582</v>
      </c>
      <c r="H131" s="15">
        <v>1</v>
      </c>
      <c r="I131" s="15" t="s">
        <v>32</v>
      </c>
      <c r="J131" s="15" t="s">
        <v>392</v>
      </c>
      <c r="K131" s="32" t="s">
        <v>34</v>
      </c>
      <c r="L131" s="15">
        <v>45</v>
      </c>
      <c r="M131" s="15">
        <v>3</v>
      </c>
      <c r="N131" s="18">
        <v>7</v>
      </c>
      <c r="O131" s="18">
        <f>L131*M131*N131</f>
        <v>945</v>
      </c>
      <c r="P131" s="15" t="s">
        <v>583</v>
      </c>
      <c r="Q131" s="18">
        <v>5</v>
      </c>
      <c r="R131" s="53"/>
      <c r="S131" s="53"/>
      <c r="T131" s="53"/>
      <c r="U131" s="53"/>
      <c r="V131" s="53"/>
      <c r="W131" s="53"/>
      <c r="X131" s="15"/>
      <c r="Y131" s="53"/>
      <c r="Z131" s="53"/>
      <c r="AA131" s="53"/>
      <c r="AB131" s="53"/>
      <c r="AC131" s="53"/>
      <c r="AD131" s="15"/>
    </row>
    <row r="132" spans="1:30" x14ac:dyDescent="0.25">
      <c r="A132" s="15">
        <v>8989</v>
      </c>
      <c r="C132" s="40" t="s">
        <v>414</v>
      </c>
      <c r="D132" s="40" t="s">
        <v>415</v>
      </c>
      <c r="E132" s="40" t="s">
        <v>416</v>
      </c>
      <c r="F132" s="40">
        <v>2023</v>
      </c>
      <c r="G132" s="41" t="s">
        <v>417</v>
      </c>
      <c r="H132" s="15">
        <v>1</v>
      </c>
      <c r="I132" s="15" t="s">
        <v>45</v>
      </c>
      <c r="J132" s="15" t="s">
        <v>33</v>
      </c>
      <c r="L132" s="15">
        <v>360</v>
      </c>
      <c r="M132" s="15">
        <v>1</v>
      </c>
      <c r="N132" s="18">
        <v>21</v>
      </c>
      <c r="O132" s="18">
        <f>L132*M132*N132</f>
        <v>7560</v>
      </c>
      <c r="Q132" s="18">
        <v>3</v>
      </c>
      <c r="R132" s="53"/>
      <c r="S132" s="53"/>
      <c r="T132" s="53"/>
      <c r="U132" s="53"/>
      <c r="V132" s="53"/>
      <c r="W132" s="53"/>
      <c r="X132" s="15"/>
      <c r="Y132" s="53"/>
      <c r="Z132" s="53"/>
      <c r="AA132" s="53"/>
      <c r="AB132" s="53"/>
      <c r="AC132" s="53"/>
      <c r="AD132" s="15"/>
    </row>
    <row r="133" spans="1:30" x14ac:dyDescent="0.25">
      <c r="A133" s="37">
        <v>9101</v>
      </c>
      <c r="B133" s="37">
        <v>25660342</v>
      </c>
      <c r="C133" s="37" t="s">
        <v>881</v>
      </c>
      <c r="D133" s="37" t="s">
        <v>882</v>
      </c>
      <c r="E133" s="37" t="s">
        <v>835</v>
      </c>
      <c r="F133" s="37">
        <v>2015</v>
      </c>
      <c r="G133" s="37" t="s">
        <v>883</v>
      </c>
      <c r="H133" s="15">
        <v>1</v>
      </c>
      <c r="I133" s="15" t="s">
        <v>32</v>
      </c>
      <c r="J133" s="15" t="s">
        <v>33</v>
      </c>
      <c r="L133" s="15">
        <v>120</v>
      </c>
      <c r="M133" s="15">
        <v>1</v>
      </c>
      <c r="N133" s="51">
        <v>3</v>
      </c>
      <c r="O133" s="18">
        <f>N133*L133</f>
        <v>360</v>
      </c>
      <c r="Q133" s="18">
        <v>5</v>
      </c>
      <c r="R133" s="53"/>
      <c r="S133" s="53"/>
      <c r="T133" s="53"/>
      <c r="U133" s="53"/>
      <c r="V133" s="53"/>
      <c r="W133" s="53"/>
      <c r="X133" s="15"/>
      <c r="Y133" s="53"/>
      <c r="Z133" s="53"/>
      <c r="AA133" s="53"/>
      <c r="AB133" s="53"/>
      <c r="AC133" s="53"/>
      <c r="AD133" s="15"/>
    </row>
    <row r="134" spans="1:30" x14ac:dyDescent="0.25">
      <c r="A134" s="37">
        <v>9101</v>
      </c>
      <c r="B134" s="37">
        <v>25660342</v>
      </c>
      <c r="C134" s="37" t="s">
        <v>881</v>
      </c>
      <c r="D134" s="37" t="s">
        <v>882</v>
      </c>
      <c r="E134" s="37" t="s">
        <v>835</v>
      </c>
      <c r="F134" s="37">
        <v>2015</v>
      </c>
      <c r="G134" s="37" t="s">
        <v>883</v>
      </c>
      <c r="H134" s="15">
        <v>1</v>
      </c>
      <c r="I134" s="15" t="s">
        <v>32</v>
      </c>
      <c r="J134" s="15" t="s">
        <v>33</v>
      </c>
      <c r="L134" s="15">
        <v>120</v>
      </c>
      <c r="M134" s="15">
        <v>1</v>
      </c>
      <c r="N134" s="51">
        <v>7</v>
      </c>
      <c r="O134" s="18">
        <f>N134*L134</f>
        <v>840</v>
      </c>
      <c r="Q134" s="18">
        <v>5</v>
      </c>
      <c r="R134" s="53"/>
      <c r="S134" s="53"/>
      <c r="T134" s="53"/>
      <c r="U134" s="53"/>
      <c r="V134" s="53"/>
      <c r="W134" s="53"/>
      <c r="X134" s="15"/>
      <c r="Y134" s="53"/>
      <c r="Z134" s="53"/>
      <c r="AA134" s="53"/>
      <c r="AB134" s="53"/>
      <c r="AC134" s="53"/>
      <c r="AD134" s="15"/>
    </row>
    <row r="135" spans="1:30" x14ac:dyDescent="0.25">
      <c r="A135" s="37">
        <v>9101</v>
      </c>
      <c r="B135" s="37">
        <v>25660342</v>
      </c>
      <c r="C135" s="37" t="s">
        <v>881</v>
      </c>
      <c r="D135" s="37" t="s">
        <v>882</v>
      </c>
      <c r="E135" s="37" t="s">
        <v>835</v>
      </c>
      <c r="F135" s="37">
        <v>2015</v>
      </c>
      <c r="G135" s="37" t="s">
        <v>883</v>
      </c>
      <c r="H135" s="15">
        <v>1</v>
      </c>
      <c r="I135" s="15" t="s">
        <v>32</v>
      </c>
      <c r="J135" s="15" t="s">
        <v>33</v>
      </c>
      <c r="L135" s="15">
        <v>120</v>
      </c>
      <c r="M135" s="15">
        <v>1</v>
      </c>
      <c r="N135" s="51">
        <v>14</v>
      </c>
      <c r="O135" s="18">
        <f>N135*L135</f>
        <v>1680</v>
      </c>
      <c r="Q135" s="18">
        <v>5</v>
      </c>
      <c r="R135" s="53"/>
      <c r="S135" s="53"/>
      <c r="T135" s="53"/>
      <c r="U135" s="53"/>
      <c r="V135" s="53"/>
      <c r="W135" s="53"/>
      <c r="X135" s="15"/>
      <c r="Y135" s="53"/>
      <c r="Z135" s="53"/>
      <c r="AA135" s="53"/>
      <c r="AB135" s="53"/>
      <c r="AC135" s="53"/>
      <c r="AD135" s="15"/>
    </row>
    <row r="136" spans="1:30" x14ac:dyDescent="0.25">
      <c r="A136" s="15">
        <v>9120</v>
      </c>
      <c r="C136" s="40" t="s">
        <v>425</v>
      </c>
      <c r="D136" s="40" t="s">
        <v>426</v>
      </c>
      <c r="E136" s="40" t="s">
        <v>427</v>
      </c>
      <c r="F136" s="40">
        <v>2023</v>
      </c>
      <c r="G136" s="41" t="s">
        <v>428</v>
      </c>
      <c r="H136" s="15">
        <v>1</v>
      </c>
      <c r="I136" s="15" t="s">
        <v>429</v>
      </c>
      <c r="J136" s="15" t="s">
        <v>33</v>
      </c>
      <c r="K136" s="32" t="s">
        <v>159</v>
      </c>
      <c r="L136" s="15">
        <v>30</v>
      </c>
      <c r="M136" s="15">
        <v>1</v>
      </c>
      <c r="N136" s="18">
        <v>10</v>
      </c>
      <c r="O136" s="18">
        <f>L136*M136*N136</f>
        <v>300</v>
      </c>
      <c r="Q136" s="18">
        <v>10</v>
      </c>
      <c r="R136" s="53"/>
      <c r="S136" s="53"/>
      <c r="T136" s="53"/>
      <c r="U136" s="53"/>
      <c r="V136" s="53"/>
      <c r="W136" s="53"/>
      <c r="X136" s="15"/>
      <c r="Y136" s="53"/>
      <c r="Z136" s="53"/>
      <c r="AA136" s="53"/>
      <c r="AB136" s="53"/>
      <c r="AC136" s="53"/>
      <c r="AD136" s="15"/>
    </row>
    <row r="137" spans="1:30" x14ac:dyDescent="0.25">
      <c r="A137" s="15">
        <v>9211</v>
      </c>
      <c r="C137" s="15" t="s">
        <v>884</v>
      </c>
      <c r="D137" s="15" t="s">
        <v>885</v>
      </c>
      <c r="E137" s="15" t="s">
        <v>823</v>
      </c>
      <c r="F137" s="15">
        <v>2022</v>
      </c>
      <c r="G137" s="15" t="s">
        <v>886</v>
      </c>
      <c r="H137" s="15">
        <v>1</v>
      </c>
      <c r="I137" s="15" t="s">
        <v>45</v>
      </c>
      <c r="J137" s="15" t="s">
        <v>33</v>
      </c>
      <c r="K137" s="32" t="s">
        <v>253</v>
      </c>
      <c r="L137" s="15">
        <v>360</v>
      </c>
      <c r="M137" s="15">
        <v>1</v>
      </c>
      <c r="N137" s="18">
        <v>21</v>
      </c>
      <c r="O137" s="18">
        <f>L137*M137*N137</f>
        <v>7560</v>
      </c>
      <c r="Q137" s="18">
        <v>3</v>
      </c>
      <c r="R137" s="53"/>
      <c r="S137" s="53"/>
      <c r="T137" s="53"/>
      <c r="U137" s="53"/>
      <c r="V137" s="53"/>
      <c r="W137" s="53"/>
      <c r="X137" s="15"/>
      <c r="Y137" s="53"/>
      <c r="Z137" s="53"/>
      <c r="AA137" s="53"/>
      <c r="AB137" s="53"/>
      <c r="AC137" s="53"/>
      <c r="AD137" s="15"/>
    </row>
    <row r="138" spans="1:30" x14ac:dyDescent="0.25">
      <c r="A138" s="15">
        <v>9223</v>
      </c>
      <c r="B138" s="15">
        <v>37315214</v>
      </c>
      <c r="C138" s="15" t="s">
        <v>887</v>
      </c>
      <c r="D138" s="15" t="s">
        <v>888</v>
      </c>
      <c r="E138" s="15" t="s">
        <v>889</v>
      </c>
      <c r="F138" s="15">
        <v>2023</v>
      </c>
      <c r="G138" s="15" t="s">
        <v>890</v>
      </c>
      <c r="H138" s="15">
        <v>1</v>
      </c>
      <c r="I138" s="15" t="s">
        <v>45</v>
      </c>
      <c r="J138" s="15" t="s">
        <v>33</v>
      </c>
      <c r="K138" s="32">
        <v>12</v>
      </c>
      <c r="L138" s="15">
        <v>120</v>
      </c>
      <c r="M138" s="15">
        <v>1</v>
      </c>
      <c r="N138" s="18">
        <v>14</v>
      </c>
      <c r="O138" s="18">
        <f>N138*L138</f>
        <v>1680</v>
      </c>
      <c r="Q138" s="18">
        <v>5</v>
      </c>
      <c r="R138" s="15" t="s">
        <v>112</v>
      </c>
      <c r="S138" s="15">
        <v>13</v>
      </c>
      <c r="T138" s="15">
        <v>2</v>
      </c>
      <c r="U138" s="15">
        <v>8</v>
      </c>
      <c r="V138" s="15">
        <v>8</v>
      </c>
      <c r="W138" s="35">
        <f>T138*(SQRT(V138))</f>
        <v>5.6568542494923806</v>
      </c>
      <c r="X138" s="15"/>
      <c r="Y138" s="15">
        <v>4.3</v>
      </c>
      <c r="Z138" s="15">
        <v>1.8</v>
      </c>
      <c r="AA138" s="15">
        <v>8</v>
      </c>
      <c r="AB138" s="15">
        <v>8</v>
      </c>
      <c r="AC138" s="35">
        <f>Z138*(SQRT(AB138))</f>
        <v>5.0911688245431428</v>
      </c>
      <c r="AD138" s="15"/>
    </row>
    <row r="139" spans="1:30" x14ac:dyDescent="0.25">
      <c r="A139" s="15">
        <v>9234</v>
      </c>
      <c r="B139" s="15">
        <v>35925279</v>
      </c>
      <c r="C139" s="15" t="s">
        <v>588</v>
      </c>
      <c r="D139" s="15" t="s">
        <v>589</v>
      </c>
      <c r="E139" s="15" t="s">
        <v>121</v>
      </c>
      <c r="F139" s="15">
        <v>2022</v>
      </c>
      <c r="G139" s="15" t="s">
        <v>590</v>
      </c>
      <c r="H139" s="15">
        <v>1</v>
      </c>
      <c r="I139" s="15" t="s">
        <v>117</v>
      </c>
      <c r="J139" s="15" t="s">
        <v>33</v>
      </c>
      <c r="K139" s="32">
        <v>8</v>
      </c>
      <c r="L139" s="15">
        <v>360</v>
      </c>
      <c r="M139" s="15">
        <v>1</v>
      </c>
      <c r="N139" s="18">
        <v>28</v>
      </c>
      <c r="O139" s="18">
        <f>N139*L139</f>
        <v>10080</v>
      </c>
      <c r="Q139" s="18">
        <v>10</v>
      </c>
      <c r="R139" s="53"/>
      <c r="S139" s="53"/>
      <c r="T139" s="53"/>
      <c r="U139" s="53"/>
      <c r="V139" s="53"/>
      <c r="W139" s="53"/>
      <c r="X139" s="15"/>
      <c r="Y139" s="53"/>
      <c r="Z139" s="53"/>
      <c r="AA139" s="53"/>
      <c r="AB139" s="53"/>
      <c r="AC139" s="53"/>
      <c r="AD139" s="15"/>
    </row>
    <row r="140" spans="1:30" x14ac:dyDescent="0.25">
      <c r="A140" s="15">
        <v>9352</v>
      </c>
      <c r="C140" s="40" t="s">
        <v>891</v>
      </c>
      <c r="D140" s="40" t="s">
        <v>892</v>
      </c>
      <c r="E140" s="40" t="s">
        <v>811</v>
      </c>
      <c r="F140" s="40">
        <v>2015</v>
      </c>
      <c r="G140" s="41" t="s">
        <v>893</v>
      </c>
      <c r="H140" s="15">
        <v>1</v>
      </c>
      <c r="I140" s="15" t="s">
        <v>45</v>
      </c>
      <c r="J140" s="15" t="s">
        <v>33</v>
      </c>
      <c r="L140" s="15">
        <v>180</v>
      </c>
      <c r="M140" s="15">
        <v>1</v>
      </c>
      <c r="N140" s="18">
        <v>21</v>
      </c>
      <c r="O140" s="18">
        <f>L140*M140*N140</f>
        <v>3780</v>
      </c>
      <c r="Q140" s="18">
        <v>5</v>
      </c>
      <c r="R140" s="53"/>
      <c r="S140" s="53"/>
      <c r="T140" s="53"/>
      <c r="U140" s="53"/>
      <c r="V140" s="53"/>
      <c r="W140" s="53"/>
      <c r="X140" s="15"/>
      <c r="Y140" s="53"/>
      <c r="Z140" s="53"/>
      <c r="AA140" s="53"/>
      <c r="AB140" s="53"/>
      <c r="AC140" s="53"/>
      <c r="AD140" s="15"/>
    </row>
    <row r="141" spans="1:30" x14ac:dyDescent="0.25">
      <c r="A141" s="15">
        <v>9442</v>
      </c>
      <c r="B141" s="15">
        <v>34704719</v>
      </c>
      <c r="C141" s="15" t="s">
        <v>434</v>
      </c>
      <c r="D141" s="15" t="s">
        <v>435</v>
      </c>
      <c r="E141" s="15" t="s">
        <v>436</v>
      </c>
      <c r="F141" s="15">
        <v>2021</v>
      </c>
      <c r="G141" s="15" t="s">
        <v>437</v>
      </c>
      <c r="H141" s="15">
        <v>1</v>
      </c>
      <c r="I141" s="15" t="s">
        <v>32</v>
      </c>
      <c r="J141" s="15" t="s">
        <v>33</v>
      </c>
      <c r="L141" s="15">
        <v>360</v>
      </c>
      <c r="M141" s="15">
        <v>1</v>
      </c>
      <c r="N141" s="18">
        <v>21</v>
      </c>
      <c r="O141" s="18">
        <f>N141*L141</f>
        <v>7560</v>
      </c>
      <c r="Q141" s="18">
        <v>5</v>
      </c>
      <c r="R141" s="53"/>
      <c r="S141" s="53"/>
      <c r="T141" s="53"/>
      <c r="U141" s="53"/>
      <c r="V141" s="53"/>
      <c r="W141" s="53"/>
      <c r="X141" s="15"/>
      <c r="Y141" s="53"/>
      <c r="Z141" s="53"/>
      <c r="AA141" s="53"/>
      <c r="AB141" s="53"/>
      <c r="AC141" s="53"/>
      <c r="AD141" s="15"/>
    </row>
    <row r="142" spans="1:30" x14ac:dyDescent="0.25">
      <c r="A142" s="37">
        <v>9542</v>
      </c>
      <c r="B142" s="37"/>
      <c r="C142" s="37" t="s">
        <v>438</v>
      </c>
      <c r="D142" s="37" t="s">
        <v>439</v>
      </c>
      <c r="E142" s="37" t="s">
        <v>50</v>
      </c>
      <c r="F142" s="37">
        <v>2025</v>
      </c>
      <c r="G142" s="37" t="s">
        <v>440</v>
      </c>
      <c r="H142" s="15">
        <v>1</v>
      </c>
      <c r="I142" s="15" t="s">
        <v>45</v>
      </c>
      <c r="J142" s="15" t="s">
        <v>33</v>
      </c>
      <c r="K142" s="32" t="s">
        <v>88</v>
      </c>
      <c r="L142" s="15">
        <v>360</v>
      </c>
      <c r="M142" s="15">
        <v>1</v>
      </c>
      <c r="N142" s="51">
        <v>15</v>
      </c>
      <c r="O142" s="18">
        <f>L142*M142*N142</f>
        <v>5400</v>
      </c>
      <c r="Q142" s="18">
        <v>10</v>
      </c>
      <c r="R142" s="15" t="s">
        <v>46</v>
      </c>
      <c r="S142" s="15">
        <v>29</v>
      </c>
      <c r="T142" s="15">
        <v>3.4</v>
      </c>
      <c r="U142" s="15">
        <v>7</v>
      </c>
      <c r="V142" s="15">
        <v>7</v>
      </c>
      <c r="W142" s="35">
        <f>T142*(SQRT(V142))</f>
        <v>8.9955544576196083</v>
      </c>
      <c r="X142" s="15"/>
      <c r="Y142" s="15">
        <v>9</v>
      </c>
      <c r="Z142" s="15">
        <v>1.1000000000000001</v>
      </c>
      <c r="AA142" s="15">
        <v>7</v>
      </c>
      <c r="AB142" s="15">
        <v>7</v>
      </c>
      <c r="AC142" s="35">
        <f>Z142*(SQRT(AB142))</f>
        <v>2.91032644217105</v>
      </c>
      <c r="AD142" s="15"/>
    </row>
    <row r="143" spans="1:30" x14ac:dyDescent="0.25">
      <c r="A143" s="37">
        <v>9542</v>
      </c>
      <c r="B143" s="37"/>
      <c r="C143" s="37" t="s">
        <v>438</v>
      </c>
      <c r="D143" s="37" t="s">
        <v>439</v>
      </c>
      <c r="E143" s="37" t="s">
        <v>50</v>
      </c>
      <c r="F143" s="37">
        <v>2025</v>
      </c>
      <c r="G143" s="37" t="s">
        <v>440</v>
      </c>
      <c r="H143" s="15">
        <v>1</v>
      </c>
      <c r="I143" s="15" t="s">
        <v>45</v>
      </c>
      <c r="J143" s="15" t="s">
        <v>33</v>
      </c>
      <c r="K143" s="32" t="s">
        <v>88</v>
      </c>
      <c r="L143" s="15">
        <v>360</v>
      </c>
      <c r="M143" s="15">
        <v>1</v>
      </c>
      <c r="N143" s="51">
        <v>30</v>
      </c>
      <c r="O143" s="18">
        <f>L143*M143*N143</f>
        <v>10800</v>
      </c>
      <c r="Q143" s="18">
        <v>10</v>
      </c>
      <c r="R143" s="15" t="s">
        <v>46</v>
      </c>
      <c r="S143" s="15">
        <v>37</v>
      </c>
      <c r="T143" s="15">
        <v>4.5999999999999996</v>
      </c>
      <c r="U143" s="15">
        <v>7</v>
      </c>
      <c r="V143" s="15">
        <v>7</v>
      </c>
      <c r="W143" s="35">
        <f>T143*(SQRT(V143))</f>
        <v>12.170456030897116</v>
      </c>
      <c r="X143" s="15"/>
      <c r="Y143" s="15">
        <v>6</v>
      </c>
      <c r="Z143" s="15">
        <v>1.1000000000000001</v>
      </c>
      <c r="AA143" s="15">
        <v>7</v>
      </c>
      <c r="AB143" s="15">
        <v>7</v>
      </c>
      <c r="AC143" s="35">
        <f>Z143*(SQRT(AB143))</f>
        <v>2.91032644217105</v>
      </c>
      <c r="AD143" s="15"/>
    </row>
    <row r="144" spans="1:30" x14ac:dyDescent="0.25">
      <c r="A144" s="15">
        <v>9643</v>
      </c>
      <c r="C144" s="15" t="s">
        <v>450</v>
      </c>
      <c r="D144" s="15" t="s">
        <v>451</v>
      </c>
      <c r="E144" s="15" t="s">
        <v>452</v>
      </c>
      <c r="F144" s="15">
        <v>2019</v>
      </c>
      <c r="G144" s="15" t="s">
        <v>453</v>
      </c>
      <c r="H144" s="15">
        <v>1</v>
      </c>
      <c r="I144" s="15" t="s">
        <v>32</v>
      </c>
      <c r="J144" s="15" t="s">
        <v>33</v>
      </c>
      <c r="L144" s="15">
        <v>180</v>
      </c>
      <c r="M144" s="15">
        <v>1</v>
      </c>
      <c r="N144" s="18">
        <v>21</v>
      </c>
      <c r="O144" s="18">
        <f>L144*M144*N144</f>
        <v>3780</v>
      </c>
      <c r="Q144" s="18">
        <v>5</v>
      </c>
      <c r="R144" s="15" t="s">
        <v>234</v>
      </c>
      <c r="S144" s="15">
        <v>21</v>
      </c>
      <c r="T144" s="15">
        <v>1.4</v>
      </c>
      <c r="U144" s="32" t="s">
        <v>454</v>
      </c>
      <c r="V144" s="15">
        <v>9</v>
      </c>
      <c r="W144" s="35">
        <f>T144*(SQRT(V144))</f>
        <v>4.1999999999999993</v>
      </c>
      <c r="X144" s="15"/>
      <c r="Y144" s="15">
        <v>41</v>
      </c>
      <c r="Z144" s="15">
        <v>4.5999999999999996</v>
      </c>
      <c r="AA144" s="32" t="s">
        <v>454</v>
      </c>
      <c r="AB144" s="15">
        <v>9</v>
      </c>
      <c r="AC144" s="35">
        <f>Z144*(SQRT(AB144))</f>
        <v>13.799999999999999</v>
      </c>
      <c r="AD144" s="15"/>
    </row>
    <row r="145" spans="1:30" x14ac:dyDescent="0.25">
      <c r="A145" s="15">
        <v>9767</v>
      </c>
      <c r="C145" s="15" t="s">
        <v>894</v>
      </c>
      <c r="D145" s="15" t="s">
        <v>895</v>
      </c>
      <c r="E145" s="15" t="s">
        <v>443</v>
      </c>
      <c r="F145" s="15">
        <v>2019</v>
      </c>
      <c r="G145" s="15" t="s">
        <v>896</v>
      </c>
      <c r="H145" s="15">
        <v>1</v>
      </c>
      <c r="I145" s="15" t="s">
        <v>32</v>
      </c>
      <c r="J145" s="15" t="s">
        <v>33</v>
      </c>
      <c r="L145" s="15">
        <v>180</v>
      </c>
      <c r="M145" s="15">
        <v>1</v>
      </c>
      <c r="N145" s="18">
        <v>21</v>
      </c>
      <c r="O145" s="18">
        <f>L145*M145*N145</f>
        <v>3780</v>
      </c>
      <c r="Q145" s="18">
        <v>5</v>
      </c>
      <c r="R145" s="53"/>
      <c r="S145" s="53"/>
      <c r="T145" s="53"/>
      <c r="U145" s="53"/>
      <c r="V145" s="53"/>
      <c r="W145" s="53"/>
      <c r="X145" s="15"/>
      <c r="Y145" s="53"/>
      <c r="Z145" s="53"/>
      <c r="AA145" s="53"/>
      <c r="AB145" s="53"/>
      <c r="AC145" s="53"/>
      <c r="AD145" s="15"/>
    </row>
    <row r="146" spans="1:30" x14ac:dyDescent="0.25">
      <c r="A146" s="15">
        <v>9825</v>
      </c>
      <c r="B146" s="15">
        <v>28866053</v>
      </c>
      <c r="C146" s="15" t="s">
        <v>463</v>
      </c>
      <c r="D146" s="15" t="s">
        <v>464</v>
      </c>
      <c r="E146" s="15" t="s">
        <v>282</v>
      </c>
      <c r="F146" s="15">
        <v>2017</v>
      </c>
      <c r="G146" s="15" t="s">
        <v>465</v>
      </c>
      <c r="H146" s="15">
        <v>1</v>
      </c>
      <c r="I146" s="15" t="s">
        <v>45</v>
      </c>
      <c r="J146" s="15" t="s">
        <v>34</v>
      </c>
      <c r="L146" s="15">
        <v>120</v>
      </c>
      <c r="M146" s="15">
        <v>1</v>
      </c>
      <c r="N146" s="18">
        <v>21</v>
      </c>
      <c r="O146" s="18">
        <f>N146*L146</f>
        <v>2520</v>
      </c>
      <c r="Q146" s="18">
        <v>5</v>
      </c>
      <c r="R146" s="53"/>
      <c r="S146" s="53"/>
      <c r="T146" s="53"/>
      <c r="U146" s="53"/>
      <c r="V146" s="53"/>
      <c r="W146" s="53"/>
      <c r="X146" s="15"/>
      <c r="Y146" s="53"/>
      <c r="Z146" s="53"/>
      <c r="AA146" s="53"/>
      <c r="AB146" s="53"/>
      <c r="AC146" s="53"/>
      <c r="AD146" s="15"/>
    </row>
    <row r="147" spans="1:30" x14ac:dyDescent="0.25">
      <c r="A147" s="15">
        <v>9892</v>
      </c>
      <c r="B147" s="15">
        <v>34646421</v>
      </c>
      <c r="C147" s="15" t="s">
        <v>770</v>
      </c>
      <c r="D147" s="15" t="s">
        <v>771</v>
      </c>
      <c r="E147" s="15" t="s">
        <v>772</v>
      </c>
      <c r="F147" s="15">
        <v>2021</v>
      </c>
      <c r="G147" s="15" t="s">
        <v>773</v>
      </c>
      <c r="H147" s="15">
        <v>1</v>
      </c>
      <c r="I147" s="15" t="s">
        <v>45</v>
      </c>
      <c r="J147" s="15" t="s">
        <v>33</v>
      </c>
      <c r="K147" s="32" t="s">
        <v>158</v>
      </c>
      <c r="L147" s="15">
        <v>360</v>
      </c>
      <c r="M147" s="15">
        <v>1</v>
      </c>
      <c r="N147" s="18">
        <v>21</v>
      </c>
      <c r="O147" s="18">
        <f>N147*L147</f>
        <v>7560</v>
      </c>
      <c r="Q147" s="18">
        <v>5</v>
      </c>
      <c r="R147" s="15" t="s">
        <v>83</v>
      </c>
      <c r="S147" s="15"/>
      <c r="T147" s="15"/>
      <c r="U147" s="15" t="s">
        <v>34</v>
      </c>
      <c r="V147" s="15"/>
      <c r="W147" s="35">
        <f>T147*(SQRT(V147))</f>
        <v>0</v>
      </c>
      <c r="X147" s="15"/>
      <c r="Y147" s="15"/>
      <c r="Z147" s="15"/>
      <c r="AA147" s="15" t="s">
        <v>34</v>
      </c>
      <c r="AB147" s="15"/>
      <c r="AC147" s="35">
        <f>Z147*(SQRT(AB147))</f>
        <v>0</v>
      </c>
      <c r="AD147" s="15"/>
    </row>
    <row r="148" spans="1:30" x14ac:dyDescent="0.25">
      <c r="A148" s="15">
        <v>9900</v>
      </c>
      <c r="B148" s="15">
        <v>27346276</v>
      </c>
      <c r="C148" s="15" t="s">
        <v>466</v>
      </c>
      <c r="D148" s="15" t="s">
        <v>467</v>
      </c>
      <c r="E148" s="15" t="s">
        <v>151</v>
      </c>
      <c r="F148" s="15">
        <v>2016</v>
      </c>
      <c r="G148" s="15" t="s">
        <v>468</v>
      </c>
      <c r="H148" s="15">
        <v>1</v>
      </c>
      <c r="I148" s="15" t="s">
        <v>45</v>
      </c>
      <c r="J148" s="15" t="s">
        <v>33</v>
      </c>
      <c r="L148" s="15">
        <v>360</v>
      </c>
      <c r="M148" s="15">
        <v>1</v>
      </c>
      <c r="N148" s="18">
        <v>21</v>
      </c>
      <c r="O148" s="18">
        <f>N148*L148</f>
        <v>7560</v>
      </c>
      <c r="Q148" s="18">
        <v>5</v>
      </c>
      <c r="R148" s="53"/>
      <c r="S148" s="53"/>
      <c r="T148" s="53"/>
      <c r="U148" s="53"/>
      <c r="V148" s="53"/>
      <c r="W148" s="53"/>
      <c r="X148" s="15"/>
      <c r="Y148" s="53"/>
      <c r="Z148" s="53"/>
      <c r="AA148" s="53"/>
      <c r="AB148" s="53"/>
      <c r="AC148" s="53"/>
      <c r="AD148" s="15"/>
    </row>
  </sheetData>
  <hyperlinks>
    <hyperlink ref="G76" r:id="rId1" xr:uid="{333870BA-05B7-4773-B76E-5AB33F89C586}"/>
    <hyperlink ref="G42" r:id="rId2" xr:uid="{2D544621-DE1C-49A8-BEFD-7794413B6AB9}"/>
    <hyperlink ref="G130" r:id="rId3" xr:uid="{6F19F3D0-899E-4AD7-BD09-C13B4CB5D033}"/>
    <hyperlink ref="G96" r:id="rId4" xr:uid="{C9DE0225-4F11-4967-87A3-7F1BE13E5062}"/>
    <hyperlink ref="G136" r:id="rId5" xr:uid="{FFFD03A0-0C85-41F8-8667-65E27E6F28DB}"/>
    <hyperlink ref="G132" r:id="rId6" xr:uid="{B487B183-DD7A-4C67-8AC7-2B51D915C858}"/>
    <hyperlink ref="G119" r:id="rId7" xr:uid="{CD7A4A7F-6C9D-465F-BCED-0D7A7721BAF9}"/>
    <hyperlink ref="G12" r:id="rId8" xr:uid="{7DA64B9A-365B-4303-902A-046BA165D5A1}"/>
    <hyperlink ref="G109" r:id="rId9" xr:uid="{12C690A2-B44C-4EC0-B325-B1FD7703B271}"/>
    <hyperlink ref="G37" r:id="rId10" xr:uid="{32058E32-3B41-4111-A2B2-21F5E2840EA2}"/>
    <hyperlink ref="G52" r:id="rId11" xr:uid="{180CC287-23CE-4D31-8639-05C7F322A7D0}"/>
    <hyperlink ref="G8" r:id="rId12" xr:uid="{7625FC62-A9D6-489D-8439-F04F307804C9}"/>
    <hyperlink ref="G121" r:id="rId13" xr:uid="{A1D9D944-BBF8-4CE7-8B08-6FA6911463E5}"/>
    <hyperlink ref="G5" r:id="rId14" xr:uid="{D6D0355F-994E-44F5-B738-84C9DCD567AD}"/>
    <hyperlink ref="G140" r:id="rId15" xr:uid="{550E489B-8F83-46E0-BBD0-284A3EA08093}"/>
    <hyperlink ref="G97" r:id="rId16" xr:uid="{7FA8819A-55C8-4B90-919D-3285D3C5E2F8}"/>
    <hyperlink ref="G57" r:id="rId17" xr:uid="{A1154F19-1C5B-41FB-80BF-859A21C885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FST</vt:lpstr>
      <vt:lpstr>SPT</vt:lpstr>
      <vt:lpstr>EPM</vt:lpstr>
      <vt:lpstr>OFT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Menzies</dc:creator>
  <cp:keywords/>
  <dc:description/>
  <cp:lastModifiedBy>John Menzies</cp:lastModifiedBy>
  <cp:revision/>
  <dcterms:created xsi:type="dcterms:W3CDTF">2025-04-29T09:55:49Z</dcterms:created>
  <dcterms:modified xsi:type="dcterms:W3CDTF">2026-09-02T15:36:28Z</dcterms:modified>
  <cp:category/>
  <cp:contentStatus/>
</cp:coreProperties>
</file>